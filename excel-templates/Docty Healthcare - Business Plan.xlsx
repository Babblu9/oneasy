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21.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4.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22.xml" ContentType="application/vnd.openxmlformats-officedocument.spreadsheetml.worksheet+xml"/>
  <Override PartName="/xl/worksheets/sheet35.xml" ContentType="application/vnd.openxmlformats-officedocument.spreadsheetml.worksheet+xml"/>
  <Override PartName="/xl/worksheets/sheet26.xml" ContentType="application/vnd.openxmlformats-officedocument.spreadsheetml.worksheet+xml"/>
  <Override PartName="/xl/worksheets/sheet15.xml" ContentType="application/vnd.openxmlformats-officedocument.spreadsheetml.worksheet+xml"/>
  <Override PartName="/xl/worksheets/sheet36.xml" ContentType="application/vnd.openxmlformats-officedocument.spreadsheetml.worksheet+xml"/>
  <Override PartName="/xl/worksheets/sheet1.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3.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30.xml" ContentType="application/vnd.openxmlformats-officedocument.spreadsheetml.comments+xml"/>
  <Override PartName="/xl/comments34.xml" ContentType="application/vnd.openxmlformats-officedocument.spreadsheetml.comments+xml"/>
  <Override PartName="/xl/comments3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0730" windowHeight="11040"/>
  </bookViews>
  <sheets>
    <sheet sheetId="21" name="1. Basics" state="visible" r:id="rId4"/>
    <sheet sheetId="29" name="A. Data Needed" state="hidden" r:id="rId5"/>
    <sheet sheetId="30" name="A.I Revenue Streams - P1" state="visible" r:id="rId6"/>
    <sheet sheetId="34" name="A.I Revenue Streams - P2" state="hidden" r:id="rId7"/>
    <sheet sheetId="31" name="A.IIOPEX" state="visible" r:id="rId8"/>
    <sheet sheetId="32" name="A.III CAPEX" state="hidden" r:id="rId9"/>
    <sheet sheetId="22" name="B.I Sales - P1" state="visible" r:id="rId10"/>
    <sheet sheetId="35" name="B.I Sales - P2" state="hidden" r:id="rId11"/>
    <sheet sheetId="26" name="B.II - OPEX" state="hidden" r:id="rId12"/>
    <sheet sheetId="15" name="2.Total Project Cost" state="hidden" r:id="rId13"/>
    <sheet sheetId="36" name="B.II OPEX - P1" state="visible" r:id="rId14"/>
    <sheet sheetId="1" name="4. P&amp;L" state="visible" r:id="rId15"/>
    <sheet sheetId="24" name="3b. Costing - (Capital Exp)" state="hidden" r:id="rId16"/>
    <sheet sheetId="25" name="Costing" state="hidden" r:id="rId17"/>
    <sheet sheetId="2" name="5. Balance sheet" state="hidden" r:id="rId18"/>
    <sheet sheetId="19" name="6. Ratios" state="hidden" r:id="rId19"/>
    <sheet sheetId="3" name="DSCR" state="hidden" r:id="rId20"/>
    <sheet sheetId="9" name="Repayment schedule" state="hidden" r:id="rId21"/>
    <sheet sheetId="8" name="FA Schedule" state="visible" r:id="rId22"/>
    <sheet sheetId="28" name="Phase 1" state="hidden" r:id="rId23"/>
    <sheet sheetId="27" name="Phase 2" state="hidden" r:id="rId24"/>
  </sheets>
  <definedNames>
    <definedName name="_xlnm.Print_Area" localSheetId="11">'4. P&amp;L'!$A2:$G43</definedName>
    <definedName name="_xlnm.Print_Area" localSheetId="14">'5. Balance sheet'!$B2:$I41</definedName>
    <definedName name="_xlnm.Print_Area" localSheetId="15">'6. Ratios'!$B2:$H23</definedName>
  </definedNames>
  <calcPr calcId="171027"/>
</workbook>
</file>

<file path=xl/comments30.xml><?xml version="1.0" encoding="utf-8"?>
<comments xmlns="http://schemas.openxmlformats.org/spreadsheetml/2006/main">
  <authors>
    <author>Author</author>
  </authors>
  <commentList>
    <comment ref="D8" authorId="0">
      <text>
        <r>
          <rPr>
            <b/>
            <color theme="1"/>
            <family val="2"/>
            <scheme val="minor"/>
            <sz val="11"/>
            <rFont val="Calibri"/>
          </rPr>
          <t>Author:</t>
        </r>
        <r>
          <rPr>
            <color theme="1"/>
            <family val="2"/>
            <scheme val="minor"/>
            <sz val="11"/>
            <rFont val="Calibri"/>
          </rPr>
          <t xml:space="preserve">
Mention the name of the major header (First revenue stream) of your business.
If you are in the business of Confectionery and baking, the major headers can be 
Cakes
Confectionery
Bulk events
Accessorries.</t>
        </r>
      </text>
    </comment>
    <comment ref="E8" authorId="0">
      <text>
        <r>
          <rPr>
            <b/>
            <color theme="1"/>
            <family val="2"/>
            <scheme val="minor"/>
            <sz val="11"/>
            <rFont val="Calibri"/>
          </rPr>
          <t>Author:</t>
        </r>
        <r>
          <rPr>
            <color theme="1"/>
            <family val="2"/>
            <scheme val="minor"/>
            <sz val="11"/>
            <rFont val="Calibri"/>
          </rPr>
          <t xml:space="preserve">
Mention all the sub headers under this related to the major header.
For Cakes as the major header, the sub headers can be,
- Cup Cakes
- Customised Cakes
- Standard Cakes
- Cake Slices</t>
        </r>
      </text>
    </comment>
    <comment ref="G8" authorId="0">
      <text>
        <r>
          <rPr>
            <b/>
            <color theme="1"/>
            <family val="2"/>
            <scheme val="minor"/>
            <sz val="11"/>
            <rFont val="Calibri"/>
          </rPr>
          <t>Author:</t>
        </r>
        <r>
          <rPr>
            <color theme="1"/>
            <family val="2"/>
            <scheme val="minor"/>
            <sz val="11"/>
            <rFont val="Calibri"/>
          </rPr>
          <t xml:space="preserve">
Mention the Number of of products sold per day in the first day of the launch.</t>
        </r>
      </text>
    </comment>
    <comment ref="I8" authorId="0">
      <text>
        <r>
          <rPr>
            <b/>
            <color theme="1"/>
            <family val="2"/>
            <scheme val="minor"/>
            <sz val="11"/>
            <rFont val="Calibri"/>
          </rPr>
          <t>Author:</t>
        </r>
        <r>
          <rPr>
            <color theme="1"/>
            <family val="2"/>
            <scheme val="minor"/>
            <sz val="11"/>
            <rFont val="Calibri"/>
          </rPr>
          <t xml:space="preserve">
Mention the sale price of each product that is mentioned in the initial phase.</t>
        </r>
      </text>
    </comment>
    <comment ref="K8" authorId="0">
      <text>
        <r>
          <rPr>
            <b/>
            <color theme="1"/>
            <family val="2"/>
            <scheme val="minor"/>
            <sz val="11"/>
            <rFont val="Calibri"/>
          </rPr>
          <t>Author:</t>
        </r>
        <r>
          <rPr>
            <color theme="1"/>
            <family val="2"/>
            <scheme val="minor"/>
            <sz val="11"/>
            <rFont val="Calibri"/>
          </rPr>
          <t xml:space="preserve">
if you belive your sales per month increases by 10% every month please mention as 10%, this will be the growth rate per month on month.</t>
        </r>
      </text>
    </comment>
    <comment ref="M8" authorId="0">
      <text>
        <r>
          <rPr>
            <b/>
            <color theme="1"/>
            <family val="2"/>
            <scheme val="minor"/>
            <sz val="11"/>
            <rFont val="Calibri"/>
          </rPr>
          <t>Author:</t>
        </r>
        <r>
          <rPr>
            <color theme="1"/>
            <family val="2"/>
            <scheme val="minor"/>
            <sz val="11"/>
            <rFont val="Calibri"/>
          </rPr>
          <t xml:space="preserve">
if you belive your sales per year increases by 10% per year, from Year 1 to Year 2, 
Mention as 10%
</t>
        </r>
      </text>
    </comment>
    <comment ref="O8" authorId="0">
      <text>
        <r>
          <rPr>
            <b/>
            <color theme="1"/>
            <family val="2"/>
            <scheme val="minor"/>
            <sz val="11"/>
            <rFont val="Calibri"/>
          </rPr>
          <t>Author:</t>
        </r>
        <r>
          <rPr>
            <color theme="1"/>
            <family val="2"/>
            <scheme val="minor"/>
            <sz val="11"/>
            <rFont val="Calibri"/>
          </rPr>
          <t xml:space="preserve">
if you belive your sales per year increases by 15% per year, from Year 2 to Year 3, 
Mention as 15%
</t>
        </r>
      </text>
    </comment>
    <comment ref="Q8" authorId="0">
      <text>
        <r>
          <rPr>
            <b/>
            <color theme="1"/>
            <family val="2"/>
            <scheme val="minor"/>
            <sz val="11"/>
            <rFont val="Calibri"/>
          </rPr>
          <t>Author:</t>
        </r>
        <r>
          <rPr>
            <color theme="1"/>
            <family val="2"/>
            <scheme val="minor"/>
            <sz val="11"/>
            <rFont val="Calibri"/>
          </rPr>
          <t xml:space="preserve">
if you belive your sales per year increases by 15% per year, from Year 2 to Year 3, 
Mention as 15%
</t>
        </r>
      </text>
    </comment>
    <comment ref="S8" authorId="0">
      <text>
        <r>
          <rPr>
            <b/>
            <color theme="1"/>
            <family val="2"/>
            <scheme val="minor"/>
            <sz val="11"/>
            <rFont val="Calibri"/>
          </rPr>
          <t>Author:</t>
        </r>
        <r>
          <rPr>
            <color theme="1"/>
            <family val="2"/>
            <scheme val="minor"/>
            <sz val="11"/>
            <rFont val="Calibri"/>
          </rPr>
          <t xml:space="preserve">
if you belive your sales per year increases by 15% per year, from Year 2 to Year 3, 
Mention as 15%
</t>
        </r>
      </text>
    </comment>
    <comment ref="U8" authorId="0">
      <text>
        <r>
          <rPr>
            <b/>
            <color theme="1"/>
            <family val="2"/>
            <scheme val="minor"/>
            <sz val="11"/>
            <rFont val="Calibri"/>
          </rPr>
          <t>Author:</t>
        </r>
        <r>
          <rPr>
            <color theme="1"/>
            <family val="2"/>
            <scheme val="minor"/>
            <sz val="11"/>
            <rFont val="Calibri"/>
          </rPr>
          <t xml:space="preserve">
if you belive your sales per year increases by 15% per year, from Year 2 to Year 3, 
Mention as 15%
</t>
        </r>
      </text>
    </comment>
  </commentList>
</comments>
</file>

<file path=xl/comments31.xml><?xml version="1.0" encoding="utf-8"?>
<comments xmlns="http://schemas.openxmlformats.org/spreadsheetml/2006/main">
  <authors>
    <author>Author</author>
  </authors>
  <commentList>
    <comment ref="G8" authorId="0">
      <text>
        <r>
          <rPr>
            <b/>
            <color theme="1"/>
            <family val="2"/>
            <scheme val="minor"/>
            <sz val="11"/>
            <rFont val="Calibri"/>
          </rPr>
          <t>Author:</t>
        </r>
        <r>
          <rPr>
            <color theme="1"/>
            <family val="2"/>
            <scheme val="minor"/>
            <sz val="11"/>
            <rFont val="Calibri"/>
          </rPr>
          <t xml:space="preserve">
Mention the Number of of products sold per day in the first day of the launch.</t>
        </r>
      </text>
    </comment>
    <comment ref="I8" authorId="0">
      <text>
        <r>
          <rPr>
            <b/>
            <color theme="1"/>
            <family val="2"/>
            <scheme val="minor"/>
            <sz val="11"/>
            <rFont val="Calibri"/>
          </rPr>
          <t>Author:</t>
        </r>
        <r>
          <rPr>
            <color theme="1"/>
            <family val="2"/>
            <scheme val="minor"/>
            <sz val="11"/>
            <rFont val="Calibri"/>
          </rPr>
          <t xml:space="preserve">
Mention the sale price of each product that is mentioned in the initial phase.</t>
        </r>
      </text>
    </comment>
    <comment ref="K8" authorId="0">
      <text>
        <r>
          <rPr>
            <b/>
            <color theme="1"/>
            <family val="2"/>
            <scheme val="minor"/>
            <sz val="11"/>
            <rFont val="Calibri"/>
          </rPr>
          <t>Author:</t>
        </r>
        <r>
          <rPr>
            <color theme="1"/>
            <family val="2"/>
            <scheme val="minor"/>
            <sz val="11"/>
            <rFont val="Calibri"/>
          </rPr>
          <t xml:space="preserve">
if you belive your sales per month increases by 10% every month please mention as 10%, this will be the growth rate per month on month.</t>
        </r>
      </text>
    </comment>
    <comment ref="M8" authorId="0">
      <text>
        <r>
          <rPr>
            <b/>
            <color theme="1"/>
            <family val="2"/>
            <scheme val="minor"/>
            <sz val="11"/>
            <rFont val="Calibri"/>
          </rPr>
          <t>Author:</t>
        </r>
        <r>
          <rPr>
            <color theme="1"/>
            <family val="2"/>
            <scheme val="minor"/>
            <sz val="11"/>
            <rFont val="Calibri"/>
          </rPr>
          <t xml:space="preserve">
if you belive your sales per year increases by 10% per year, from Year 1 to Year 2, 
Mention as 10%
</t>
        </r>
      </text>
    </comment>
    <comment ref="O8" authorId="0">
      <text>
        <r>
          <rPr>
            <b/>
            <color theme="1"/>
            <family val="2"/>
            <scheme val="minor"/>
            <sz val="11"/>
            <rFont val="Calibri"/>
          </rPr>
          <t>Author:</t>
        </r>
        <r>
          <rPr>
            <color theme="1"/>
            <family val="2"/>
            <scheme val="minor"/>
            <sz val="11"/>
            <rFont val="Calibri"/>
          </rPr>
          <t xml:space="preserve">
if you belive your sales per year increases by 15% per year, from Year 2 to Year 3, 
Mention as 15%
</t>
        </r>
      </text>
    </comment>
    <comment ref="Q8" authorId="0">
      <text>
        <r>
          <rPr>
            <b/>
            <color theme="1"/>
            <family val="2"/>
            <scheme val="minor"/>
            <sz val="11"/>
            <rFont val="Calibri"/>
          </rPr>
          <t>Author:</t>
        </r>
        <r>
          <rPr>
            <color theme="1"/>
            <family val="2"/>
            <scheme val="minor"/>
            <sz val="11"/>
            <rFont val="Calibri"/>
          </rPr>
          <t xml:space="preserve">
if you belive your sales per year increases by 15% per year, from Year 2 to Year 3, 
Mention as 15%
</t>
        </r>
      </text>
    </comment>
    <comment ref="S8" authorId="0">
      <text>
        <r>
          <rPr>
            <b/>
            <color theme="1"/>
            <family val="2"/>
            <scheme val="minor"/>
            <sz val="11"/>
            <rFont val="Calibri"/>
          </rPr>
          <t>Author:</t>
        </r>
        <r>
          <rPr>
            <color theme="1"/>
            <family val="2"/>
            <scheme val="minor"/>
            <sz val="11"/>
            <rFont val="Calibri"/>
          </rPr>
          <t xml:space="preserve">
if you belive your sales per year increases by 15% per year, from Year 2 to Year 3, 
Mention as 15%
</t>
        </r>
      </text>
    </comment>
    <comment ref="U8" authorId="0">
      <text>
        <r>
          <rPr>
            <b/>
            <color theme="1"/>
            <family val="2"/>
            <scheme val="minor"/>
            <sz val="11"/>
            <rFont val="Calibri"/>
          </rPr>
          <t>Author:</t>
        </r>
        <r>
          <rPr>
            <color theme="1"/>
            <family val="2"/>
            <scheme val="minor"/>
            <sz val="11"/>
            <rFont val="Calibri"/>
          </rPr>
          <t xml:space="preserve">
if you belive your sales per year increases by 15% per year, from Year 2 to Year 3, 
Mention as 15%
</t>
        </r>
      </text>
    </comment>
  </commentList>
</comments>
</file>

<file path=xl/comments34.xml><?xml version="1.0" encoding="utf-8"?>
<comments xmlns="http://schemas.openxmlformats.org/spreadsheetml/2006/main">
  <authors>
    <author>Author</author>
  </authors>
  <commentList>
    <comment ref="D8" authorId="0">
      <text>
        <r>
          <rPr>
            <b/>
            <color theme="1"/>
            <family val="2"/>
            <scheme val="minor"/>
            <sz val="11"/>
            <rFont val="Calibri"/>
          </rPr>
          <t>Author:</t>
        </r>
        <r>
          <rPr>
            <color theme="1"/>
            <family val="2"/>
            <scheme val="minor"/>
            <sz val="11"/>
            <rFont val="Calibri"/>
          </rPr>
          <t xml:space="preserve">
Mention the name of the major header (First revenue stream) of your business.
If you are in the business of Confectionery and baking, the major headers can be 
Cakes
Confectionery
Bulk events
Accessorries.</t>
        </r>
      </text>
    </comment>
    <comment ref="E8" authorId="0">
      <text>
        <r>
          <rPr>
            <b/>
            <color theme="1"/>
            <family val="2"/>
            <scheme val="minor"/>
            <sz val="11"/>
            <rFont val="Calibri"/>
          </rPr>
          <t>Author:</t>
        </r>
        <r>
          <rPr>
            <color theme="1"/>
            <family val="2"/>
            <scheme val="minor"/>
            <sz val="11"/>
            <rFont val="Calibri"/>
          </rPr>
          <t xml:space="preserve">
Mention all the sub headers under this related to the major header.
For Cakes as the major header, the sub headers can be,
- Cup Cakes
- Customised Cakes
- Standard Cakes
- Cake Slices</t>
        </r>
      </text>
    </comment>
    <comment ref="G8" authorId="0">
      <text>
        <r>
          <rPr>
            <b/>
            <color theme="1"/>
            <family val="2"/>
            <scheme val="minor"/>
            <sz val="11"/>
            <rFont val="Calibri"/>
          </rPr>
          <t>Author:</t>
        </r>
        <r>
          <rPr>
            <color theme="1"/>
            <family val="2"/>
            <scheme val="minor"/>
            <sz val="11"/>
            <rFont val="Calibri"/>
          </rPr>
          <t xml:space="preserve">
Mention the Number of of products sold per day in the first day of the launch.</t>
        </r>
      </text>
    </comment>
    <comment ref="I8" authorId="0">
      <text>
        <r>
          <rPr>
            <b/>
            <color theme="1"/>
            <family val="2"/>
            <scheme val="minor"/>
            <sz val="11"/>
            <rFont val="Calibri"/>
          </rPr>
          <t>Author:</t>
        </r>
        <r>
          <rPr>
            <color theme="1"/>
            <family val="2"/>
            <scheme val="minor"/>
            <sz val="11"/>
            <rFont val="Calibri"/>
          </rPr>
          <t xml:space="preserve">
Mention the sale price of each product that is mentioned in the initial phase.</t>
        </r>
      </text>
    </comment>
    <comment ref="K8" authorId="0">
      <text>
        <r>
          <rPr>
            <b/>
            <color theme="1"/>
            <family val="2"/>
            <scheme val="minor"/>
            <sz val="11"/>
            <rFont val="Calibri"/>
          </rPr>
          <t>Author:</t>
        </r>
        <r>
          <rPr>
            <color theme="1"/>
            <family val="2"/>
            <scheme val="minor"/>
            <sz val="11"/>
            <rFont val="Calibri"/>
          </rPr>
          <t xml:space="preserve">
if you belive your sales per month increases by 10% every month please mention as 10%, this will be the growth rate per month on month.</t>
        </r>
      </text>
    </comment>
    <comment ref="M8" authorId="0">
      <text>
        <r>
          <rPr>
            <b/>
            <color theme="1"/>
            <family val="2"/>
            <scheme val="minor"/>
            <sz val="11"/>
            <rFont val="Calibri"/>
          </rPr>
          <t>Author:</t>
        </r>
        <r>
          <rPr>
            <color theme="1"/>
            <family val="2"/>
            <scheme val="minor"/>
            <sz val="11"/>
            <rFont val="Calibri"/>
          </rPr>
          <t xml:space="preserve">
if you belive your sales per year increases by 10% per year, from Year 1 to Year 2, 
Mention as 10%
</t>
        </r>
      </text>
    </comment>
    <comment ref="O8" authorId="0">
      <text>
        <r>
          <rPr>
            <b/>
            <color theme="1"/>
            <family val="2"/>
            <scheme val="minor"/>
            <sz val="11"/>
            <rFont val="Calibri"/>
          </rPr>
          <t>Author:</t>
        </r>
        <r>
          <rPr>
            <color theme="1"/>
            <family val="2"/>
            <scheme val="minor"/>
            <sz val="11"/>
            <rFont val="Calibri"/>
          </rPr>
          <t xml:space="preserve">
if you belive your sales per year increases by 15% per year, from Year 2 to Year 3, 
Mention as 15%
</t>
        </r>
      </text>
    </comment>
    <comment ref="Q8" authorId="0">
      <text>
        <r>
          <rPr>
            <b/>
            <color theme="1"/>
            <family val="2"/>
            <scheme val="minor"/>
            <sz val="11"/>
            <rFont val="Calibri"/>
          </rPr>
          <t>Author:</t>
        </r>
        <r>
          <rPr>
            <color theme="1"/>
            <family val="2"/>
            <scheme val="minor"/>
            <sz val="11"/>
            <rFont val="Calibri"/>
          </rPr>
          <t xml:space="preserve">
if you belive your sales per year increases by 15% per year, from Year 2 to Year 3, 
Mention as 15%
</t>
        </r>
      </text>
    </comment>
    <comment ref="S8" authorId="0">
      <text>
        <r>
          <rPr>
            <b/>
            <color theme="1"/>
            <family val="2"/>
            <scheme val="minor"/>
            <sz val="11"/>
            <rFont val="Calibri"/>
          </rPr>
          <t>Author:</t>
        </r>
        <r>
          <rPr>
            <color theme="1"/>
            <family val="2"/>
            <scheme val="minor"/>
            <sz val="11"/>
            <rFont val="Calibri"/>
          </rPr>
          <t xml:space="preserve">
if you belive your sales per year increases by 15% per year, from Year 2 to Year 3, 
Mention as 15%
</t>
        </r>
      </text>
    </comment>
    <comment ref="U8" authorId="0">
      <text>
        <r>
          <rPr>
            <b/>
            <color theme="1"/>
            <family val="2"/>
            <scheme val="minor"/>
            <sz val="11"/>
            <rFont val="Calibri"/>
          </rPr>
          <t>Author:</t>
        </r>
        <r>
          <rPr>
            <color theme="1"/>
            <family val="2"/>
            <scheme val="minor"/>
            <sz val="11"/>
            <rFont val="Calibri"/>
          </rPr>
          <t xml:space="preserve">
if you belive your sales per year increases by 15% per year, from Year 2 to Year 3, 
Mention as 15%
</t>
        </r>
      </text>
    </comment>
  </commentList>
</comments>
</file>

<file path=xl/sharedStrings.xml><?xml version="1.0" encoding="utf-8"?>
<sst xmlns="http://schemas.openxmlformats.org/spreadsheetml/2006/main" count="1770" uniqueCount="434">
  <si>
    <t xml:space="preserve">Legal Name of the Business </t>
  </si>
  <si>
    <t>CYNCURA PRIVATE LIMITED</t>
  </si>
  <si>
    <t>Trade Name of the Business</t>
  </si>
  <si>
    <t>Registered Office Address</t>
  </si>
  <si>
    <t>6-1-19 and 6-1-19/A, old no 108/3, Flat no 206, Musheerabad (Delivery), Hyderabad, Hyderabad- 500020, Telangana</t>
  </si>
  <si>
    <t>Official Email Id</t>
  </si>
  <si>
    <t>Karimsavenue@gmail.com</t>
  </si>
  <si>
    <t>Official Contact Number</t>
  </si>
  <si>
    <t xml:space="preserve">Details of the Promoter </t>
  </si>
  <si>
    <t>6.a</t>
  </si>
  <si>
    <t>Total number of Promoters</t>
  </si>
  <si>
    <t>Tentative Start Date  of the project Phase 1</t>
  </si>
  <si>
    <t>DD/MM/YYYY</t>
  </si>
  <si>
    <t>Company Description</t>
  </si>
  <si>
    <t>Link to Company Pitch Deck</t>
  </si>
  <si>
    <t>Burning Desire of the company</t>
  </si>
  <si>
    <t>Tentative Start Date  of the project Phase 2</t>
  </si>
  <si>
    <t xml:space="preserve">Major heads of the data needed for the business plan </t>
  </si>
  <si>
    <t>Hyperlink to open</t>
  </si>
  <si>
    <t>I</t>
  </si>
  <si>
    <t>We need to clearly define the Revenue Streams</t>
  </si>
  <si>
    <t>Nature of services. click here for the link to enter the revenue streams</t>
  </si>
  <si>
    <t>II</t>
  </si>
  <si>
    <t>Sales price per revenue streams</t>
  </si>
  <si>
    <t>Click</t>
  </si>
  <si>
    <t>III</t>
  </si>
  <si>
    <t>Costing headers</t>
  </si>
  <si>
    <t>IIV</t>
  </si>
  <si>
    <t>Capex Information</t>
  </si>
  <si>
    <t>Capex Click on the link to refer to Capex</t>
  </si>
  <si>
    <t>V</t>
  </si>
  <si>
    <t>Other Information</t>
  </si>
  <si>
    <t>Revenue Streams</t>
  </si>
  <si>
    <t>This Sheet assists us in getting the data related to Sales</t>
  </si>
  <si>
    <t xml:space="preserve">PHASE - 1 </t>
  </si>
  <si>
    <t>2026-27</t>
  </si>
  <si>
    <t>2027-28</t>
  </si>
  <si>
    <t>2028-29</t>
  </si>
  <si>
    <t>2029-30</t>
  </si>
  <si>
    <t>2030-31</t>
  </si>
  <si>
    <t>2031-32</t>
  </si>
  <si>
    <t>Major Header</t>
  </si>
  <si>
    <t>Minor Header</t>
  </si>
  <si>
    <t>Number of Products sold per month</t>
  </si>
  <si>
    <t>Sale Price of each product</t>
  </si>
  <si>
    <t>Monthly Growth Rate in Y2</t>
  </si>
  <si>
    <t>Yearly Growth Rate from Y2 to Y3</t>
  </si>
  <si>
    <t>Yearly Growth Rate from Y3 to Y4</t>
  </si>
  <si>
    <t>Yearly Growth Rate from Y4 to Y5</t>
  </si>
  <si>
    <t>Yearly Growth Rate from Y5 to Y6</t>
  </si>
  <si>
    <t>Yearly Growth Rate from Y6 to Y7</t>
  </si>
  <si>
    <t>Doctor Consultations</t>
  </si>
  <si>
    <t>1a</t>
  </si>
  <si>
    <t>Platform Access Fees</t>
  </si>
  <si>
    <t>1b</t>
  </si>
  <si>
    <t>1c</t>
  </si>
  <si>
    <t>1d</t>
  </si>
  <si>
    <t>1e</t>
  </si>
  <si>
    <t>Grand Total</t>
  </si>
  <si>
    <t>Advertisement</t>
  </si>
  <si>
    <t>2a</t>
  </si>
  <si>
    <t>2b</t>
  </si>
  <si>
    <t>2c</t>
  </si>
  <si>
    <t>2d</t>
  </si>
  <si>
    <t>2e</t>
  </si>
  <si>
    <t>3a</t>
  </si>
  <si>
    <t>3b</t>
  </si>
  <si>
    <t>3c</t>
  </si>
  <si>
    <t>3d</t>
  </si>
  <si>
    <t>3e</t>
  </si>
  <si>
    <t>4a</t>
  </si>
  <si>
    <t>4b</t>
  </si>
  <si>
    <t>4c</t>
  </si>
  <si>
    <t>4d</t>
  </si>
  <si>
    <t>4e</t>
  </si>
  <si>
    <t>5a</t>
  </si>
  <si>
    <t>5b</t>
  </si>
  <si>
    <t>5c</t>
  </si>
  <si>
    <t>5d</t>
  </si>
  <si>
    <t>5e</t>
  </si>
  <si>
    <t>PHASE - 2</t>
  </si>
  <si>
    <t>Number of Products sold per Day</t>
  </si>
  <si>
    <t>Monthly Growth Rate in Y1</t>
  </si>
  <si>
    <t>Yearly Growth Rate from Y1 to Y2</t>
  </si>
  <si>
    <t>Cakes</t>
  </si>
  <si>
    <t>Cup Cakes</t>
  </si>
  <si>
    <t>Customised Cakes</t>
  </si>
  <si>
    <t>Standard Cake</t>
  </si>
  <si>
    <t>Cake Slices</t>
  </si>
  <si>
    <t xml:space="preserve">Confectionary </t>
  </si>
  <si>
    <t>Burgers</t>
  </si>
  <si>
    <t>Pizza</t>
  </si>
  <si>
    <t>Puffs</t>
  </si>
  <si>
    <t xml:space="preserve">Other 1 </t>
  </si>
  <si>
    <t>Accessorries</t>
  </si>
  <si>
    <t>Poppers</t>
  </si>
  <si>
    <t>Builders</t>
  </si>
  <si>
    <t>Blasters</t>
  </si>
  <si>
    <t>Decor</t>
  </si>
  <si>
    <t>Others</t>
  </si>
  <si>
    <t>Others 1</t>
  </si>
  <si>
    <t>Others 2</t>
  </si>
  <si>
    <t>Others 3</t>
  </si>
  <si>
    <t>Others 4</t>
  </si>
  <si>
    <t>Others 5</t>
  </si>
  <si>
    <t>Opex, Click on the link to refer to OPEX</t>
  </si>
  <si>
    <t>Write down all the major and nimor headers for the costing and list them here</t>
  </si>
  <si>
    <t>Beside the header you will be able to write the quantity and the price</t>
  </si>
  <si>
    <t>2025-26</t>
  </si>
  <si>
    <t>Sub Services</t>
  </si>
  <si>
    <t>Monthly</t>
  </si>
  <si>
    <t>Cost per month</t>
  </si>
  <si>
    <t>Technology &amp; Product Development</t>
  </si>
  <si>
    <t>App Development</t>
  </si>
  <si>
    <t>App maintenance</t>
  </si>
  <si>
    <t>1f</t>
  </si>
  <si>
    <t>1g</t>
  </si>
  <si>
    <t>Legal, Compliance &amp; Professional Charges</t>
  </si>
  <si>
    <t>Professional Charges</t>
  </si>
  <si>
    <t>2f</t>
  </si>
  <si>
    <t>2g</t>
  </si>
  <si>
    <t>Utilities</t>
  </si>
  <si>
    <t>Office Maintenance</t>
  </si>
  <si>
    <t>Rent</t>
  </si>
  <si>
    <t>Power/ Electricity</t>
  </si>
  <si>
    <t>Miscellaneous</t>
  </si>
  <si>
    <t>3f</t>
  </si>
  <si>
    <t>3g</t>
  </si>
  <si>
    <t>3h</t>
  </si>
  <si>
    <t>3i</t>
  </si>
  <si>
    <t>Support Team</t>
  </si>
  <si>
    <t>Salaries – Tech &amp; Ops</t>
  </si>
  <si>
    <t>Customer Support Team</t>
  </si>
  <si>
    <t>Field Agents</t>
  </si>
  <si>
    <t>4f</t>
  </si>
  <si>
    <t>4g</t>
  </si>
  <si>
    <t>4h</t>
  </si>
  <si>
    <t>4i</t>
  </si>
  <si>
    <t>Digital Marketing &amp; Advertisement</t>
  </si>
  <si>
    <t>Initial Launch Event or Campaign</t>
  </si>
  <si>
    <t>Patient Promotions</t>
  </si>
  <si>
    <t xml:space="preserve">Doctors’ promotions </t>
  </si>
  <si>
    <t>Digital Marketing</t>
  </si>
  <si>
    <t>Social Media Marketing</t>
  </si>
  <si>
    <t>5f</t>
  </si>
  <si>
    <t>Brand promotions</t>
  </si>
  <si>
    <t>5g</t>
  </si>
  <si>
    <t>6a</t>
  </si>
  <si>
    <t>6b</t>
  </si>
  <si>
    <t>6c</t>
  </si>
  <si>
    <t>6d</t>
  </si>
  <si>
    <t>6e</t>
  </si>
  <si>
    <t>6f</t>
  </si>
  <si>
    <t>6g</t>
  </si>
  <si>
    <t>6h</t>
  </si>
  <si>
    <t>6i</t>
  </si>
  <si>
    <t>6j</t>
  </si>
  <si>
    <t>6k</t>
  </si>
  <si>
    <t>6l</t>
  </si>
  <si>
    <t>6m</t>
  </si>
  <si>
    <t>6n</t>
  </si>
  <si>
    <t>6o</t>
  </si>
  <si>
    <t>6p</t>
  </si>
  <si>
    <t>6q</t>
  </si>
  <si>
    <t>6r</t>
  </si>
  <si>
    <t>7a</t>
  </si>
  <si>
    <t>7b</t>
  </si>
  <si>
    <t>7c</t>
  </si>
  <si>
    <t>7d</t>
  </si>
  <si>
    <t>7e</t>
  </si>
  <si>
    <t>8a</t>
  </si>
  <si>
    <t>8b</t>
  </si>
  <si>
    <t>8c</t>
  </si>
  <si>
    <t>8d</t>
  </si>
  <si>
    <t>8e</t>
  </si>
  <si>
    <t>8f</t>
  </si>
  <si>
    <t>8g</t>
  </si>
  <si>
    <t>S No</t>
  </si>
  <si>
    <t>Nature of the Expense</t>
  </si>
  <si>
    <t>Total Amount of the Project</t>
  </si>
  <si>
    <t>Cost for the Period Ending</t>
  </si>
  <si>
    <t>Year 1 Ending</t>
  </si>
  <si>
    <t>Year 2 Ending</t>
  </si>
  <si>
    <t>Year 3 Ending</t>
  </si>
  <si>
    <t>Year 4 Ending</t>
  </si>
  <si>
    <t>Year 5 Ending</t>
  </si>
  <si>
    <t>31/03/2025</t>
  </si>
  <si>
    <t>Year 1 Total</t>
  </si>
  <si>
    <t>31/03/2027</t>
  </si>
  <si>
    <t>31/03/2028</t>
  </si>
  <si>
    <t>31/03/2029</t>
  </si>
  <si>
    <t>31/03/2030</t>
  </si>
  <si>
    <t>Office Expenses</t>
  </si>
  <si>
    <t>Laptop</t>
  </si>
  <si>
    <t>Mobile</t>
  </si>
  <si>
    <t>Monitor</t>
  </si>
  <si>
    <t>Tab</t>
  </si>
  <si>
    <t>Printer</t>
  </si>
  <si>
    <t>Total Amount</t>
  </si>
  <si>
    <t>40 Cr is Equipment</t>
  </si>
  <si>
    <t>Civil</t>
  </si>
  <si>
    <t>A</t>
  </si>
  <si>
    <t>Do not enter any data in this sheet</t>
  </si>
  <si>
    <t>Particulars</t>
  </si>
  <si>
    <t>Month -</t>
  </si>
  <si>
    <t>Year 1</t>
  </si>
  <si>
    <t>Year 2</t>
  </si>
  <si>
    <t>Year 3</t>
  </si>
  <si>
    <t>Year 4</t>
  </si>
  <si>
    <t>Year 5</t>
  </si>
  <si>
    <t>Year 6</t>
  </si>
  <si>
    <t xml:space="preserve">PHASE - I REVENUES </t>
  </si>
  <si>
    <t>Qty</t>
  </si>
  <si>
    <t>Per Unit Cost</t>
  </si>
  <si>
    <t>Total Revenue</t>
  </si>
  <si>
    <t>Cost Per Month</t>
  </si>
  <si>
    <t>Services</t>
  </si>
  <si>
    <t xml:space="preserve"> </t>
  </si>
  <si>
    <t>Yearly Grand Total</t>
  </si>
  <si>
    <t>Monthly Average</t>
  </si>
  <si>
    <t>Grand Total (As per Audit Trial)</t>
  </si>
  <si>
    <t>Variance (Sheet vs Audit Trial)</t>
  </si>
  <si>
    <t>`</t>
  </si>
  <si>
    <t>Y2</t>
  </si>
  <si>
    <t>Year2</t>
  </si>
  <si>
    <t>FY 2025-2026</t>
  </si>
  <si>
    <t>FY 2026-2027</t>
  </si>
  <si>
    <t>FY 2027-2028</t>
  </si>
  <si>
    <t>FY 2028-2029</t>
  </si>
  <si>
    <t>FY 2029-2030</t>
  </si>
  <si>
    <t>FY 2030-2031</t>
  </si>
  <si>
    <t xml:space="preserve">PHASE - II REVENUES </t>
  </si>
  <si>
    <t>Month 1</t>
  </si>
  <si>
    <t>Month 2</t>
  </si>
  <si>
    <t>Month 3</t>
  </si>
  <si>
    <t>Month 4</t>
  </si>
  <si>
    <t>Month 5</t>
  </si>
  <si>
    <t>Month 6</t>
  </si>
  <si>
    <t>Month 7</t>
  </si>
  <si>
    <t>Month 8</t>
  </si>
  <si>
    <t>Month 9</t>
  </si>
  <si>
    <t>PHASE - 1 Expenses</t>
  </si>
  <si>
    <t>pathologist</t>
  </si>
  <si>
    <t>microbiologist</t>
  </si>
  <si>
    <t>lab techs</t>
  </si>
  <si>
    <t>Nephrology</t>
  </si>
  <si>
    <t>Gynec</t>
  </si>
  <si>
    <t>Consumables</t>
  </si>
  <si>
    <t>Pharmacy</t>
  </si>
  <si>
    <t>Other Consumables</t>
  </si>
  <si>
    <t>Rent Free for 9M</t>
  </si>
  <si>
    <t>Power</t>
  </si>
  <si>
    <t>Water</t>
  </si>
  <si>
    <t>Fuel</t>
  </si>
  <si>
    <t>NURSES</t>
  </si>
  <si>
    <t>HOUSKEEPING</t>
  </si>
  <si>
    <t>SECURITY</t>
  </si>
  <si>
    <t>PLUMBER</t>
  </si>
  <si>
    <t>ELECTRICIANS</t>
  </si>
  <si>
    <t>Accounting</t>
  </si>
  <si>
    <t>Finance Cost</t>
  </si>
  <si>
    <t>Interest</t>
  </si>
  <si>
    <t>Advertisement &amp; Promotions</t>
  </si>
  <si>
    <t>Branding Promotions</t>
  </si>
  <si>
    <t>PHASE - 2 Expenses</t>
  </si>
  <si>
    <t>Doctors</t>
  </si>
  <si>
    <t>General Surgeons</t>
  </si>
  <si>
    <t>GI Surgery</t>
  </si>
  <si>
    <t>Breast Surgery</t>
  </si>
  <si>
    <t>Head and neck</t>
  </si>
  <si>
    <t>Surgical Oncology</t>
  </si>
  <si>
    <t>Any Other</t>
  </si>
  <si>
    <t>Certifications and Licenses</t>
  </si>
  <si>
    <t>Licenses and Certifications</t>
  </si>
  <si>
    <t>Professional fees</t>
  </si>
  <si>
    <t>Managerial Staff</t>
  </si>
  <si>
    <t>Human Resources</t>
  </si>
  <si>
    <t>Contractual Staff</t>
  </si>
  <si>
    <t>DMO's</t>
  </si>
  <si>
    <t>Finance Head</t>
  </si>
  <si>
    <t>Insurance Team</t>
  </si>
  <si>
    <t>Quality and Compliance Manager</t>
  </si>
  <si>
    <t>Operations Managers</t>
  </si>
  <si>
    <t>Key Managerial Persons (CFO&amp; CEO)</t>
  </si>
  <si>
    <t>Statement of total project cost</t>
  </si>
  <si>
    <t>Description</t>
  </si>
  <si>
    <t>Amount (Rs)</t>
  </si>
  <si>
    <t xml:space="preserve">Total </t>
  </si>
  <si>
    <t>Less: 20% Promoter contribution</t>
  </si>
  <si>
    <t>Balance Term Loan Application</t>
  </si>
  <si>
    <t>Working Capital Loan</t>
  </si>
  <si>
    <t>Total Loan from BOB</t>
  </si>
  <si>
    <t>PHASE - I EXPENSES</t>
  </si>
  <si>
    <t>Total Cost</t>
  </si>
  <si>
    <t>Major Head</t>
  </si>
  <si>
    <t>Minor Head</t>
  </si>
  <si>
    <t>PROFIT &amp; LOSS ACCOUNT FOR THE PERIOD</t>
  </si>
  <si>
    <t>Gross Receipts</t>
  </si>
  <si>
    <t xml:space="preserve">Phase I </t>
  </si>
  <si>
    <t>Expenditure</t>
  </si>
  <si>
    <t>Phase - I</t>
  </si>
  <si>
    <t xml:space="preserve">  </t>
  </si>
  <si>
    <t>EBIDTA</t>
  </si>
  <si>
    <t>Net Profit Before Depreciation and Tax</t>
  </si>
  <si>
    <t>Net Profit (Before Depreciation) Ratio</t>
  </si>
  <si>
    <t>Depreciation</t>
  </si>
  <si>
    <t>Net Profit After Depreciation Before Tax</t>
  </si>
  <si>
    <t>Net Profit (After Depreciation) Ratio</t>
  </si>
  <si>
    <t>Provision For Tax</t>
  </si>
  <si>
    <t>Net Profit After Tax</t>
  </si>
  <si>
    <t>Radiotherapy</t>
  </si>
  <si>
    <t>Brachytherapy</t>
  </si>
  <si>
    <t>TRUEBEAM + SGRT</t>
  </si>
  <si>
    <t>Nuclear Medicine</t>
  </si>
  <si>
    <t>PETCT</t>
  </si>
  <si>
    <t>Gamma Camera</t>
  </si>
  <si>
    <t>Radiology</t>
  </si>
  <si>
    <t>Cardiac CT</t>
  </si>
  <si>
    <t>MRI</t>
  </si>
  <si>
    <t>Mammogram</t>
  </si>
  <si>
    <t>Ultrasound</t>
  </si>
  <si>
    <t>Pathology</t>
  </si>
  <si>
    <t>Diagnostics</t>
  </si>
  <si>
    <t>Biochemistry</t>
  </si>
  <si>
    <t>Immunology</t>
  </si>
  <si>
    <t>Hematology</t>
  </si>
  <si>
    <t>Molecular Biology</t>
  </si>
  <si>
    <t>Genetics</t>
  </si>
  <si>
    <t>M/S AIROC Hospitals Pvt Ltd</t>
  </si>
  <si>
    <t>Gacchobowli</t>
  </si>
  <si>
    <t>BALANCE SHEET AS AT</t>
  </si>
  <si>
    <t>Projected              31st March 2026</t>
  </si>
  <si>
    <t>Projected              31st March 2027</t>
  </si>
  <si>
    <t>Projected              31st March 2028</t>
  </si>
  <si>
    <t>Projected              31st March 2029</t>
  </si>
  <si>
    <t>Projected              31st March 2030</t>
  </si>
  <si>
    <t>Projected              31st March 2021</t>
  </si>
  <si>
    <t>Projected              31st March 2032</t>
  </si>
  <si>
    <t>Liabilities</t>
  </si>
  <si>
    <t>Capital Account</t>
  </si>
  <si>
    <t>Add: Net Profit/Retained Earnings</t>
  </si>
  <si>
    <t>Shareholder Funds</t>
  </si>
  <si>
    <t>Loans Liability</t>
  </si>
  <si>
    <t>Term Loan</t>
  </si>
  <si>
    <t>Current Liabilities</t>
  </si>
  <si>
    <t>Sundry Creditors</t>
  </si>
  <si>
    <t>Other Current Liabilities</t>
  </si>
  <si>
    <t>TOTAL</t>
  </si>
  <si>
    <t>Assets</t>
  </si>
  <si>
    <t>Fixed Asset</t>
  </si>
  <si>
    <t>Less: Depreciation</t>
  </si>
  <si>
    <t>Net Fixed Assets</t>
  </si>
  <si>
    <t>Investments</t>
  </si>
  <si>
    <t>Current Assets</t>
  </si>
  <si>
    <t>Closing Stock</t>
  </si>
  <si>
    <t>Security Deposits</t>
  </si>
  <si>
    <t>Current Advanes</t>
  </si>
  <si>
    <t>Sundry Debtors</t>
  </si>
  <si>
    <t>Other Current Assets</t>
  </si>
  <si>
    <t>Cash &amp; Bank Balance</t>
  </si>
  <si>
    <t>Current Assets (Lakh)</t>
  </si>
  <si>
    <t>Currect Liabilities (lakh)</t>
  </si>
  <si>
    <t>Current Ratio</t>
  </si>
  <si>
    <t>M/S TREATMENT RANGE HOSPITAL PRIVATE LIMITED</t>
  </si>
  <si>
    <t>Analysis of Ratios</t>
  </si>
  <si>
    <t>Projected              31st March 2022</t>
  </si>
  <si>
    <t>Projected              31st March 2023</t>
  </si>
  <si>
    <t>Projected              31st March 2024</t>
  </si>
  <si>
    <t>Projected              31st March 2025</t>
  </si>
  <si>
    <t>Gross receipts</t>
  </si>
  <si>
    <t>Fixed Assets</t>
  </si>
  <si>
    <t>Earnings Before Interest and Tax</t>
  </si>
  <si>
    <t>Total Interest on Loans</t>
  </si>
  <si>
    <t>Interest Coverage ratio</t>
  </si>
  <si>
    <t>Net Profit ratio</t>
  </si>
  <si>
    <t>Net Sales/Fixed Assets</t>
  </si>
  <si>
    <t>DSCR Ratio</t>
  </si>
  <si>
    <t xml:space="preserve">Actual Working Capital  </t>
  </si>
  <si>
    <t>Optimum Coverage ratio</t>
  </si>
  <si>
    <t>Working captal coverage</t>
  </si>
  <si>
    <t>Required WC loan</t>
  </si>
  <si>
    <t>Optimum as per the ratio</t>
  </si>
  <si>
    <t>Actual Working capital coverage ratio</t>
  </si>
  <si>
    <t>31st March 2022</t>
  </si>
  <si>
    <t>31st March 2023</t>
  </si>
  <si>
    <t>31st March 2024</t>
  </si>
  <si>
    <t>31st March 2025</t>
  </si>
  <si>
    <t>31st March 2026</t>
  </si>
  <si>
    <t>31st March 2027</t>
  </si>
  <si>
    <t xml:space="preserve">Profit After Tax </t>
  </si>
  <si>
    <t xml:space="preserve"> Int on Term loan </t>
  </si>
  <si>
    <t>Total</t>
  </si>
  <si>
    <t>DEBT</t>
  </si>
  <si>
    <t xml:space="preserve">Int on Term loan </t>
  </si>
  <si>
    <t>Term loan repayment</t>
  </si>
  <si>
    <t>D.S.C.R</t>
  </si>
  <si>
    <t>Principal Amount :</t>
  </si>
  <si>
    <t>PRINCIPAL</t>
  </si>
  <si>
    <t>INT</t>
  </si>
  <si>
    <t>PRIN</t>
  </si>
  <si>
    <t>EMI</t>
  </si>
  <si>
    <t>Loan Required</t>
  </si>
  <si>
    <t>rate of Int</t>
  </si>
  <si>
    <t>No. of years</t>
  </si>
  <si>
    <t>Fixed Assets Schedule</t>
  </si>
  <si>
    <t>Schedule - 01</t>
  </si>
  <si>
    <t>Description of Asset</t>
  </si>
  <si>
    <t>Rate</t>
  </si>
  <si>
    <t>Opening</t>
  </si>
  <si>
    <t>Addition</t>
  </si>
  <si>
    <t>Dep for the year ending 31.3.26</t>
  </si>
  <si>
    <t>Total Closing 31.3.26</t>
  </si>
  <si>
    <t>Closing W.D.V as on 31.03.2027</t>
  </si>
  <si>
    <t>Closing W.D.V as on 31.03.2028</t>
  </si>
  <si>
    <t>Closing W.D.V as on 31.03.2029</t>
  </si>
  <si>
    <t>Closing W.D.V as on 31.03.2030</t>
  </si>
  <si>
    <t>Closing W.D.V as on 31.03.2031</t>
  </si>
  <si>
    <t>More than 180 Days</t>
  </si>
  <si>
    <t>Less than 180 days</t>
  </si>
  <si>
    <t>Plant &amp; Machinery</t>
  </si>
  <si>
    <t>Office Equipment</t>
  </si>
  <si>
    <t>Loan Amount</t>
  </si>
  <si>
    <t>Duration(In Month)</t>
  </si>
  <si>
    <t>Rate Of Interest(p.a.)</t>
  </si>
  <si>
    <t>Start Date</t>
  </si>
  <si>
    <t>End Date</t>
  </si>
  <si>
    <t>EMI/Installment</t>
  </si>
  <si>
    <t>EMI calculation</t>
  </si>
  <si>
    <t>EMI No</t>
  </si>
  <si>
    <t>Date of Pmt.</t>
  </si>
  <si>
    <t>Opening Bal.</t>
  </si>
  <si>
    <t>Principal Amt</t>
  </si>
  <si>
    <t>Closing Bal.</t>
  </si>
  <si>
    <t>Interest Amt.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</si>
</sst>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164" formatCode="_(* #,##0.00_);_(* (#,##0.00);_(* &quot;-&quot;??_);_(@_)"/>
    <numFmt numFmtId="165" formatCode="[$-409]d-mmm-yy;@"/>
    <numFmt numFmtId="166" formatCode="_(* #,##0_);_(* (#,##0);_(* &quot;-&quot;??_);_(@_)"/>
    <numFmt numFmtId="167" formatCode="_(* #,##0.0000_);_(* (#,##0.0000);_(* &quot;-&quot;??_);_(@_)"/>
    <numFmt numFmtId="168" formatCode="_ * #,##0.00_ ;_ * -#,##0.00_ ;_ * &quot;-&quot;??_ ;_ @_ "/>
    <numFmt numFmtId="169" formatCode="0.0%"/>
    <numFmt numFmtId="170" formatCode="_(* #,##0.0_);_(* (#,##0.0);_(* &quot;-&quot;??_);_(@_)"/>
    <numFmt numFmtId="171" formatCode="mm/dd/yy;@"/>
    <numFmt numFmtId="172" formatCode="[$₹-439]#,##0.00;[Red][$₹-439]-#,##0.00"/>
    <numFmt numFmtId="173" formatCode="[$₹-439]#,##0.00"/>
    <numFmt numFmtId="174" formatCode="&quot;$&quot;#,##0.00_);[Red](&quot;$&quot;#,##0.00)"/>
  </numFmts>
  <fonts count="40" x14ac:knownFonts="1">
    <font>
      <color theme="1"/>
      <family val="2"/>
      <scheme val="minor"/>
      <sz val="11"/>
      <name val="Calibri"/>
    </font>
    <font>
      <b/>
      <color theme="1"/>
      <family val="2"/>
      <scheme val="minor"/>
      <sz val="11"/>
      <name val="Calibri"/>
    </font>
    <font>
      <u/>
      <color theme="10"/>
      <family val="2"/>
      <scheme val="minor"/>
      <sz val="11"/>
      <name val="Calibri"/>
    </font>
    <font>
      <color rgb="FFFF0000"/>
      <family val="2"/>
      <scheme val="minor"/>
      <sz val="11"/>
      <name val="Calibri"/>
    </font>
    <font>
      <b/>
      <color theme="1"/>
      <family val="2"/>
      <scheme val="minor"/>
      <sz val="14"/>
      <name val="Calibri"/>
    </font>
    <font>
      <b/>
      <color theme="0"/>
      <family val="2"/>
      <scheme val="minor"/>
      <sz val="20"/>
      <name val="Calibri"/>
    </font>
    <font>
      <b/>
      <color theme="0"/>
      <family val="2"/>
      <scheme val="minor"/>
      <sz val="11"/>
      <name val="Calibri"/>
    </font>
    <font>
      <b/>
      <color rgb="FF000000"/>
      <family val="2"/>
      <scheme val="minor"/>
      <sz val="11"/>
      <name val="Calibri"/>
    </font>
    <font>
      <color rgb="FF000000"/>
      <family val="2"/>
      <scheme val="minor"/>
      <sz val="11"/>
      <name val="Calibri"/>
    </font>
    <font>
      <color theme="1"/>
      <family val="2"/>
      <scheme val="minor"/>
      <sz val="14"/>
      <name val="Calibri"/>
    </font>
    <font>
      <b/>
      <color theme="0"/>
      <family val="2"/>
      <scheme val="minor"/>
      <sz val="14"/>
      <name val="Calibri"/>
    </font>
    <font>
      <color theme="0"/>
      <family val="2"/>
      <scheme val="minor"/>
      <sz val="11"/>
      <name val="Calibri"/>
    </font>
    <font>
      <b/>
      <color rgb="FFFFFFFF"/>
      <family val="2"/>
      <scheme val="minor"/>
      <sz val="11"/>
      <name val="Calibri"/>
    </font>
    <font>
      <b/>
      <color rgb="FF000000"/>
      <family val="2"/>
      <scheme val="minor"/>
      <sz val="14"/>
      <name val="Calibri"/>
    </font>
    <font>
      <color theme="1"/>
      <family val="2"/>
      <scheme val="minor"/>
      <sz val="9"/>
      <name val="Calibri"/>
    </font>
    <font>
      <color rgb="FF000000"/>
      <family val="2"/>
      <scheme val="minor"/>
      <sz val="9"/>
      <name val="Calibri"/>
    </font>
    <font>
      <b/>
      <color theme="1"/>
      <family val="2"/>
      <scheme val="minor"/>
      <sz val="9"/>
      <name val="Calibri"/>
    </font>
    <font>
      <b/>
      <family val="2"/>
      <scheme val="minor"/>
      <sz val="12"/>
      <name val="Calibri"/>
    </font>
    <font>
      <b/>
      <family val="2"/>
      <scheme val="minor"/>
      <sz val="11"/>
      <name val="Calibri"/>
    </font>
    <font>
      <family val="2"/>
      <scheme val="minor"/>
      <sz val="11"/>
      <name val="Calibri"/>
    </font>
    <font>
      <b/>
      <u/>
      <color theme="1"/>
      <family val="2"/>
      <scheme val="minor"/>
      <sz val="11"/>
      <name val="Calibri"/>
    </font>
    <font>
      <b/>
      <i/>
      <color theme="1"/>
      <family val="2"/>
      <scheme val="minor"/>
      <sz val="11"/>
      <name val="Calibri"/>
    </font>
    <font>
      <b/>
      <i/>
      <color theme="1"/>
      <family val="2"/>
      <scheme val="minor"/>
      <sz val="9"/>
      <name val="Calibri"/>
    </font>
    <font>
      <b/>
      <u val="singleAccounting"/>
      <color theme="1"/>
      <family val="2"/>
      <scheme val="minor"/>
      <sz val="11"/>
      <name val="Calibri"/>
    </font>
    <font>
      <i/>
      <color theme="1"/>
      <family val="2"/>
      <scheme val="minor"/>
      <sz val="11"/>
      <name val="Calibri"/>
    </font>
    <font>
      <b/>
      <u val="double"/>
      <color theme="1"/>
      <family val="2"/>
      <scheme val="minor"/>
      <sz val="11"/>
      <name val="Calibri"/>
    </font>
    <font>
      <u val="singleAccounting"/>
      <color theme="1"/>
      <family val="2"/>
      <scheme val="minor"/>
      <sz val="11"/>
      <name val="Calibri"/>
    </font>
    <font>
      <family val="2"/>
      <sz val="10"/>
      <name val="Arial"/>
    </font>
    <font>
      <color theme="1"/>
      <family val="2"/>
      <sz val="12"/>
      <name val="Arial"/>
    </font>
    <font>
      <b/>
      <i/>
      <u/>
      <color theme="1"/>
      <family val="2"/>
      <scheme val="minor"/>
      <sz val="12"/>
      <name val="Calibri"/>
    </font>
    <font>
      <b/>
      <i/>
      <u/>
      <color theme="1"/>
      <family val="2"/>
      <scheme val="minor"/>
      <sz val="14"/>
      <name val="Calibri"/>
    </font>
    <font>
      <b/>
      <family val="2"/>
      <sz val="11"/>
      <name val="Arial"/>
    </font>
    <font>
      <b/>
      <family val="2"/>
      <sz val="10"/>
      <name val="Arial"/>
    </font>
    <font>
      <b/>
      <u/>
      <color indexed="8"/>
      <family val="1"/>
      <sz val="13"/>
      <name val="Book Antiqua"/>
    </font>
    <font>
      <b/>
      <color indexed="8"/>
      <family val="1"/>
      <sz val="13"/>
      <name val="Book Antiqua"/>
    </font>
    <font>
      <b/>
      <color indexed="8"/>
      <family val="1"/>
      <sz val="11"/>
      <name val="Book Antiqua"/>
    </font>
    <font>
      <b/>
      <u/>
      <color indexed="8"/>
      <family val="1"/>
      <sz val="11"/>
      <name val="Book Antiqua"/>
    </font>
    <font>
      <color indexed="8"/>
      <family val="1"/>
      <sz val="11"/>
      <name val="Book Antiqua"/>
    </font>
    <font>
      <color rgb="FF000000"/>
      <family val="2"/>
      <sz val="11"/>
      <name val="Calibri"/>
    </font>
    <font>
      <b/>
      <color rgb="FF000000"/>
      <family val="2"/>
      <sz val="11"/>
      <name val="Calibri"/>
    </font>
  </fonts>
  <fills count="23">
    <fill>
      <patternFill patternType="none"/>
    </fill>
    <fill>
      <patternFill patternType="gray125"/>
    </fill>
    <fill>
      <patternFill patternType="solid">
        <fgColor theme="2" tint="-0.0999786370433668"/>
        <bgColor indexed="64"/>
      </patternFill>
    </fill>
    <fill>
      <patternFill patternType="solid">
        <fgColor theme="9" tint="0.7999816888943144"/>
        <bgColor indexed="64"/>
      </patternFill>
    </fill>
    <fill>
      <patternFill patternType="solid">
        <fgColor theme="4" tint="0.5999938962981048"/>
        <bgColor indexed="64"/>
      </patternFill>
    </fill>
    <fill>
      <patternFill patternType="solid">
        <fgColor rgb="FF002060"/>
        <bgColor indexed="64"/>
      </patternFill>
    </fill>
    <fill>
      <patternFill patternType="solid">
        <fgColor theme="4" tint="0.3999755851924192"/>
        <bgColor indexed="64"/>
      </patternFill>
    </fill>
    <fill>
      <patternFill patternType="solid">
        <fgColor rgb="FF92D050"/>
        <bgColor indexed="64"/>
      </patternFill>
    </fill>
    <fill>
      <patternFill patternType="solid">
        <fgColor theme="0" tint="-0.1499984740745262"/>
        <bgColor indexed="64"/>
      </patternFill>
    </fill>
    <fill>
      <patternFill patternType="solid">
        <fgColor theme="0"/>
        <bgColor indexed="64"/>
      </patternFill>
    </fill>
    <fill>
      <patternFill patternType="solid">
        <fgColor theme="1" tint="0.0499893185216834"/>
        <bgColor indexed="64"/>
      </patternFill>
    </fill>
    <fill>
      <patternFill patternType="solid">
        <fgColor rgb="FF002060"/>
        <bgColor rgb="FF000000"/>
      </patternFill>
    </fill>
    <fill>
      <patternFill patternType="solid">
        <fgColor theme="4" tint="0.7999816888943144"/>
        <bgColor indexed="64"/>
      </patternFill>
    </fill>
    <fill>
      <patternFill patternType="solid">
        <fgColor theme="6" tint="0.5999938962981048"/>
        <bgColor indexed="64"/>
      </patternFill>
    </fill>
    <fill>
      <patternFill patternType="solid">
        <fgColor rgb="FFD8E4BC"/>
        <bgColor rgb="FF000000"/>
      </patternFill>
    </fill>
    <fill>
      <patternFill patternType="solid">
        <fgColor theme="0" tint="-0.249977111117893"/>
        <bgColor indexed="64"/>
      </patternFill>
    </fill>
    <fill>
      <patternFill patternType="solid">
        <fgColor theme="3" tint="0.7999816888943144"/>
        <bgColor indexed="64"/>
      </patternFill>
    </fill>
    <fill>
      <patternFill patternType="solid">
        <fgColor theme="0" tint="-0.0499893185216834"/>
        <bgColor indexed="64"/>
      </patternFill>
    </fill>
    <fill>
      <patternFill patternType="solid">
        <fgColor indexed="9"/>
        <bgColor indexed="64"/>
      </patternFill>
    </fill>
    <fill>
      <patternFill patternType="solid">
        <fgColor rgb="FF92CDDC"/>
        <bgColor rgb="FF000000"/>
      </patternFill>
    </fill>
    <fill>
      <patternFill patternType="solid">
        <fgColor rgb="FFFFFF00"/>
        <bgColor rgb="FF000000"/>
      </patternFill>
    </fill>
    <fill>
      <patternFill patternType="solid">
        <fgColor rgb="FFFDE9D9"/>
        <bgColor rgb="FF000000"/>
      </patternFill>
    </fill>
    <fill>
      <patternFill patternType="solid">
        <fgColor rgb="FFC4D79B"/>
        <bgColor rgb="FF000000"/>
      </patternFill>
    </fill>
  </fills>
  <borders count="62">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bottom/>
      <diagonal/>
    </border>
    <border>
      <left/>
      <right style="thin">
        <color indexed="64"/>
      </right>
      <top/>
      <bottom/>
      <diagonal/>
    </border>
    <border>
      <left/>
      <right style="thin">
        <color indexed="64"/>
      </right>
      <top style="thin">
        <color indexed="64"/>
      </top>
      <bottom style="double">
        <color indexed="64"/>
      </bottom>
      <diagonal/>
    </border>
    <border>
      <left/>
      <right style="thin">
        <color indexed="64"/>
      </right>
      <top/>
      <bottom style="double">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double">
        <color indexed="64"/>
      </bottom>
      <diagonal/>
    </border>
    <border>
      <left/>
      <right style="medium">
        <color indexed="64"/>
      </right>
      <top/>
      <bottom style="double">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thin">
        <color indexed="64"/>
      </top>
      <bottom/>
      <diagonal/>
    </border>
    <border>
      <left/>
      <right/>
      <top/>
      <bottom style="double">
        <color indexed="64"/>
      </bottom>
      <diagonal/>
    </border>
    <border>
      <left style="medium">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rgb="FF000000"/>
      </left>
      <right style="thin">
        <color rgb="FF000000"/>
      </right>
      <top style="thin">
        <color indexed="64"/>
      </top>
      <bottom style="thin">
        <color indexed="64"/>
      </bottom>
      <diagonal/>
    </border>
    <border>
      <left/>
      <right/>
      <top style="thin">
        <color indexed="64"/>
      </top>
      <bottom/>
      <diagonal/>
    </border>
    <border>
      <left style="thin">
        <color indexed="64"/>
      </left>
      <right style="thin">
        <color rgb="FF000000"/>
      </right>
      <top style="thin">
        <color indexed="64"/>
      </top>
      <bottom style="thin">
        <color indexed="64"/>
      </bottom>
      <diagonal/>
    </border>
    <border>
      <left style="thin">
        <color rgb="FF000000"/>
      </left>
      <right style="thin">
        <color rgb="FF000000"/>
      </right>
      <top/>
      <bottom style="thin">
        <color indexed="64"/>
      </bottom>
      <diagonal/>
    </border>
    <border>
      <left style="thin">
        <color rgb="FF000000"/>
      </left>
      <right style="thin">
        <color rgb="FF000000"/>
      </right>
      <top/>
      <bottom/>
      <diagonal/>
    </border>
    <border>
      <left style="thin">
        <color rgb="FF000000"/>
      </left>
      <right/>
      <top/>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40">
    <xf numFmtId="0" fontId="0" fillId="0" borderId="0" xfId="0"/>
    <xf numFmtId="0" fontId="1" fillId="2" borderId="0" xfId="0" applyFont="1" applyFill="1" applyAlignment="1">
      <alignment horizontal="left" vertical="center"/>
    </xf>
    <xf numFmtId="0" fontId="0" fillId="3" borderId="0" xfId="0" applyFill="1"/>
    <xf numFmtId="0" fontId="1" fillId="0" borderId="0" xfId="0" applyFont="1" applyAlignment="1">
      <alignment horizontal="left" vertical="center"/>
    </xf>
    <xf numFmtId="0" fontId="2" fillId="3" borderId="0" xfId="0" applyFont="1" applyFill="1"/>
    <xf numFmtId="0" fontId="1" fillId="2" borderId="0" xfId="0" applyFont="1" applyFill="1"/>
    <xf numFmtId="0" fontId="1" fillId="2" borderId="0" xfId="0" applyFont="1" applyFill="1" applyAlignment="1">
      <alignment wrapText="1"/>
    </xf>
    <xf numFmtId="15" fontId="3" fillId="0" borderId="0" xfId="0" applyNumberFormat="1" applyFont="1"/>
    <xf numFmtId="0" fontId="1" fillId="4" borderId="0" xfId="0" applyFont="1" applyFill="1"/>
    <xf numFmtId="0" fontId="1" fillId="0" borderId="0" xfId="0" applyFont="1"/>
    <xf numFmtId="0" fontId="0" fillId="3" borderId="0" xfId="0" applyFill="1" applyAlignment="1">
      <alignment wrapText="1"/>
    </xf>
    <xf numFmtId="0" fontId="0" fillId="2" borderId="0" xfId="0" applyFill="1"/>
    <xf numFmtId="14" fontId="0" fillId="3" borderId="0" xfId="0" applyNumberFormat="1" applyFill="1"/>
    <xf numFmtId="0" fontId="0" fillId="0" borderId="0" xfId="0" applyAlignment="1">
      <alignment wrapText="1"/>
    </xf>
    <xf numFmtId="0" fontId="1" fillId="0" borderId="0" xfId="0" applyFont="1" applyAlignment="1">
      <alignment wrapText="1"/>
    </xf>
    <xf numFmtId="0" fontId="2" fillId="0" borderId="0" xfId="0" applyFont="1" applyAlignment="1">
      <alignment wrapText="1"/>
    </xf>
    <xf numFmtId="0" fontId="2" fillId="0" borderId="0" xfId="0" applyFont="1"/>
    <xf numFmtId="0" fontId="4" fillId="0" borderId="0" xfId="0" applyFont="1"/>
    <xf numFmtId="0" fontId="5" fillId="5" borderId="0" xfId="0" applyFont="1" applyFill="1"/>
    <xf numFmtId="0" fontId="6" fillId="5" borderId="0" xfId="0" applyFont="1" applyFill="1"/>
    <xf numFmtId="0" fontId="6" fillId="0" borderId="0" xfId="0" applyFont="1"/>
    <xf numFmtId="0" fontId="7" fillId="0" borderId="0" xfId="0" applyFont="1"/>
    <xf numFmtId="14" fontId="1" fillId="0" borderId="0" xfId="0" applyNumberFormat="1" applyFont="1"/>
    <xf numFmtId="0" fontId="8" fillId="0" borderId="0" xfId="0" applyFont="1"/>
    <xf numFmtId="0" fontId="4" fillId="6" borderId="0" xfId="0" applyFont="1" applyFill="1"/>
    <xf numFmtId="0" fontId="4" fillId="6" borderId="0" xfId="0" applyFont="1" applyFill="1" applyAlignment="1">
      <alignment wrapText="1"/>
    </xf>
    <xf numFmtId="164" fontId="9" fillId="7" borderId="0" xfId="0" applyNumberFormat="1" applyFont="1" applyFill="1"/>
    <xf numFmtId="0" fontId="9" fillId="2" borderId="0" xfId="0" applyFont="1" applyFill="1"/>
    <xf numFmtId="0" fontId="9" fillId="0" borderId="0" xfId="0" applyFont="1"/>
    <xf numFmtId="164" fontId="9" fillId="2" borderId="0" xfId="0" applyNumberFormat="1" applyFont="1" applyFill="1"/>
    <xf numFmtId="164" fontId="9" fillId="0" borderId="0" xfId="0" applyNumberFormat="1" applyFont="1"/>
    <xf numFmtId="0" fontId="0" fillId="7" borderId="0" xfId="0" applyFill="1"/>
    <xf numFmtId="9" fontId="0" fillId="7" borderId="0" xfId="0" applyNumberFormat="1" applyFill="1"/>
    <xf numFmtId="9" fontId="0" fillId="8" borderId="0" xfId="0" applyNumberFormat="1" applyFill="1"/>
    <xf numFmtId="0" fontId="0" fillId="0" borderId="0" xfId="0" applyAlignment="1">
      <alignment horizontal="center"/>
    </xf>
    <xf numFmtId="164" fontId="4" fillId="0" borderId="0" xfId="0" applyNumberFormat="1" applyFont="1"/>
    <xf numFmtId="9" fontId="1" fillId="0" borderId="0" xfId="0" applyNumberFormat="1" applyFont="1"/>
    <xf numFmtId="9" fontId="0" fillId="0" borderId="0" xfId="0" applyNumberFormat="1"/>
    <xf numFmtId="164" fontId="9" fillId="7" borderId="0" xfId="0" applyNumberFormat="1" applyFont="1" applyFill="1" applyAlignment="1">
      <alignment wrapText="1"/>
    </xf>
    <xf numFmtId="0" fontId="9" fillId="7" borderId="0" xfId="0" applyFont="1" applyFill="1"/>
    <xf numFmtId="165" fontId="7" fillId="9" borderId="0" xfId="0" applyNumberFormat="1" applyFont="1" applyFill="1"/>
    <xf numFmtId="0" fontId="6" fillId="9" borderId="0" xfId="0" applyFont="1" applyFill="1"/>
    <xf numFmtId="16" fontId="0" fillId="0" borderId="0" xfId="0" applyNumberFormat="1"/>
    <xf numFmtId="164" fontId="9" fillId="2" borderId="0" xfId="0" applyNumberFormat="1" applyFont="1" applyFill="1" applyAlignment="1">
      <alignment wrapText="1"/>
    </xf>
    <xf numFmtId="0" fontId="6" fillId="5" borderId="0" xfId="0" applyFont="1" applyFill="1" applyAlignment="1">
      <alignment horizontal="center" vertical="center"/>
    </xf>
    <xf numFmtId="0" fontId="10" fillId="5" borderId="0" xfId="0" applyFont="1" applyFill="1" applyAlignment="1">
      <alignment horizontal="center"/>
    </xf>
    <xf numFmtId="0" fontId="6" fillId="10" borderId="0" xfId="0" applyFont="1" applyFill="1" applyAlignment="1">
      <alignment horizontal="center" vertical="center"/>
    </xf>
    <xf numFmtId="14" fontId="11" fillId="5" borderId="0" xfId="0" applyNumberFormat="1" applyFont="1" applyFill="1" applyAlignment="1">
      <alignment horizontal="center" vertical="center"/>
    </xf>
    <xf numFmtId="14" fontId="11" fillId="10" borderId="0" xfId="0" applyNumberFormat="1" applyFont="1" applyFill="1" applyAlignment="1">
      <alignment horizontal="center" vertical="center"/>
    </xf>
    <xf numFmtId="14" fontId="11" fillId="5" borderId="0" xfId="0" applyNumberFormat="1" applyFont="1" applyFill="1"/>
    <xf numFmtId="0" fontId="1" fillId="3" borderId="0" xfId="0" applyFont="1" applyFill="1"/>
    <xf numFmtId="166" fontId="0" fillId="3" borderId="0" xfId="0" applyNumberFormat="1" applyFill="1"/>
    <xf numFmtId="166" fontId="1" fillId="3" borderId="0" xfId="0" applyNumberFormat="1" applyFont="1" applyFill="1"/>
    <xf numFmtId="166" fontId="1" fillId="8" borderId="0" xfId="0" applyNumberFormat="1" applyFont="1" applyFill="1"/>
    <xf numFmtId="166" fontId="0" fillId="0" borderId="0" xfId="0" applyNumberFormat="1"/>
    <xf numFmtId="166" fontId="0" fillId="8" borderId="0" xfId="0" applyNumberFormat="1" applyFill="1"/>
    <xf numFmtId="0" fontId="0" fillId="3" borderId="0" xfId="0" applyFill="1" applyAlignment="1">
      <alignment horizontal="left" indent="1"/>
    </xf>
    <xf numFmtId="167" fontId="1" fillId="0" borderId="0" xfId="0" applyNumberFormat="1" applyFont="1"/>
    <xf numFmtId="167" fontId="6" fillId="5" borderId="0" xfId="0" applyNumberFormat="1" applyFont="1" applyFill="1" applyAlignment="1">
      <alignment horizontal="center"/>
    </xf>
    <xf numFmtId="166" fontId="6" fillId="5" borderId="0" xfId="0" applyNumberFormat="1" applyFont="1" applyFill="1"/>
    <xf numFmtId="168" fontId="0" fillId="0" borderId="0" xfId="0" applyNumberFormat="1"/>
    <xf numFmtId="14" fontId="0" fillId="0" borderId="0" xfId="0" applyNumberFormat="1"/>
    <xf numFmtId="0" fontId="6" fillId="5" borderId="0" xfId="0" applyFont="1" applyFill="1" applyAlignment="1">
      <alignment horizontal="center"/>
    </xf>
    <xf numFmtId="0" fontId="6" fillId="5" borderId="0" xfId="0" applyFont="1" applyFill="1" applyAlignment="1">
      <alignment horizontal="right"/>
    </xf>
    <xf numFmtId="0" fontId="6" fillId="5" borderId="0" xfId="0" applyFont="1" applyFill="1" applyAlignment="1">
      <alignment horizontal="left"/>
    </xf>
    <xf numFmtId="0" fontId="6" fillId="0" borderId="0" xfId="0" applyFont="1" applyAlignment="1">
      <alignment horizontal="center"/>
    </xf>
    <xf numFmtId="0" fontId="12" fillId="11" borderId="0" xfId="0" applyFont="1" applyFill="1" applyAlignment="1">
      <alignment horizontal="right"/>
    </xf>
    <xf numFmtId="0" fontId="12" fillId="11" borderId="0" xfId="0" applyFont="1" applyFill="1" applyAlignment="1">
      <alignment horizontal="left"/>
    </xf>
    <xf numFmtId="0" fontId="12" fillId="0" borderId="0" xfId="0" applyFont="1" applyAlignment="1">
      <alignment horizontal="left"/>
    </xf>
    <xf numFmtId="14" fontId="6" fillId="5" borderId="0" xfId="0" applyNumberFormat="1" applyFont="1" applyFill="1" applyAlignment="1">
      <alignment horizontal="center"/>
    </xf>
    <xf numFmtId="14" fontId="6" fillId="0" borderId="0" xfId="0" applyNumberFormat="1" applyFont="1" applyAlignment="1">
      <alignment horizontal="center"/>
    </xf>
    <xf numFmtId="14" fontId="6" fillId="5" borderId="0" xfId="0" applyNumberFormat="1" applyFont="1" applyFill="1" applyAlignment="1">
      <alignment horizontal="center" wrapText="1"/>
    </xf>
    <xf numFmtId="0" fontId="13" fillId="12" borderId="0" xfId="0" applyFont="1" applyFill="1" applyAlignment="1">
      <alignment horizontal="center" vertical="center"/>
    </xf>
    <xf numFmtId="0" fontId="7" fillId="12" borderId="0" xfId="0" applyFont="1" applyFill="1" applyAlignment="1">
      <alignment horizontal="center"/>
    </xf>
    <xf numFmtId="14" fontId="7" fillId="12" borderId="0" xfId="0" applyNumberFormat="1" applyFont="1" applyFill="1" applyAlignment="1">
      <alignment horizontal="center"/>
    </xf>
    <xf numFmtId="14" fontId="7" fillId="0" borderId="0" xfId="0" applyNumberFormat="1" applyFont="1" applyAlignment="1">
      <alignment horizontal="center"/>
    </xf>
    <xf numFmtId="0" fontId="7" fillId="0" borderId="0" xfId="0" applyFont="1" applyAlignment="1">
      <alignment horizontal="center"/>
    </xf>
    <xf numFmtId="166" fontId="9" fillId="0" borderId="0" xfId="0" applyNumberFormat="1" applyFont="1"/>
    <xf numFmtId="9" fontId="14" fillId="13" borderId="0" xfId="0" applyNumberFormat="1" applyFont="1" applyFill="1"/>
    <xf numFmtId="9" fontId="15" fillId="14" borderId="0" xfId="0" applyNumberFormat="1" applyFont="1" applyFill="1"/>
    <xf numFmtId="166" fontId="0" fillId="15" borderId="0" xfId="0" applyNumberFormat="1" applyFill="1"/>
    <xf numFmtId="166" fontId="1" fillId="0" borderId="0" xfId="0" applyNumberFormat="1" applyFont="1"/>
    <xf numFmtId="10" fontId="0" fillId="0" borderId="0" xfId="0" applyNumberFormat="1"/>
    <xf numFmtId="9" fontId="14" fillId="0" borderId="0" xfId="0" applyNumberFormat="1" applyFont="1"/>
    <xf numFmtId="0" fontId="1" fillId="0" borderId="0" xfId="0" applyFont="1" applyAlignment="1">
      <alignment horizontal="center"/>
    </xf>
    <xf numFmtId="166" fontId="0" fillId="15" borderId="0" xfId="0" applyNumberFormat="1" applyFill="1" applyAlignment="1">
      <alignment wrapText="1"/>
    </xf>
    <xf numFmtId="166" fontId="0" fillId="3" borderId="0" xfId="0" applyNumberFormat="1" applyFill="1" applyAlignment="1">
      <alignment horizontal="center"/>
    </xf>
    <xf numFmtId="166" fontId="0" fillId="8" borderId="0" xfId="0" applyNumberFormat="1" applyFill="1" applyAlignment="1">
      <alignment horizontal="center"/>
    </xf>
    <xf numFmtId="166" fontId="0" fillId="3" borderId="0" xfId="0" applyNumberFormat="1" applyFill="1" applyAlignment="1">
      <alignment wrapText="1"/>
    </xf>
    <xf numFmtId="0" fontId="1" fillId="12" borderId="0" xfId="0" applyFont="1" applyFill="1" applyAlignment="1">
      <alignment horizontal="center"/>
    </xf>
    <xf numFmtId="0" fontId="1" fillId="16" borderId="1" xfId="0" applyFont="1" applyFill="1" applyBorder="1"/>
    <xf numFmtId="0" fontId="1" fillId="16" borderId="2" xfId="0" applyFont="1" applyFill="1" applyBorder="1"/>
    <xf numFmtId="0" fontId="1" fillId="0" borderId="3" xfId="0" applyFont="1" applyBorder="1"/>
    <xf numFmtId="166" fontId="1" fillId="0" borderId="4" xfId="0" applyNumberFormat="1" applyFont="1" applyBorder="1"/>
    <xf numFmtId="166" fontId="1" fillId="0" borderId="5" xfId="0" applyNumberFormat="1" applyFont="1" applyBorder="1"/>
    <xf numFmtId="0" fontId="0" fillId="0" borderId="3" xfId="0" applyBorder="1"/>
    <xf numFmtId="166" fontId="0" fillId="0" borderId="4" xfId="0" applyNumberFormat="1" applyBorder="1"/>
    <xf numFmtId="166" fontId="1" fillId="0" borderId="6" xfId="0" applyNumberFormat="1" applyFont="1" applyBorder="1"/>
    <xf numFmtId="0" fontId="1" fillId="0" borderId="7" xfId="0" applyFont="1" applyBorder="1"/>
    <xf numFmtId="166" fontId="1" fillId="0" borderId="8" xfId="0" applyNumberFormat="1" applyFont="1" applyBorder="1"/>
    <xf numFmtId="3" fontId="0" fillId="0" borderId="0" xfId="0" applyNumberFormat="1"/>
    <xf numFmtId="0" fontId="14" fillId="0" borderId="0" xfId="0" applyFont="1"/>
    <xf numFmtId="0" fontId="16" fillId="0" borderId="0" xfId="0" applyFont="1"/>
    <xf numFmtId="166" fontId="14" fillId="0" borderId="0" xfId="0" applyNumberFormat="1" applyFont="1"/>
    <xf numFmtId="164" fontId="14" fillId="0" borderId="0" xfId="0" applyNumberFormat="1" applyFont="1"/>
    <xf numFmtId="10" fontId="14" fillId="0" borderId="0" xfId="0" applyNumberFormat="1" applyFont="1"/>
    <xf numFmtId="164" fontId="17" fillId="8" borderId="0" xfId="0" applyNumberFormat="1" applyFont="1" applyFill="1" applyAlignment="1">
      <alignment horizontal="center"/>
    </xf>
    <xf numFmtId="164" fontId="18" fillId="0" borderId="0" xfId="0" applyNumberFormat="1" applyFont="1" applyAlignment="1">
      <alignment horizontal="center"/>
    </xf>
    <xf numFmtId="164" fontId="18" fillId="17" borderId="0" xfId="0" applyNumberFormat="1" applyFont="1" applyFill="1" applyAlignment="1">
      <alignment horizontal="center"/>
    </xf>
    <xf numFmtId="164" fontId="19" fillId="0" borderId="0" xfId="0" applyNumberFormat="1" applyFont="1" applyAlignment="1">
      <alignment horizontal="center"/>
    </xf>
    <xf numFmtId="0" fontId="1" fillId="8" borderId="9" xfId="0" applyFont="1" applyFill="1" applyBorder="1" applyAlignment="1">
      <alignment horizontal="center"/>
    </xf>
    <xf numFmtId="0" fontId="1" fillId="8" borderId="10" xfId="0" applyFont="1" applyFill="1" applyBorder="1" applyAlignment="1">
      <alignment horizontal="center"/>
    </xf>
    <xf numFmtId="0" fontId="1" fillId="8" borderId="11" xfId="0" applyFont="1" applyFill="1" applyBorder="1"/>
    <xf numFmtId="14" fontId="1" fillId="8" borderId="12" xfId="0" applyNumberFormat="1" applyFont="1" applyFill="1" applyBorder="1"/>
    <xf numFmtId="0" fontId="1" fillId="8" borderId="12" xfId="0" applyFont="1" applyFill="1" applyBorder="1"/>
    <xf numFmtId="0" fontId="0" fillId="0" borderId="13" xfId="0" applyBorder="1"/>
    <xf numFmtId="0" fontId="0" fillId="0" borderId="14" xfId="0" applyBorder="1"/>
    <xf numFmtId="0" fontId="20" fillId="0" borderId="15" xfId="0" applyFont="1" applyBorder="1"/>
    <xf numFmtId="0" fontId="20" fillId="0" borderId="16" xfId="0" applyFont="1" applyBorder="1"/>
    <xf numFmtId="0" fontId="0" fillId="0" borderId="16" xfId="0" applyBorder="1"/>
    <xf numFmtId="0" fontId="0" fillId="0" borderId="15" xfId="0" applyBorder="1"/>
    <xf numFmtId="164" fontId="0" fillId="0" borderId="15" xfId="0" applyNumberFormat="1" applyBorder="1"/>
    <xf numFmtId="164" fontId="0" fillId="0" borderId="16" xfId="0" applyNumberFormat="1" applyBorder="1"/>
    <xf numFmtId="166" fontId="0" fillId="0" borderId="16" xfId="0" applyNumberFormat="1" applyBorder="1"/>
    <xf numFmtId="166" fontId="0" fillId="0" borderId="15" xfId="0" applyNumberFormat="1" applyBorder="1"/>
    <xf numFmtId="168" fontId="1" fillId="0" borderId="0" xfId="0" applyNumberFormat="1" applyFont="1"/>
    <xf numFmtId="166" fontId="21" fillId="0" borderId="17" xfId="0" applyNumberFormat="1" applyFont="1" applyBorder="1"/>
    <xf numFmtId="166" fontId="1" fillId="0" borderId="16" xfId="0" applyNumberFormat="1" applyFont="1" applyBorder="1"/>
    <xf numFmtId="166" fontId="1" fillId="0" borderId="15" xfId="0" applyNumberFormat="1" applyFont="1" applyBorder="1"/>
    <xf numFmtId="0" fontId="1" fillId="0" borderId="15" xfId="0" applyFont="1" applyBorder="1"/>
    <xf numFmtId="0" fontId="1" fillId="0" borderId="16" xfId="0" applyFont="1" applyBorder="1"/>
    <xf numFmtId="0" fontId="22" fillId="0" borderId="0" xfId="0" applyFont="1"/>
    <xf numFmtId="164" fontId="22" fillId="0" borderId="15" xfId="0" applyNumberFormat="1" applyFont="1" applyBorder="1"/>
    <xf numFmtId="166" fontId="1" fillId="0" borderId="17" xfId="0" applyNumberFormat="1" applyFont="1" applyBorder="1"/>
    <xf numFmtId="10" fontId="0" fillId="0" borderId="16" xfId="0" applyNumberFormat="1" applyBorder="1"/>
    <xf numFmtId="0" fontId="0" fillId="0" borderId="15" xfId="0" applyBorder="1" applyAlignment="1">
      <alignment wrapText="1"/>
    </xf>
    <xf numFmtId="0" fontId="0" fillId="0" borderId="16" xfId="0" applyBorder="1" applyAlignment="1">
      <alignment wrapText="1"/>
    </xf>
    <xf numFmtId="0" fontId="1" fillId="0" borderId="15" xfId="0" applyFont="1" applyBorder="1" applyAlignment="1">
      <alignment wrapText="1"/>
    </xf>
    <xf numFmtId="166" fontId="23" fillId="0" borderId="16" xfId="0" applyNumberFormat="1" applyFont="1" applyBorder="1"/>
    <xf numFmtId="166" fontId="23" fillId="0" borderId="15" xfId="0" applyNumberFormat="1" applyFont="1" applyBorder="1"/>
    <xf numFmtId="0" fontId="21" fillId="0" borderId="15" xfId="0" applyFont="1" applyBorder="1"/>
    <xf numFmtId="9" fontId="24" fillId="0" borderId="16" xfId="0" applyNumberFormat="1" applyFont="1" applyBorder="1"/>
    <xf numFmtId="166" fontId="1" fillId="0" borderId="18" xfId="0" applyNumberFormat="1" applyFont="1" applyBorder="1"/>
    <xf numFmtId="10" fontId="24" fillId="0" borderId="16" xfId="0" applyNumberFormat="1" applyFont="1" applyBorder="1"/>
    <xf numFmtId="0" fontId="1" fillId="0" borderId="17" xfId="0" applyFont="1" applyBorder="1" applyAlignment="1">
      <alignment wrapText="1"/>
    </xf>
    <xf numFmtId="0" fontId="0" fillId="0" borderId="19" xfId="0" applyBorder="1"/>
    <xf numFmtId="0" fontId="0" fillId="0" borderId="20" xfId="0" applyBorder="1"/>
    <xf numFmtId="164" fontId="17" fillId="8" borderId="21" xfId="0" applyNumberFormat="1" applyFont="1" applyFill="1" applyBorder="1" applyAlignment="1">
      <alignment horizontal="center"/>
    </xf>
    <xf numFmtId="164" fontId="17" fillId="8" borderId="22" xfId="0" applyNumberFormat="1" applyFont="1" applyFill="1" applyBorder="1" applyAlignment="1">
      <alignment horizontal="center"/>
    </xf>
    <xf numFmtId="164" fontId="17" fillId="8" borderId="12" xfId="0" applyNumberFormat="1" applyFont="1" applyFill="1" applyBorder="1" applyAlignment="1">
      <alignment horizontal="center"/>
    </xf>
    <xf numFmtId="164" fontId="18" fillId="0" borderId="23" xfId="0" applyNumberFormat="1" applyFont="1" applyBorder="1" applyAlignment="1">
      <alignment horizontal="center"/>
    </xf>
    <xf numFmtId="164" fontId="18" fillId="17" borderId="21" xfId="0" applyNumberFormat="1" applyFont="1" applyFill="1" applyBorder="1" applyAlignment="1">
      <alignment horizontal="center"/>
    </xf>
    <xf numFmtId="164" fontId="18" fillId="17" borderId="22" xfId="0" applyNumberFormat="1" applyFont="1" applyFill="1" applyBorder="1" applyAlignment="1">
      <alignment horizontal="center"/>
    </xf>
    <xf numFmtId="164" fontId="18" fillId="17" borderId="12" xfId="0" applyNumberFormat="1" applyFont="1" applyFill="1" applyBorder="1" applyAlignment="1">
      <alignment horizontal="center"/>
    </xf>
    <xf numFmtId="164" fontId="18" fillId="0" borderId="9" xfId="0" applyNumberFormat="1" applyFont="1" applyBorder="1" applyAlignment="1">
      <alignment horizontal="center"/>
    </xf>
    <xf numFmtId="164" fontId="18" fillId="0" borderId="10" xfId="0" applyNumberFormat="1" applyFont="1" applyBorder="1" applyAlignment="1">
      <alignment horizontal="center"/>
    </xf>
    <xf numFmtId="0" fontId="0" fillId="0" borderId="10" xfId="0" applyBorder="1"/>
    <xf numFmtId="0" fontId="1" fillId="8" borderId="20" xfId="0" applyFont="1" applyFill="1" applyBorder="1" applyAlignment="1">
      <alignment horizontal="center"/>
    </xf>
    <xf numFmtId="0" fontId="1" fillId="8" borderId="24" xfId="0" applyFont="1" applyFill="1" applyBorder="1" applyAlignment="1">
      <alignment vertical="center" wrapText="1"/>
    </xf>
    <xf numFmtId="166" fontId="1" fillId="0" borderId="25" xfId="0" applyNumberFormat="1" applyFont="1" applyBorder="1" applyAlignment="1">
      <alignment horizontal="center" wrapText="1"/>
    </xf>
    <xf numFmtId="166" fontId="1" fillId="8" borderId="11" xfId="0" applyNumberFormat="1" applyFont="1" applyFill="1" applyBorder="1" applyAlignment="1">
      <alignment horizontal="center" wrapText="1"/>
    </xf>
    <xf numFmtId="166" fontId="1" fillId="8" borderId="22" xfId="0" applyNumberFormat="1" applyFont="1" applyFill="1" applyBorder="1" applyAlignment="1">
      <alignment horizontal="center" wrapText="1"/>
    </xf>
    <xf numFmtId="0" fontId="1" fillId="0" borderId="23" xfId="0" applyFont="1" applyBorder="1" applyAlignment="1">
      <alignment vertical="center" wrapText="1"/>
    </xf>
    <xf numFmtId="166" fontId="1" fillId="0" borderId="13" xfId="0" applyNumberFormat="1" applyFont="1" applyBorder="1" applyAlignment="1">
      <alignment horizontal="center" wrapText="1"/>
    </xf>
    <xf numFmtId="166" fontId="1" fillId="0" borderId="15" xfId="0" applyNumberFormat="1" applyFont="1" applyBorder="1" applyAlignment="1">
      <alignment horizontal="center" wrapText="1"/>
    </xf>
    <xf numFmtId="166" fontId="1" fillId="0" borderId="0" xfId="0" applyNumberFormat="1" applyFont="1" applyAlignment="1">
      <alignment horizontal="center" wrapText="1"/>
    </xf>
    <xf numFmtId="0" fontId="25" fillId="0" borderId="23" xfId="0" applyFont="1" applyBorder="1"/>
    <xf numFmtId="0" fontId="0" fillId="0" borderId="23" xfId="0" applyBorder="1"/>
    <xf numFmtId="164" fontId="0" fillId="0" borderId="0" xfId="0" applyNumberFormat="1"/>
    <xf numFmtId="166" fontId="0" fillId="0" borderId="26" xfId="0" applyNumberFormat="1" applyBorder="1"/>
    <xf numFmtId="0" fontId="20" fillId="0" borderId="23" xfId="0" applyFont="1" applyBorder="1"/>
    <xf numFmtId="166" fontId="0" fillId="0" borderId="15" xfId="0" applyNumberFormat="1" applyBorder="1" applyAlignment="1">
      <alignment horizontal="right"/>
    </xf>
    <xf numFmtId="166" fontId="0" fillId="0" borderId="0" xfId="0" applyNumberFormat="1" applyAlignment="1">
      <alignment horizontal="right"/>
    </xf>
    <xf numFmtId="0" fontId="1" fillId="0" borderId="23" xfId="0" applyFont="1" applyBorder="1"/>
    <xf numFmtId="0" fontId="1" fillId="0" borderId="23" xfId="0" applyFont="1" applyBorder="1" applyAlignment="1">
      <alignment horizontal="left"/>
    </xf>
    <xf numFmtId="166" fontId="1" fillId="0" borderId="27" xfId="0" applyNumberFormat="1" applyFont="1" applyBorder="1"/>
    <xf numFmtId="0" fontId="25" fillId="0" borderId="23" xfId="0" applyFont="1" applyBorder="1" applyAlignment="1">
      <alignment horizontal="left" vertical="center"/>
    </xf>
    <xf numFmtId="166" fontId="19" fillId="0" borderId="15" xfId="0" applyNumberFormat="1" applyFont="1" applyBorder="1"/>
    <xf numFmtId="166" fontId="19" fillId="0" borderId="0" xfId="0" applyNumberFormat="1" applyFont="1"/>
    <xf numFmtId="166" fontId="26" fillId="0" borderId="15" xfId="0" applyNumberFormat="1" applyFont="1" applyBorder="1"/>
    <xf numFmtId="166" fontId="26" fillId="0" borderId="0" xfId="0" applyNumberFormat="1" applyFont="1"/>
    <xf numFmtId="166" fontId="0" fillId="9" borderId="15" xfId="0" applyNumberFormat="1" applyFill="1" applyBorder="1"/>
    <xf numFmtId="166" fontId="0" fillId="9" borderId="28" xfId="0" applyNumberFormat="1" applyFill="1" applyBorder="1"/>
    <xf numFmtId="166" fontId="0" fillId="0" borderId="28" xfId="0" applyNumberFormat="1" applyBorder="1"/>
    <xf numFmtId="2" fontId="27" fillId="9" borderId="29" xfId="0" applyNumberFormat="1" applyFont="1" applyFill="1" applyBorder="1" applyAlignment="1">
      <alignment horizontal="right" vertical="center"/>
    </xf>
    <xf numFmtId="0" fontId="1" fillId="0" borderId="9" xfId="0" applyFont="1" applyBorder="1" applyAlignment="1">
      <alignment horizontal="center"/>
    </xf>
    <xf numFmtId="166" fontId="1" fillId="0" borderId="30" xfId="0" applyNumberFormat="1" applyFont="1" applyBorder="1"/>
    <xf numFmtId="166" fontId="1" fillId="0" borderId="31" xfId="0" applyNumberFormat="1" applyFont="1" applyBorder="1"/>
    <xf numFmtId="164" fontId="0" fillId="9" borderId="0" xfId="0" applyNumberFormat="1" applyFill="1"/>
    <xf numFmtId="0" fontId="0" fillId="0" borderId="32" xfId="0" applyBorder="1"/>
    <xf numFmtId="2" fontId="28" fillId="0" borderId="33" xfId="0" applyNumberFormat="1" applyFont="1" applyBorder="1"/>
    <xf numFmtId="2" fontId="28" fillId="0" borderId="14" xfId="0" applyNumberFormat="1" applyFont="1" applyBorder="1"/>
    <xf numFmtId="2" fontId="28" fillId="0" borderId="0" xfId="0" applyNumberFormat="1" applyFont="1"/>
    <xf numFmtId="2" fontId="28" fillId="0" borderId="16" xfId="0" applyNumberFormat="1" applyFont="1" applyBorder="1"/>
    <xf numFmtId="0" fontId="0" fillId="8" borderId="9" xfId="0" applyFill="1" applyBorder="1"/>
    <xf numFmtId="2" fontId="28" fillId="8" borderId="10" xfId="0" applyNumberFormat="1" applyFont="1" applyFill="1" applyBorder="1"/>
    <xf numFmtId="2" fontId="28" fillId="8" borderId="20" xfId="0" applyNumberFormat="1" applyFont="1" applyFill="1" applyBorder="1"/>
    <xf numFmtId="0" fontId="29" fillId="8" borderId="0" xfId="0" applyFont="1" applyFill="1" applyAlignment="1">
      <alignment horizontal="center"/>
    </xf>
    <xf numFmtId="0" fontId="30" fillId="0" borderId="0" xfId="0" applyFont="1" applyAlignment="1">
      <alignment horizontal="center"/>
    </xf>
    <xf numFmtId="0" fontId="20" fillId="0" borderId="0" xfId="0" applyFont="1"/>
    <xf numFmtId="0" fontId="1" fillId="8" borderId="34" xfId="0" applyFont="1" applyFill="1" applyBorder="1" applyAlignment="1">
      <alignment horizontal="center" wrapText="1"/>
    </xf>
    <xf numFmtId="0" fontId="1" fillId="8" borderId="35" xfId="0" applyFont="1" applyFill="1" applyBorder="1" applyAlignment="1">
      <alignment horizontal="center" wrapText="1"/>
    </xf>
    <xf numFmtId="0" fontId="1" fillId="8" borderId="36" xfId="0" applyFont="1" applyFill="1" applyBorder="1" applyAlignment="1">
      <alignment horizontal="center" wrapText="1"/>
    </xf>
    <xf numFmtId="0" fontId="0" fillId="0" borderId="37" xfId="0" applyBorder="1"/>
    <xf numFmtId="166" fontId="0" fillId="0" borderId="29" xfId="0" applyNumberFormat="1" applyBorder="1"/>
    <xf numFmtId="166" fontId="0" fillId="0" borderId="38" xfId="0" applyNumberFormat="1" applyBorder="1"/>
    <xf numFmtId="164" fontId="0" fillId="0" borderId="29" xfId="0" applyNumberFormat="1" applyBorder="1"/>
    <xf numFmtId="164" fontId="0" fillId="0" borderId="38" xfId="0" applyNumberFormat="1" applyBorder="1"/>
    <xf numFmtId="169" fontId="0" fillId="0" borderId="29" xfId="0" applyNumberFormat="1" applyBorder="1"/>
    <xf numFmtId="169" fontId="0" fillId="0" borderId="38" xfId="0" applyNumberFormat="1" applyBorder="1"/>
    <xf numFmtId="170" fontId="0" fillId="0" borderId="29" xfId="0" applyNumberFormat="1" applyBorder="1"/>
    <xf numFmtId="170" fontId="0" fillId="0" borderId="38" xfId="0" applyNumberFormat="1" applyBorder="1"/>
    <xf numFmtId="9" fontId="0" fillId="0" borderId="29" xfId="0" applyNumberFormat="1" applyBorder="1"/>
    <xf numFmtId="9" fontId="0" fillId="0" borderId="38" xfId="0" applyNumberFormat="1" applyBorder="1"/>
    <xf numFmtId="0" fontId="0" fillId="0" borderId="39" xfId="0" applyBorder="1"/>
    <xf numFmtId="166" fontId="0" fillId="0" borderId="40" xfId="0" applyNumberFormat="1" applyBorder="1"/>
    <xf numFmtId="166" fontId="0" fillId="0" borderId="41" xfId="0" applyNumberFormat="1" applyBorder="1"/>
    <xf numFmtId="164" fontId="18" fillId="8" borderId="0" xfId="0" applyNumberFormat="1" applyFont="1" applyFill="1" applyAlignment="1">
      <alignment horizontal="center" wrapText="1"/>
    </xf>
    <xf numFmtId="164" fontId="18" fillId="0" borderId="0" xfId="0" applyNumberFormat="1" applyFont="1" applyAlignment="1">
      <alignment horizontal="center" wrapText="1"/>
    </xf>
    <xf numFmtId="164" fontId="18" fillId="17" borderId="0" xfId="0" applyNumberFormat="1" applyFont="1" applyFill="1" applyAlignment="1">
      <alignment horizontal="center" wrapText="1"/>
    </xf>
    <xf numFmtId="0" fontId="0" fillId="0" borderId="42" xfId="0" applyBorder="1" applyAlignment="1">
      <alignment horizontal="center" wrapText="1"/>
    </xf>
    <xf numFmtId="0" fontId="18" fillId="0" borderId="29" xfId="0" applyFont="1" applyBorder="1" applyAlignment="1">
      <alignment horizontal="center" wrapText="1"/>
    </xf>
    <xf numFmtId="0" fontId="1" fillId="0" borderId="43" xfId="0" applyFont="1" applyBorder="1" applyAlignment="1">
      <alignment horizontal="center" wrapText="1"/>
    </xf>
    <xf numFmtId="0" fontId="1" fillId="0" borderId="44" xfId="0" applyFont="1" applyBorder="1" applyAlignment="1">
      <alignment horizontal="center" wrapText="1"/>
    </xf>
    <xf numFmtId="0" fontId="1" fillId="0" borderId="29" xfId="0" applyFont="1" applyBorder="1" applyAlignment="1">
      <alignment horizontal="center" wrapText="1"/>
    </xf>
    <xf numFmtId="0" fontId="1" fillId="0" borderId="45" xfId="0" applyFont="1" applyBorder="1" applyAlignment="1">
      <alignment horizontal="center" wrapText="1"/>
    </xf>
    <xf numFmtId="0" fontId="18" fillId="0" borderId="46" xfId="0" applyFont="1" applyBorder="1"/>
    <xf numFmtId="0" fontId="18" fillId="0" borderId="46" xfId="0" applyFont="1" applyBorder="1" applyAlignment="1">
      <alignment horizontal="center"/>
    </xf>
    <xf numFmtId="0" fontId="1" fillId="0" borderId="46" xfId="0" applyFont="1" applyBorder="1" applyAlignment="1">
      <alignment horizontal="center"/>
    </xf>
    <xf numFmtId="0" fontId="1" fillId="0" borderId="4" xfId="0" applyFont="1" applyBorder="1" applyAlignment="1">
      <alignment horizontal="center"/>
    </xf>
    <xf numFmtId="0" fontId="19" fillId="0" borderId="46" xfId="0" applyFont="1" applyBorder="1"/>
    <xf numFmtId="166" fontId="18" fillId="0" borderId="46" xfId="0" applyNumberFormat="1" applyFont="1" applyBorder="1" applyAlignment="1">
      <alignment horizontal="center"/>
    </xf>
    <xf numFmtId="166" fontId="18" fillId="0" borderId="4" xfId="0" applyNumberFormat="1" applyFont="1" applyBorder="1" applyAlignment="1">
      <alignment horizontal="center"/>
    </xf>
    <xf numFmtId="166" fontId="19" fillId="0" borderId="46" xfId="0" applyNumberFormat="1" applyFont="1" applyBorder="1"/>
    <xf numFmtId="166" fontId="19" fillId="0" borderId="4" xfId="0" applyNumberFormat="1" applyFont="1" applyBorder="1"/>
    <xf numFmtId="166" fontId="18" fillId="0" borderId="46" xfId="0" applyNumberFormat="1" applyFont="1" applyBorder="1"/>
    <xf numFmtId="166" fontId="18" fillId="0" borderId="4" xfId="0" applyNumberFormat="1" applyFont="1" applyBorder="1"/>
    <xf numFmtId="0" fontId="19" fillId="0" borderId="4" xfId="0" applyFont="1" applyBorder="1"/>
    <xf numFmtId="0" fontId="18" fillId="0" borderId="47" xfId="0" applyFont="1" applyBorder="1"/>
    <xf numFmtId="2" fontId="18" fillId="0" borderId="47" xfId="0" applyNumberFormat="1" applyFont="1" applyBorder="1"/>
    <xf numFmtId="2" fontId="18" fillId="0" borderId="8" xfId="0" applyNumberFormat="1" applyFont="1" applyBorder="1"/>
    <xf numFmtId="0" fontId="31" fillId="0" borderId="32" xfId="0" applyFont="1" applyBorder="1" applyAlignment="1">
      <alignment horizontal="center"/>
    </xf>
    <xf numFmtId="0" fontId="31" fillId="0" borderId="33" xfId="0" applyFont="1" applyBorder="1" applyAlignment="1">
      <alignment horizontal="center"/>
    </xf>
    <xf numFmtId="0" fontId="31" fillId="0" borderId="14" xfId="0" applyFont="1" applyBorder="1" applyAlignment="1">
      <alignment horizontal="center"/>
    </xf>
    <xf numFmtId="166" fontId="1" fillId="0" borderId="38" xfId="0" applyNumberFormat="1" applyFont="1" applyBorder="1"/>
    <xf numFmtId="171" fontId="32" fillId="0" borderId="29" xfId="0" applyNumberFormat="1" applyFont="1" applyBorder="1"/>
    <xf numFmtId="3" fontId="32" fillId="0" borderId="29" xfId="0" applyNumberFormat="1" applyFont="1" applyBorder="1" applyAlignment="1">
      <alignment horizontal="center"/>
    </xf>
    <xf numFmtId="2" fontId="32" fillId="0" borderId="29" xfId="0" applyNumberFormat="1" applyFont="1" applyBorder="1" applyAlignment="1">
      <alignment horizontal="center"/>
    </xf>
    <xf numFmtId="2" fontId="32" fillId="0" borderId="29" xfId="0" applyNumberFormat="1" applyFont="1" applyBorder="1"/>
    <xf numFmtId="3" fontId="32" fillId="0" borderId="29" xfId="0" applyNumberFormat="1" applyFont="1" applyBorder="1"/>
    <xf numFmtId="0" fontId="32" fillId="0" borderId="29" xfId="0" applyFont="1" applyBorder="1" applyAlignment="1">
      <alignment horizontal="center"/>
    </xf>
    <xf numFmtId="165" fontId="0" fillId="0" borderId="29" xfId="0" applyNumberFormat="1" applyBorder="1"/>
    <xf numFmtId="166" fontId="1" fillId="0" borderId="29" xfId="0" applyNumberFormat="1" applyFont="1" applyBorder="1"/>
    <xf numFmtId="166" fontId="0" fillId="7" borderId="29" xfId="0" applyNumberFormat="1" applyFill="1" applyBorder="1"/>
    <xf numFmtId="166" fontId="1" fillId="0" borderId="29" xfId="0" applyNumberFormat="1" applyFont="1" applyBorder="1" applyAlignment="1">
      <alignment horizontal="right"/>
    </xf>
    <xf numFmtId="166" fontId="0" fillId="0" borderId="29" xfId="0" applyNumberFormat="1" applyBorder="1" applyAlignment="1">
      <alignment horizontal="right"/>
    </xf>
    <xf numFmtId="166" fontId="0" fillId="0" borderId="29" xfId="0" applyNumberFormat="1" applyBorder="1" applyAlignment="1">
      <alignment horizontal="center"/>
    </xf>
    <xf numFmtId="165" fontId="1" fillId="0" borderId="29" xfId="0" applyNumberFormat="1" applyFont="1" applyBorder="1"/>
    <xf numFmtId="3" fontId="1" fillId="0" borderId="0" xfId="0" applyNumberFormat="1" applyFont="1"/>
    <xf numFmtId="164" fontId="33" fillId="0" borderId="0" xfId="0" applyNumberFormat="1" applyFont="1"/>
    <xf numFmtId="0" fontId="33" fillId="0" borderId="0" xfId="0" applyFont="1"/>
    <xf numFmtId="0" fontId="33" fillId="0" borderId="0" xfId="0" applyFont="1" applyAlignment="1">
      <alignment horizontal="center"/>
    </xf>
    <xf numFmtId="0" fontId="34" fillId="0" borderId="0" xfId="0" applyFont="1" applyAlignment="1">
      <alignment horizontal="left"/>
    </xf>
    <xf numFmtId="0" fontId="34" fillId="0" borderId="0" xfId="0" applyFont="1" applyAlignment="1">
      <alignment horizontal="center"/>
    </xf>
    <xf numFmtId="0" fontId="35" fillId="0" borderId="0" xfId="0" applyFont="1" applyAlignment="1">
      <alignment horizontal="center"/>
    </xf>
    <xf numFmtId="0" fontId="36" fillId="18" borderId="0" xfId="0" applyFont="1" applyFill="1" applyAlignment="1">
      <alignment horizontal="left"/>
    </xf>
    <xf numFmtId="0" fontId="36" fillId="18" borderId="0" xfId="0" applyFont="1" applyFill="1"/>
    <xf numFmtId="0" fontId="36" fillId="18" borderId="42" xfId="0" applyFont="1" applyFill="1" applyBorder="1" applyAlignment="1">
      <alignment horizontal="center"/>
    </xf>
    <xf numFmtId="0" fontId="36" fillId="18" borderId="0" xfId="0" applyFont="1" applyFill="1" applyAlignment="1">
      <alignment horizontal="center"/>
    </xf>
    <xf numFmtId="0" fontId="35" fillId="18" borderId="0" xfId="0" applyFont="1" applyFill="1"/>
    <xf numFmtId="0" fontId="35" fillId="18" borderId="48" xfId="0" applyFont="1" applyFill="1" applyBorder="1" applyAlignment="1">
      <alignment horizontal="center" vertical="center" wrapText="1"/>
    </xf>
    <xf numFmtId="0" fontId="35" fillId="18" borderId="48" xfId="0" applyFont="1" applyFill="1" applyBorder="1" applyAlignment="1">
      <alignment horizontal="center" vertical="center"/>
    </xf>
    <xf numFmtId="0" fontId="36" fillId="18" borderId="29" xfId="0" applyFont="1" applyFill="1" applyBorder="1" applyAlignment="1">
      <alignment horizontal="center"/>
    </xf>
    <xf numFmtId="0" fontId="35" fillId="18" borderId="44" xfId="0" applyFont="1" applyFill="1" applyBorder="1" applyAlignment="1">
      <alignment horizontal="center" vertical="center" wrapText="1"/>
    </xf>
    <xf numFmtId="0" fontId="35" fillId="18" borderId="49" xfId="0" applyFont="1" applyFill="1" applyBorder="1" applyAlignment="1">
      <alignment horizontal="center" vertical="center" wrapText="1"/>
    </xf>
    <xf numFmtId="0" fontId="35" fillId="18" borderId="50" xfId="0" applyFont="1" applyFill="1" applyBorder="1" applyAlignment="1">
      <alignment horizontal="center" vertical="center" wrapText="1"/>
    </xf>
    <xf numFmtId="0" fontId="35" fillId="18" borderId="51" xfId="0" applyFont="1" applyFill="1" applyBorder="1" applyAlignment="1">
      <alignment horizontal="center" vertical="center" wrapText="1"/>
    </xf>
    <xf numFmtId="0" fontId="35" fillId="18" borderId="52" xfId="0" applyFont="1" applyFill="1" applyBorder="1" applyAlignment="1">
      <alignment horizontal="center" vertical="center" wrapText="1"/>
    </xf>
    <xf numFmtId="0" fontId="35" fillId="18" borderId="53" xfId="0" applyFont="1" applyFill="1" applyBorder="1" applyAlignment="1">
      <alignment horizontal="center" vertical="center" wrapText="1"/>
    </xf>
    <xf numFmtId="0" fontId="35" fillId="18" borderId="54" xfId="0" applyFont="1" applyFill="1" applyBorder="1" applyAlignment="1">
      <alignment horizontal="center" vertical="center" wrapText="1"/>
    </xf>
    <xf numFmtId="0" fontId="35" fillId="18" borderId="29" xfId="0" applyFont="1" applyFill="1" applyBorder="1" applyAlignment="1">
      <alignment horizontal="center" vertical="center" wrapText="1"/>
    </xf>
    <xf numFmtId="0" fontId="35" fillId="18" borderId="47" xfId="0" applyFont="1" applyFill="1" applyBorder="1" applyAlignment="1">
      <alignment horizontal="center" vertical="center" wrapText="1"/>
    </xf>
    <xf numFmtId="0" fontId="35" fillId="18" borderId="47" xfId="0" applyFont="1" applyFill="1" applyBorder="1" applyAlignment="1">
      <alignment horizontal="center" vertical="center"/>
    </xf>
    <xf numFmtId="0" fontId="35" fillId="18" borderId="29" xfId="0" applyFont="1" applyFill="1" applyBorder="1" applyAlignment="1">
      <alignment vertical="center" wrapText="1"/>
    </xf>
    <xf numFmtId="0" fontId="35" fillId="18" borderId="55" xfId="0" applyFont="1" applyFill="1" applyBorder="1" applyAlignment="1">
      <alignment horizontal="center" vertical="center" wrapText="1"/>
    </xf>
    <xf numFmtId="0" fontId="35" fillId="18" borderId="8" xfId="0" applyFont="1" applyFill="1" applyBorder="1" applyAlignment="1">
      <alignment horizontal="center" vertical="center" wrapText="1"/>
    </xf>
    <xf numFmtId="0" fontId="35" fillId="18" borderId="7" xfId="0" applyFont="1" applyFill="1" applyBorder="1" applyAlignment="1">
      <alignment horizontal="center" vertical="center" wrapText="1"/>
    </xf>
    <xf numFmtId="0" fontId="35" fillId="18" borderId="42" xfId="0" applyFont="1" applyFill="1" applyBorder="1" applyAlignment="1">
      <alignment horizontal="center" vertical="center" wrapText="1"/>
    </xf>
    <xf numFmtId="0" fontId="35" fillId="18" borderId="46" xfId="0" applyFont="1" applyFill="1" applyBorder="1" applyAlignment="1">
      <alignment horizontal="center"/>
    </xf>
    <xf numFmtId="0" fontId="35" fillId="18" borderId="0" xfId="0" applyFont="1" applyFill="1" applyAlignment="1">
      <alignment horizontal="center"/>
    </xf>
    <xf numFmtId="0" fontId="35" fillId="18" borderId="48" xfId="0" applyFont="1" applyFill="1" applyBorder="1" applyAlignment="1">
      <alignment horizontal="center" wrapText="1"/>
    </xf>
    <xf numFmtId="0" fontId="35" fillId="18" borderId="3" xfId="0" applyFont="1" applyFill="1" applyBorder="1" applyAlignment="1">
      <alignment horizontal="center"/>
    </xf>
    <xf numFmtId="0" fontId="35" fillId="18" borderId="56" xfId="0" applyFont="1" applyFill="1" applyBorder="1" applyAlignment="1">
      <alignment horizontal="center"/>
    </xf>
    <xf numFmtId="0" fontId="35" fillId="18" borderId="4" xfId="0" applyFont="1" applyFill="1" applyBorder="1" applyAlignment="1">
      <alignment horizontal="center"/>
    </xf>
    <xf numFmtId="0" fontId="0" fillId="0" borderId="57" xfId="0" applyBorder="1"/>
    <xf numFmtId="0" fontId="0" fillId="0" borderId="58" xfId="0" applyBorder="1"/>
    <xf numFmtId="0" fontId="0" fillId="0" borderId="48" xfId="0" applyBorder="1"/>
    <xf numFmtId="0" fontId="36" fillId="18" borderId="46" xfId="0" applyFont="1" applyFill="1" applyBorder="1" applyAlignment="1">
      <alignment horizontal="center"/>
    </xf>
    <xf numFmtId="0" fontId="35" fillId="18" borderId="46" xfId="0" applyFont="1" applyFill="1" applyBorder="1" applyAlignment="1">
      <alignment horizontal="center" wrapText="1"/>
    </xf>
    <xf numFmtId="0" fontId="0" fillId="0" borderId="59" xfId="0" applyBorder="1"/>
    <xf numFmtId="0" fontId="0" fillId="0" borderId="46" xfId="0" applyBorder="1"/>
    <xf numFmtId="0" fontId="37" fillId="18" borderId="46" xfId="0" applyFont="1" applyFill="1" applyBorder="1"/>
    <xf numFmtId="9" fontId="37" fillId="18" borderId="46" xfId="0" applyNumberFormat="1" applyFont="1" applyFill="1" applyBorder="1" applyAlignment="1">
      <alignment horizontal="center"/>
    </xf>
    <xf numFmtId="166" fontId="37" fillId="18" borderId="3" xfId="0" applyNumberFormat="1" applyFont="1" applyFill="1" applyBorder="1" applyAlignment="1">
      <alignment horizontal="center"/>
    </xf>
    <xf numFmtId="166" fontId="37" fillId="18" borderId="46" xfId="0" applyNumberFormat="1" applyFont="1" applyFill="1" applyBorder="1" applyAlignment="1">
      <alignment horizontal="center"/>
    </xf>
    <xf numFmtId="166" fontId="37" fillId="18" borderId="56" xfId="0" applyNumberFormat="1" applyFont="1" applyFill="1" applyBorder="1" applyAlignment="1">
      <alignment horizontal="center"/>
    </xf>
    <xf numFmtId="166" fontId="37" fillId="18" borderId="4" xfId="0" applyNumberFormat="1" applyFont="1" applyFill="1" applyBorder="1" applyAlignment="1">
      <alignment horizontal="center"/>
    </xf>
    <xf numFmtId="166" fontId="37" fillId="18" borderId="3" xfId="0" applyNumberFormat="1" applyFont="1" applyFill="1" applyBorder="1"/>
    <xf numFmtId="166" fontId="37" fillId="18" borderId="56" xfId="0" applyNumberFormat="1" applyFont="1" applyFill="1" applyBorder="1"/>
    <xf numFmtId="166" fontId="37" fillId="18" borderId="60" xfId="0" applyNumberFormat="1" applyFont="1" applyFill="1" applyBorder="1"/>
    <xf numFmtId="166" fontId="37" fillId="18" borderId="0" xfId="0" applyNumberFormat="1" applyFont="1" applyFill="1"/>
    <xf numFmtId="9" fontId="37" fillId="18" borderId="0" xfId="0" applyNumberFormat="1" applyFont="1" applyFill="1" applyAlignment="1">
      <alignment horizontal="center"/>
    </xf>
    <xf numFmtId="166" fontId="0" fillId="0" borderId="57" xfId="0" applyNumberFormat="1" applyBorder="1"/>
    <xf numFmtId="166" fontId="0" fillId="0" borderId="59" xfId="0" applyNumberFormat="1" applyBorder="1"/>
    <xf numFmtId="166" fontId="0" fillId="0" borderId="46" xfId="0" applyNumberFormat="1" applyBorder="1"/>
    <xf numFmtId="0" fontId="35" fillId="18" borderId="44" xfId="0" applyFont="1" applyFill="1" applyBorder="1" applyAlignment="1">
      <alignment horizontal="center"/>
    </xf>
    <xf numFmtId="0" fontId="35" fillId="18" borderId="43" xfId="0" applyFont="1" applyFill="1" applyBorder="1" applyAlignment="1">
      <alignment horizontal="center"/>
    </xf>
    <xf numFmtId="166" fontId="35" fillId="18" borderId="61" xfId="0" applyNumberFormat="1" applyFont="1" applyFill="1" applyBorder="1" applyAlignment="1">
      <alignment horizontal="right"/>
    </xf>
    <xf numFmtId="166" fontId="35" fillId="18" borderId="0" xfId="0" applyNumberFormat="1" applyFont="1" applyFill="1" applyAlignment="1">
      <alignment horizontal="right"/>
    </xf>
    <xf numFmtId="0" fontId="37" fillId="18" borderId="0" xfId="0" applyFont="1" applyFill="1"/>
    <xf numFmtId="2" fontId="37" fillId="18" borderId="0" xfId="0" applyNumberFormat="1" applyFont="1" applyFill="1"/>
    <xf numFmtId="0" fontId="38" fillId="19" borderId="44" xfId="0" applyFont="1" applyFill="1" applyBorder="1"/>
    <xf numFmtId="0" fontId="38" fillId="19" borderId="45" xfId="0" applyFont="1" applyFill="1" applyBorder="1"/>
    <xf numFmtId="0" fontId="38" fillId="20" borderId="45" xfId="0" applyFont="1" applyFill="1" applyBorder="1"/>
    <xf numFmtId="0" fontId="38" fillId="20" borderId="8" xfId="0" applyFont="1" applyFill="1" applyBorder="1"/>
    <xf numFmtId="14" fontId="38" fillId="20" borderId="8" xfId="0" applyNumberFormat="1" applyFont="1" applyFill="1" applyBorder="1"/>
    <xf numFmtId="14" fontId="38" fillId="0" borderId="8" xfId="0" applyNumberFormat="1" applyFont="1" applyBorder="1"/>
    <xf numFmtId="172" fontId="38" fillId="0" borderId="45" xfId="0" applyNumberFormat="1" applyFont="1" applyBorder="1"/>
    <xf numFmtId="0" fontId="38" fillId="21" borderId="29" xfId="0" applyFont="1" applyFill="1" applyBorder="1"/>
    <xf numFmtId="0" fontId="38" fillId="0" borderId="29" xfId="0" applyFont="1" applyBorder="1"/>
    <xf numFmtId="0" fontId="39" fillId="21" borderId="51" xfId="0" applyFont="1" applyFill="1" applyBorder="1"/>
    <xf numFmtId="0" fontId="39" fillId="21" borderId="53" xfId="0" applyFont="1" applyFill="1" applyBorder="1"/>
    <xf numFmtId="0" fontId="39" fillId="21" borderId="50" xfId="0" applyFont="1" applyFill="1" applyBorder="1"/>
    <xf numFmtId="0" fontId="39" fillId="22" borderId="61" xfId="0" applyFont="1" applyFill="1" applyBorder="1"/>
    <xf numFmtId="0" fontId="38" fillId="0" borderId="61" xfId="0" applyFont="1" applyBorder="1"/>
    <xf numFmtId="14" fontId="0" fillId="0" borderId="61" xfId="0" applyNumberFormat="1" applyBorder="1"/>
    <xf numFmtId="173" fontId="0" fillId="0" borderId="61" xfId="0" applyNumberFormat="1" applyBorder="1"/>
    <xf numFmtId="173" fontId="0" fillId="0" borderId="0" xfId="0" applyNumberFormat="1"/>
    <xf numFmtId="2" fontId="0" fillId="0" borderId="61" xfId="0" applyNumberFormat="1" applyBorder="1"/>
    <xf numFmtId="174" fontId="0" fillId="0" borderId="6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1.xml"/><Relationship Id="rId5" Type="http://schemas.openxmlformats.org/officeDocument/2006/relationships/worksheet" Target="worksheets/sheet29.xml"/><Relationship Id="rId6" Type="http://schemas.openxmlformats.org/officeDocument/2006/relationships/worksheet" Target="worksheets/sheet30.xml"/><Relationship Id="rId7" Type="http://schemas.openxmlformats.org/officeDocument/2006/relationships/worksheet" Target="worksheets/sheet34.xml"/><Relationship Id="rId8" Type="http://schemas.openxmlformats.org/officeDocument/2006/relationships/worksheet" Target="worksheets/sheet31.xml"/><Relationship Id="rId9" Type="http://schemas.openxmlformats.org/officeDocument/2006/relationships/worksheet" Target="worksheets/sheet32.xml"/><Relationship Id="rId10" Type="http://schemas.openxmlformats.org/officeDocument/2006/relationships/worksheet" Target="worksheets/sheet22.xml"/><Relationship Id="rId11" Type="http://schemas.openxmlformats.org/officeDocument/2006/relationships/worksheet" Target="worksheets/sheet35.xml"/><Relationship Id="rId12" Type="http://schemas.openxmlformats.org/officeDocument/2006/relationships/worksheet" Target="worksheets/sheet26.xml"/><Relationship Id="rId13" Type="http://schemas.openxmlformats.org/officeDocument/2006/relationships/worksheet" Target="worksheets/sheet15.xml"/><Relationship Id="rId14" Type="http://schemas.openxmlformats.org/officeDocument/2006/relationships/worksheet" Target="worksheets/sheet36.xml"/><Relationship Id="rId15" Type="http://schemas.openxmlformats.org/officeDocument/2006/relationships/worksheet" Target="worksheets/sheet1.xml"/><Relationship Id="rId16" Type="http://schemas.openxmlformats.org/officeDocument/2006/relationships/worksheet" Target="worksheets/sheet24.xml"/><Relationship Id="rId17" Type="http://schemas.openxmlformats.org/officeDocument/2006/relationships/worksheet" Target="worksheets/sheet25.xml"/><Relationship Id="rId18" Type="http://schemas.openxmlformats.org/officeDocument/2006/relationships/worksheet" Target="worksheets/sheet2.xml"/><Relationship Id="rId19" Type="http://schemas.openxmlformats.org/officeDocument/2006/relationships/worksheet" Target="worksheets/sheet19.xml"/><Relationship Id="rId20" Type="http://schemas.openxmlformats.org/officeDocument/2006/relationships/worksheet" Target="worksheets/sheet3.xml"/><Relationship Id="rId21" Type="http://schemas.openxmlformats.org/officeDocument/2006/relationships/worksheet" Target="worksheets/sheet9.xml"/><Relationship Id="rId22" Type="http://schemas.openxmlformats.org/officeDocument/2006/relationships/worksheet" Target="worksheets/sheet8.xml"/><Relationship Id="rId23" Type="http://schemas.openxmlformats.org/officeDocument/2006/relationships/worksheet" Target="worksheets/sheet28.xml"/><Relationship Id="rId24" Type="http://schemas.openxmlformats.org/officeDocument/2006/relationships/worksheet" Target="worksheets/sheet27.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1.xml.rels><?xml version="1.0" encoding="UTF-8" standalone="yes"?>
<Relationships xmlns="http://schemas.openxmlformats.org/package/2006/relationships"><Relationship Id="rId1" Type="http://schemas.openxmlformats.org/officeDocument/2006/relationships/hyperlink" Target="mailto:Karimsavenue@gmail.com" TargetMode="External"/></Relationships>
</file>

<file path=xl/worksheets/_rels/sheet30.xml.rels><?xml version="1.0" encoding="UTF-8" standalone="yes"?>
<Relationships xmlns="http://schemas.openxmlformats.org/package/2006/relationships"><Relationship Id="rId1" Type="http://schemas.openxmlformats.org/officeDocument/2006/relationships/comments" Target="../comments30.xml"/><Relationship Id="rId2" Type="http://schemas.openxmlformats.org/officeDocument/2006/relationships/vmlDrawing" Target="../drawings/vmlDrawing30.vml"/></Relationships>
</file>

<file path=xl/worksheets/_rels/sheet31.xml.rels><?xml version="1.0" encoding="UTF-8" standalone="yes"?>
<Relationships xmlns="http://schemas.openxmlformats.org/package/2006/relationships"><Relationship Id="rId1" Type="http://schemas.openxmlformats.org/officeDocument/2006/relationships/comments" Target="../comments31.xml"/><Relationship Id="rId2" Type="http://schemas.openxmlformats.org/officeDocument/2006/relationships/vmlDrawing" Target="../drawings/vmlDrawing31.vml"/></Relationships>
</file>

<file path=xl/worksheets/_rels/sheet34.xml.rels><?xml version="1.0" encoding="UTF-8" standalone="yes"?>
<Relationships xmlns="http://schemas.openxmlformats.org/package/2006/relationships"><Relationship Id="rId1" Type="http://schemas.openxmlformats.org/officeDocument/2006/relationships/comments" Target="../comments34.xml"/><Relationship Id="rId2" Type="http://schemas.openxmlformats.org/officeDocument/2006/relationships/vmlDrawing" Target="../drawings/vmlDrawing3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R43"/>
  <sheetViews>
    <sheetView workbookViewId="0" showGridLines="0" zoomScale="100" zoomScaleNormal="100">
      <selection activeCell="D31" sqref="D31"/>
    </sheetView>
  </sheetViews>
  <sheetFormatPr defaultRowHeight="15" outlineLevelRow="0" outlineLevelCol="0" x14ac:dyDescent="0"/>
  <cols>
    <col min="1" max="1" width="40.140625" customWidth="1"/>
    <col min="2" max="7" width="16" customWidth="1"/>
    <col min="9" max="9" width="12.5703125" customWidth="1"/>
    <col min="10" max="10" width="15.28515625" customWidth="1"/>
    <col min="13" max="13" width="8.5703125" customWidth="1"/>
  </cols>
  <sheetData>
    <row r="1" ht="15" customHeight="1" spans="1:7" x14ac:dyDescent="0.25">
      <c r="B1"/>
      <c r="C1"/>
      <c r="D1"/>
      <c r="E1"/>
      <c r="F1"/>
      <c r="G1"/>
    </row>
    <row r="2" ht="15.75" customHeight="1" spans="1:7" x14ac:dyDescent="0.25">
      <c r="A2" s="106" t="str">
        <f>'1. Basics'!D4</f>
        <v>CYNCURA PRIVATE LIMITED</v>
      </c>
      <c r="B2" s="106"/>
      <c r="C2" s="106"/>
      <c r="D2" s="106"/>
      <c r="E2" s="106"/>
      <c r="F2" s="106"/>
      <c r="G2" s="106"/>
    </row>
    <row r="3" spans="1:7" x14ac:dyDescent="0.25">
      <c r="A3" s="107"/>
      <c r="B3" s="107"/>
      <c r="C3" s="107"/>
      <c r="D3" s="107"/>
      <c r="E3" s="107"/>
      <c r="F3" s="107"/>
      <c r="G3" s="107"/>
    </row>
    <row r="4" spans="1:7" x14ac:dyDescent="0.25">
      <c r="A4" s="108" t="str">
        <f>'1. Basics'!D6</f>
        <v>6-1-19 and 6-1-19/A, old no 108/3, Flat no 206, Musheerabad (Delivery), Hyderabad, Hyderabad- 500020, Telangana</v>
      </c>
      <c r="B4" s="108"/>
      <c r="C4" s="108"/>
      <c r="D4" s="108"/>
      <c r="E4" s="108"/>
      <c r="F4" s="108"/>
      <c r="G4" s="108"/>
    </row>
    <row r="5" spans="1:7" x14ac:dyDescent="0.25">
      <c r="A5" s="109"/>
      <c r="B5" s="109"/>
      <c r="C5" s="109"/>
      <c r="D5" s="109"/>
      <c r="E5" s="109"/>
      <c r="F5" s="109"/>
      <c r="G5" s="109"/>
    </row>
    <row r="6" ht="15.75" customHeight="1" spans="1:13" x14ac:dyDescent="0.25">
      <c r="A6" s="110" t="s">
        <v>296</v>
      </c>
      <c r="B6" s="111"/>
      <c r="C6" s="111"/>
      <c r="D6" s="111"/>
      <c r="E6" s="111"/>
      <c r="F6" s="111"/>
      <c r="G6" s="111"/>
      <c r="M6" s="9"/>
    </row>
    <row r="7" ht="35.25" customHeight="1" spans="1:7" x14ac:dyDescent="0.25">
      <c r="A7" s="112" t="s">
        <v>203</v>
      </c>
      <c r="B7" s="113">
        <f>'B.I Sales - P1'!IL5</f>
        <v>NaN</v>
      </c>
      <c r="C7" s="114" t="str">
        <f>'B.I Sales - P1'!IP5</f>
        <v>2026-27</v>
      </c>
      <c r="D7" s="113">
        <f>'B.I Sales - P1'!IT5</f>
        <v>NaN</v>
      </c>
      <c r="E7" s="113">
        <f>'B.I Sales - P1'!IX5</f>
        <v>NaN</v>
      </c>
      <c r="F7" s="113">
        <f>'B.I Sales - P1'!JB5</f>
        <v>NaN</v>
      </c>
      <c r="G7" s="113">
        <f>'B.I Sales - P1'!JF5</f>
        <v>NaN</v>
      </c>
    </row>
    <row r="8" spans="1:7" x14ac:dyDescent="0.25">
      <c r="A8" s="115"/>
      <c r="B8" s="116"/>
      <c r="C8" s="116"/>
      <c r="D8" s="115"/>
      <c r="E8" s="115"/>
      <c r="F8" s="115"/>
      <c r="G8" s="115"/>
    </row>
    <row r="9" spans="1:7" x14ac:dyDescent="0.25">
      <c r="A9" s="117" t="s">
        <v>297</v>
      </c>
      <c r="B9" s="118"/>
      <c r="C9" s="119"/>
      <c r="D9" s="120"/>
      <c r="E9" s="120"/>
      <c r="F9" s="120"/>
      <c r="G9" s="120"/>
    </row>
    <row r="10" spans="1:7" x14ac:dyDescent="0.25">
      <c r="A10" s="117" t="s">
        <v>298</v>
      </c>
      <c r="B10" s="118"/>
      <c r="C10" s="119"/>
      <c r="D10" s="120"/>
      <c r="E10" s="120"/>
      <c r="F10" s="120"/>
      <c r="G10" s="120"/>
    </row>
    <row r="11" spans="1:18" x14ac:dyDescent="0.25">
      <c r="A11" s="121" t="str">
        <f>'A.I Revenue Streams - P1'!D9</f>
        <v>Doctor Consultations</v>
      </c>
      <c r="B11" s="122">
        <f>'B.I Sales - P1'!IN15</f>
        <v>0</v>
      </c>
      <c r="C11" s="123">
        <f>'B.I Sales - P1'!IR15</f>
        <v>10871241.693487352</v>
      </c>
      <c r="D11" s="124">
        <f>'B.I Sales - P1'!IV15</f>
        <v>21852221.576647554</v>
      </c>
      <c r="E11" s="124">
        <f>'B.I Sales - P1'!IZ15</f>
        <v>37148776.68030085</v>
      </c>
      <c r="F11" s="124">
        <f>'B.I Sales - P1'!JD15</f>
        <v>57580603.85446633</v>
      </c>
      <c r="G11" s="124">
        <f>'B.I Sales - P1'!JH15</f>
        <v>83491875.58897614</v>
      </c>
      <c r="M11" s="125"/>
      <c r="N11" s="125"/>
      <c r="O11" s="125"/>
      <c r="P11" s="125"/>
      <c r="Q11" s="125"/>
      <c r="R11" s="125"/>
    </row>
    <row r="12" spans="1:13" x14ac:dyDescent="0.25">
      <c r="A12" s="121" t="str">
        <f>'A.I Revenue Streams - P1'!D18</f>
        <v>Advertisement</v>
      </c>
      <c r="B12" s="122">
        <f>'B.I Sales - P1'!IN24</f>
        <v>0</v>
      </c>
      <c r="C12" s="123">
        <f>'B.I Sales - P1'!IR24</f>
        <v>0</v>
      </c>
      <c r="D12" s="123">
        <f>'B.I Sales - P1'!IV24</f>
        <v>14568147.717765037</v>
      </c>
      <c r="E12" s="123">
        <f>'B.I Sales - P1'!IZ24</f>
        <v>148595106.7212034</v>
      </c>
      <c r="F12" s="123">
        <f>'B.I Sales - P1'!JD24</f>
        <v>230322415.4178653</v>
      </c>
      <c r="G12" s="123">
        <f>'B.I Sales - P1'!JH24</f>
        <v>333967502.3559046</v>
      </c>
      <c r="I12" s="60"/>
      <c r="J12" s="60"/>
      <c r="M12" s="60"/>
    </row>
    <row r="13" spans="1:7" x14ac:dyDescent="0.25">
      <c r="A13" s="121">
        <f>'A.I Revenue Streams - P1'!D27</f>
        <v>0</v>
      </c>
      <c r="B13" s="122">
        <f>'B.I Sales - P1'!IN33</f>
        <v>0</v>
      </c>
      <c r="C13" s="123">
        <f>'B.I Sales - P1'!IR33</f>
        <v>0</v>
      </c>
      <c r="D13" s="123">
        <f>'B.I Sales - P1'!IV33</f>
        <v>0</v>
      </c>
      <c r="E13" s="123">
        <f>'B.I Sales - P1'!IZ33</f>
        <v>0</v>
      </c>
      <c r="F13" s="123">
        <f>'B.I Sales - P1'!JD33</f>
        <v>0</v>
      </c>
      <c r="G13" s="123">
        <f>'B.I Sales - P1'!JH33</f>
        <v>0</v>
      </c>
    </row>
    <row r="14" spans="1:7" x14ac:dyDescent="0.25">
      <c r="A14" s="121">
        <f>'A.I Revenue Streams - P1'!D36</f>
        <v>0</v>
      </c>
      <c r="B14" s="122">
        <f>'B.I Sales - P1'!IN42</f>
        <v>0</v>
      </c>
      <c r="C14" s="123">
        <f>'B.I Sales - P1'!IR42</f>
        <v>0</v>
      </c>
      <c r="D14" s="123">
        <f>'B.I Sales - P1'!IV42</f>
        <v>0</v>
      </c>
      <c r="E14" s="123">
        <f>'B.I Sales - P1'!IZ42</f>
        <v>0</v>
      </c>
      <c r="F14" s="123">
        <f>'B.I Sales - P1'!JD42</f>
        <v>0</v>
      </c>
      <c r="G14" s="123">
        <f>'B.I Sales - P1'!JH42</f>
        <v>0</v>
      </c>
    </row>
    <row r="15" spans="1:7" x14ac:dyDescent="0.25">
      <c r="A15" s="121">
        <f>'A.I Revenue Streams - P1'!D45</f>
        <v>0</v>
      </c>
      <c r="B15" s="122">
        <f>'B.I Sales - P1'!IN51</f>
        <v>0</v>
      </c>
      <c r="C15" s="123">
        <f>'B.I Sales - P1'!IR51</f>
        <v>0</v>
      </c>
      <c r="D15" s="123">
        <f>'B.I Sales - P1'!IV51</f>
        <v>0</v>
      </c>
      <c r="E15" s="123">
        <f>'B.I Sales - P1'!IZ51</f>
        <v>0</v>
      </c>
      <c r="F15" s="123">
        <f>'B.I Sales - P1'!JD51</f>
        <v>0</v>
      </c>
      <c r="G15" s="123">
        <f>'B.I Sales - P1'!JH51</f>
        <v>0</v>
      </c>
    </row>
    <row r="16" ht="15.75" customHeight="1" spans="1:13" x14ac:dyDescent="0.25">
      <c r="A16" s="120"/>
      <c r="B16" s="126">
        <f t="shared" ref="B16:G16" si="0">SUM(B11:B15)</f>
        <v>0</v>
      </c>
      <c r="C16" s="126">
        <f>SUM(C11:C15)</f>
        <v>10871241.693487352</v>
      </c>
      <c r="D16" s="126">
        <f t="shared" si="0"/>
        <v>36420369.29441259</v>
      </c>
      <c r="E16" s="126">
        <f t="shared" si="0"/>
        <v>185743883.40150422</v>
      </c>
      <c r="F16" s="126">
        <f t="shared" si="0"/>
        <v>287903019.27233166</v>
      </c>
      <c r="G16" s="126">
        <f t="shared" si="0"/>
        <v>417459377.9448807</v>
      </c>
      <c r="M16" s="60"/>
    </row>
    <row r="17" ht="15.75" customHeight="1" spans="1:13" x14ac:dyDescent="0.25">
      <c r="A17" s="120"/>
      <c r="B17" s="119"/>
      <c r="C17" s="127"/>
      <c r="D17" s="128"/>
      <c r="E17" s="128"/>
      <c r="F17" s="128"/>
      <c r="G17" s="128"/>
      <c r="M17" s="60"/>
    </row>
    <row r="18" spans="1:7" x14ac:dyDescent="0.25">
      <c r="A18" s="117" t="s">
        <v>299</v>
      </c>
      <c r="B18" s="118"/>
      <c r="C18" s="123"/>
      <c r="D18" s="124"/>
      <c r="E18" s="124"/>
      <c r="F18" s="124"/>
      <c r="G18" s="124"/>
    </row>
    <row r="19" spans="1:7" s="9" customFormat="1" x14ac:dyDescent="0.25">
      <c r="A19" s="129" t="s">
        <v>300</v>
      </c>
      <c r="B19" s="130"/>
      <c r="C19" s="127"/>
      <c r="D19" s="128"/>
      <c r="E19" s="128"/>
      <c r="F19" s="128"/>
      <c r="G19" s="128"/>
    </row>
    <row r="20" spans="1:7" x14ac:dyDescent="0.25">
      <c r="A20" s="121" t="str">
        <f>A.IIOPEX!D9</f>
        <v>Technology &amp; Product Development</v>
      </c>
      <c r="B20" s="123">
        <f>'B.II OPEX - P1'!JQ17</f>
        <v>2653333.333333334</v>
      </c>
      <c r="C20" s="123">
        <f>'B.II OPEX - P1'!JU17</f>
        <v>3600000</v>
      </c>
      <c r="D20" s="123">
        <f>'B.II OPEX - P1'!JY17</f>
        <v>15120000</v>
      </c>
      <c r="E20" s="123">
        <f>'B.II OPEX - P1'!KC17</f>
        <v>72576000</v>
      </c>
      <c r="F20" s="123">
        <f>'B.II OPEX - P1'!KG17</f>
        <v>101606400</v>
      </c>
      <c r="G20" s="123">
        <f>'B.II OPEX - P1'!KK17</f>
        <v>137168640</v>
      </c>
    </row>
    <row r="21" spans="1:13" x14ac:dyDescent="0.25">
      <c r="A21" s="121" t="str">
        <f>A.IIOPEX!D20</f>
        <v>Legal, Compliance &amp; Professional Charges</v>
      </c>
      <c r="B21" s="123">
        <f>'B.II OPEX - P1'!JQ28</f>
        <v>419840</v>
      </c>
      <c r="C21" s="123">
        <f>'B.II OPEX - P1'!JU28</f>
        <v>469200</v>
      </c>
      <c r="D21" s="123">
        <f>'B.II OPEX - P1'!JY28</f>
        <v>647495.9999999999</v>
      </c>
      <c r="E21" s="123">
        <f>'B.II OPEX - P1'!KC28</f>
        <v>906494.3999999996</v>
      </c>
      <c r="F21" s="123">
        <f>'B.II OPEX - P1'!KG28</f>
        <v>1042468.5599999999</v>
      </c>
      <c r="G21" s="123">
        <f>'B.II OPEX - P1'!KK28</f>
        <v>1230112.9007999997</v>
      </c>
      <c r="M21" s="60"/>
    </row>
    <row r="22" spans="1:7" x14ac:dyDescent="0.25">
      <c r="A22" s="121" t="str">
        <f>A.IIOPEX!D31</f>
        <v>Utilities</v>
      </c>
      <c r="B22" s="123">
        <f>'B.II OPEX - P1'!JQ41</f>
        <v>1901700</v>
      </c>
      <c r="C22" s="123">
        <f>'B.II OPEX - P1'!JU41</f>
        <v>2173500</v>
      </c>
      <c r="D22" s="123">
        <f>'B.II OPEX - P1'!JY41</f>
        <v>3521070</v>
      </c>
      <c r="E22" s="123">
        <f>'B.II OPEX - P1'!KC41</f>
        <v>4753444.5</v>
      </c>
      <c r="F22" s="123">
        <f>'B.II OPEX - P1'!KG41</f>
        <v>6179477.849999999</v>
      </c>
      <c r="G22" s="123">
        <f>'B.II OPEX - P1'!KK41</f>
        <v>8033321.204999999</v>
      </c>
    </row>
    <row r="23" spans="1:7" x14ac:dyDescent="0.25">
      <c r="A23" s="121" t="str">
        <f>A.IIOPEX!D44</f>
        <v>Support Team</v>
      </c>
      <c r="B23" s="123">
        <f>'B.II OPEX - P1'!JQ54</f>
        <v>3296000</v>
      </c>
      <c r="C23" s="123">
        <f>'B.II OPEX - P1'!JU54</f>
        <v>3680000</v>
      </c>
      <c r="D23" s="123">
        <f>'B.II OPEX - P1'!JY54</f>
        <v>4857600</v>
      </c>
      <c r="E23" s="123">
        <f>'B.II OPEX - P1'!KC54</f>
        <v>9229440</v>
      </c>
      <c r="F23" s="123">
        <f>'B.II OPEX - P1'!KG54</f>
        <v>12459744</v>
      </c>
      <c r="G23" s="123">
        <f>'B.II OPEX - P1'!KK54</f>
        <v>19935590.4</v>
      </c>
    </row>
    <row r="24" spans="1:7" x14ac:dyDescent="0.25">
      <c r="A24" s="121" t="str">
        <f>A.IIOPEX!D57</f>
        <v>Digital Marketing &amp; Advertisement</v>
      </c>
      <c r="B24" s="123">
        <f>'B.II OPEX - P1'!JQ65</f>
        <v>3320533.3333333335</v>
      </c>
      <c r="C24" s="123">
        <f>'B.II OPEX - P1'!JU65</f>
        <v>3536000</v>
      </c>
      <c r="D24" s="123">
        <f>'B.II OPEX - P1'!JY65</f>
        <v>9547200</v>
      </c>
      <c r="E24" s="123">
        <f>'B.II OPEX - P1'!KC65</f>
        <v>52509600</v>
      </c>
      <c r="F24" s="123">
        <f>'B.II OPEX - P1'!KG65</f>
        <v>89266320</v>
      </c>
      <c r="G24" s="123">
        <f>'B.II OPEX - P1'!KK65</f>
        <v>133899480</v>
      </c>
    </row>
    <row r="25" spans="1:7" x14ac:dyDescent="0.25">
      <c r="A25" s="121">
        <f>A.IIOPEX!D68</f>
        <v>0</v>
      </c>
      <c r="B25" s="123">
        <f>'B.II OPEX - P1'!JQ87</f>
        <v>0</v>
      </c>
      <c r="C25" s="123">
        <f>'B.II OPEX - P1'!JU87</f>
        <v>0</v>
      </c>
      <c r="D25" s="123">
        <f>'B.II OPEX - P1'!JY87</f>
        <v>0</v>
      </c>
      <c r="E25" s="123">
        <f>'B.II OPEX - P1'!KC87</f>
        <v>0</v>
      </c>
      <c r="F25" s="123">
        <f>'B.II OPEX - P1'!KG87</f>
        <v>0</v>
      </c>
      <c r="G25" s="123">
        <f>'B.II OPEX - P1'!KK87</f>
        <v>0</v>
      </c>
    </row>
    <row r="26" spans="1:7" x14ac:dyDescent="0.25">
      <c r="A26" s="121">
        <f>A.IIOPEX!D90</f>
        <v>0</v>
      </c>
      <c r="B26" s="123">
        <f>'B.II OPEX - P1'!JQ96</f>
        <v>0</v>
      </c>
      <c r="C26" s="123">
        <f>'B.II OPEX - P1'!JU96</f>
        <v>0</v>
      </c>
      <c r="D26" s="123">
        <f>'B.II OPEX - P1'!JY96</f>
        <v>0</v>
      </c>
      <c r="E26" s="123">
        <f>'B.II OPEX - P1'!KC96</f>
        <v>0</v>
      </c>
      <c r="F26" s="123">
        <f>'B.II OPEX - P1'!KG96</f>
        <v>0</v>
      </c>
      <c r="G26" s="123">
        <f>'B.II OPEX - P1'!KK96</f>
        <v>0</v>
      </c>
    </row>
    <row r="27" spans="1:13" x14ac:dyDescent="0.25">
      <c r="A27" s="121">
        <f>A.IIOPEX!D99</f>
        <v>0</v>
      </c>
      <c r="B27" s="123">
        <f>'B.II OPEX - P1'!JQ107</f>
        <v>0</v>
      </c>
      <c r="C27" s="123">
        <f>'B.II OPEX - P1'!JU107</f>
        <v>0</v>
      </c>
      <c r="D27" s="123">
        <f>'B.II OPEX - P1'!JY107</f>
        <v>0</v>
      </c>
      <c r="E27" s="123">
        <f>'B.II OPEX - P1'!KC107</f>
        <v>0</v>
      </c>
      <c r="F27" s="123">
        <f>'B.II OPEX - P1'!KG107</f>
        <v>0</v>
      </c>
      <c r="G27" s="123">
        <f>'B.II OPEX - P1'!KK107</f>
        <v>0</v>
      </c>
      <c r="H27" t="s">
        <v>301</v>
      </c>
      <c r="M27" s="60"/>
    </row>
    <row r="28" spans="1:7" x14ac:dyDescent="0.25">
      <c r="A28" s="121"/>
      <c r="B28" s="122"/>
      <c r="C28" s="123"/>
      <c r="D28" s="123"/>
      <c r="E28" s="123"/>
      <c r="F28" s="123"/>
      <c r="G28" s="123"/>
    </row>
    <row r="29" ht="15.75" customHeight="1" spans="1:7" s="131" customFormat="1" x14ac:dyDescent="0.25">
      <c r="A29" s="132"/>
      <c r="B29" s="126">
        <f t="shared" ref="B29:G29" si="1">SUM(B20:B28)</f>
        <v>11591406.666666668</v>
      </c>
      <c r="C29" s="126">
        <f t="shared" si="1"/>
        <v>13458700</v>
      </c>
      <c r="D29" s="126">
        <f t="shared" si="1"/>
        <v>33693366</v>
      </c>
      <c r="E29" s="126">
        <f t="shared" si="1"/>
        <v>139974978.9</v>
      </c>
      <c r="F29" s="126">
        <f t="shared" si="1"/>
        <v>210554410.41</v>
      </c>
      <c r="G29" s="126">
        <f t="shared" si="1"/>
        <v>300267144.5058</v>
      </c>
    </row>
    <row r="30" ht="15.75" customHeight="1" spans="1:7" x14ac:dyDescent="0.25">
      <c r="A30" s="121"/>
      <c r="B30" s="122"/>
      <c r="C30" s="123"/>
      <c r="D30" s="123"/>
      <c r="E30" s="123"/>
      <c r="F30" s="123"/>
      <c r="G30" s="123"/>
    </row>
    <row r="31" spans="1:7" x14ac:dyDescent="0.25">
      <c r="A31" s="121"/>
      <c r="B31" s="122"/>
      <c r="C31" s="123"/>
      <c r="D31" s="124"/>
      <c r="E31" s="124"/>
      <c r="F31" s="124"/>
      <c r="G31" s="124"/>
    </row>
    <row r="32" ht="21" customHeight="1" spans="1:7" x14ac:dyDescent="0.25">
      <c r="A32" s="129" t="s">
        <v>302</v>
      </c>
      <c r="B32" s="133">
        <f t="shared" ref="B32:G32" si="2">B16-B29</f>
        <v>-11591406.666666668</v>
      </c>
      <c r="C32" s="133">
        <f t="shared" si="2"/>
        <v>-2587458.3065126482</v>
      </c>
      <c r="D32" s="133">
        <f t="shared" si="2"/>
        <v>2727003.2944125906</v>
      </c>
      <c r="E32" s="133">
        <f t="shared" si="2"/>
        <v>45768904.50150421</v>
      </c>
      <c r="F32" s="133">
        <f t="shared" si="2"/>
        <v>77348608.86233166</v>
      </c>
      <c r="G32" s="133">
        <f t="shared" si="2"/>
        <v>117192233.43908072</v>
      </c>
    </row>
    <row r="33" ht="15.75" customHeight="1" spans="1:13" x14ac:dyDescent="0.25">
      <c r="A33" s="120"/>
      <c r="B33" s="134"/>
      <c r="C33" s="134">
        <f>C32/C16</f>
        <v>-0.23800945462032363</v>
      </c>
      <c r="D33" s="134">
        <f t="shared" ref="D33:G33" si="3">D32/D16</f>
        <v>0.07487577274047444</v>
      </c>
      <c r="E33" s="134">
        <f t="shared" si="3"/>
        <v>0.24640867663227484</v>
      </c>
      <c r="F33" s="134">
        <f t="shared" si="3"/>
        <v>0.26866202743489287</v>
      </c>
      <c r="G33" s="134">
        <f t="shared" si="3"/>
        <v>0.2807272746297107</v>
      </c>
      <c r="M33" s="82"/>
    </row>
    <row r="34" spans="1:7" x14ac:dyDescent="0.25">
      <c r="A34" s="135"/>
      <c r="B34" s="136"/>
      <c r="C34" s="123"/>
      <c r="D34" s="124"/>
      <c r="E34" s="124"/>
      <c r="F34" s="124"/>
      <c r="G34" s="124"/>
    </row>
    <row r="35" ht="15" customHeight="1" spans="1:7" x14ac:dyDescent="0.25">
      <c r="A35" s="137" t="s">
        <v>303</v>
      </c>
      <c r="B35" s="138">
        <f t="shared" ref="B35:G35" si="4">B32-SUM(B34:B34)</f>
        <v>-11591406.666666668</v>
      </c>
      <c r="C35" s="138">
        <f t="shared" si="4"/>
        <v>-2587458.3065126482</v>
      </c>
      <c r="D35" s="139">
        <f t="shared" si="4"/>
        <v>2727003.2944125906</v>
      </c>
      <c r="E35" s="139">
        <f t="shared" si="4"/>
        <v>45768904.50150421</v>
      </c>
      <c r="F35" s="139">
        <f t="shared" si="4"/>
        <v>77348608.86233166</v>
      </c>
      <c r="G35" s="139">
        <f t="shared" si="4"/>
        <v>117192233.43908072</v>
      </c>
    </row>
    <row r="36" spans="1:7" x14ac:dyDescent="0.25">
      <c r="A36" s="140" t="s">
        <v>304</v>
      </c>
      <c r="B36" s="141">
        <f t="shared" ref="B36:G36" si="5">B33</f>
        <v>0</v>
      </c>
      <c r="C36" s="141">
        <f t="shared" si="5"/>
        <v>-0.23800945462032363</v>
      </c>
      <c r="D36" s="141">
        <f t="shared" si="5"/>
        <v>0.07487577274047444</v>
      </c>
      <c r="E36" s="141">
        <f t="shared" si="5"/>
        <v>0.24640867663227484</v>
      </c>
      <c r="F36" s="141">
        <f t="shared" si="5"/>
        <v>0.26866202743489287</v>
      </c>
      <c r="G36" s="141">
        <f t="shared" si="5"/>
        <v>0.2807272746297107</v>
      </c>
    </row>
    <row r="37" spans="1:7" x14ac:dyDescent="0.25">
      <c r="A37" s="120" t="s">
        <v>305</v>
      </c>
      <c r="B37" s="123">
        <f>'FA Schedule'!F17</f>
        <v>75000</v>
      </c>
      <c r="C37" s="123">
        <f>'FA Schedule'!I17</f>
        <v>71250</v>
      </c>
      <c r="D37" s="124">
        <f>'FA Schedule'!L17</f>
        <v>75562.5</v>
      </c>
      <c r="E37" s="124">
        <f>'FA Schedule'!O17</f>
        <v>64228.125</v>
      </c>
      <c r="F37" s="124">
        <f>'FA Schedule'!R17</f>
        <v>80093.90625</v>
      </c>
      <c r="G37" s="124">
        <f>'FA Schedule'!U17</f>
        <v>82329.8203125</v>
      </c>
    </row>
    <row r="38" ht="15" customHeight="1" spans="1:7" x14ac:dyDescent="0.25">
      <c r="A38" s="137" t="s">
        <v>306</v>
      </c>
      <c r="B38" s="142">
        <f t="shared" ref="B38:G38" si="6">B35-B37</f>
        <v>-11666406.666666668</v>
      </c>
      <c r="C38" s="142">
        <f t="shared" si="6"/>
        <v>-2658708.3065126482</v>
      </c>
      <c r="D38" s="133">
        <f t="shared" si="6"/>
        <v>2651440.7944125906</v>
      </c>
      <c r="E38" s="133">
        <f t="shared" si="6"/>
        <v>45704676.37650421</v>
      </c>
      <c r="F38" s="133">
        <f t="shared" si="6"/>
        <v>77268514.95608166</v>
      </c>
      <c r="G38" s="133">
        <f t="shared" si="6"/>
        <v>117109903.61876822</v>
      </c>
    </row>
    <row r="39" ht="15" customHeight="1" spans="1:7" x14ac:dyDescent="0.25">
      <c r="A39" s="137"/>
      <c r="B39" s="127"/>
      <c r="C39" s="127"/>
      <c r="D39" s="128"/>
      <c r="E39" s="128"/>
      <c r="F39" s="128"/>
      <c r="G39" s="128"/>
    </row>
    <row r="40" spans="1:7" x14ac:dyDescent="0.25">
      <c r="A40" s="140" t="s">
        <v>307</v>
      </c>
      <c r="B40" s="143">
        <v>0</v>
      </c>
      <c r="C40" s="143">
        <f t="shared" ref="C40:G40" si="7">C$38/C16</f>
        <v>-0.24456344376055994</v>
      </c>
      <c r="D40" s="143">
        <f t="shared" si="7"/>
        <v>0.07280104089497412</v>
      </c>
      <c r="E40" s="143">
        <f t="shared" si="7"/>
        <v>0.24606288799135811</v>
      </c>
      <c r="F40" s="143">
        <f t="shared" si="7"/>
        <v>0.2683838299138928</v>
      </c>
      <c r="G40" s="143">
        <f t="shared" si="7"/>
        <v>0.2805300582664856</v>
      </c>
    </row>
    <row r="41" spans="1:7" x14ac:dyDescent="0.25">
      <c r="A41" s="120" t="s">
        <v>308</v>
      </c>
      <c r="B41" s="123">
        <f t="shared" ref="B41:G41" si="8">IF(B38&gt;0,B38*25.17%,0)</f>
        <v>0</v>
      </c>
      <c r="C41" s="123">
        <f t="shared" si="8"/>
        <v>0</v>
      </c>
      <c r="D41" s="123">
        <f t="shared" si="8"/>
        <v>667367.6479536492</v>
      </c>
      <c r="E41" s="123">
        <f t="shared" si="8"/>
        <v>11503867.043966113</v>
      </c>
      <c r="F41" s="123">
        <f t="shared" si="8"/>
        <v>19448485.214445755</v>
      </c>
      <c r="G41" s="123">
        <f t="shared" si="8"/>
        <v>29476562.740843963</v>
      </c>
    </row>
    <row r="42" ht="15.75" customHeight="1" spans="1:7" x14ac:dyDescent="0.25">
      <c r="A42" s="144" t="s">
        <v>309</v>
      </c>
      <c r="B42" s="142">
        <f t="shared" ref="B42:G42" si="9">B38-B41</f>
        <v>-11666406.666666668</v>
      </c>
      <c r="C42" s="142">
        <f t="shared" si="9"/>
        <v>-2658708.3065126482</v>
      </c>
      <c r="D42" s="133">
        <f t="shared" si="9"/>
        <v>1984073.1464589415</v>
      </c>
      <c r="E42" s="133">
        <f t="shared" si="9"/>
        <v>34200809.3325381</v>
      </c>
      <c r="F42" s="133">
        <f t="shared" si="9"/>
        <v>57820029.7416359</v>
      </c>
      <c r="G42" s="133">
        <f t="shared" si="9"/>
        <v>87633340.87792425</v>
      </c>
    </row>
    <row r="43" ht="16.5" customHeight="1" spans="1:7" x14ac:dyDescent="0.25">
      <c r="A43" s="145"/>
      <c r="B43" s="146"/>
      <c r="C43" s="146"/>
      <c r="D43" s="145"/>
      <c r="E43" s="145"/>
      <c r="F43" s="145"/>
      <c r="G43" s="145"/>
    </row>
  </sheetData>
  <mergeCells count="6">
    <mergeCell ref="A1:G1"/>
    <mergeCell ref="A2:G2"/>
    <mergeCell ref="A3:G3"/>
    <mergeCell ref="A4:G4"/>
    <mergeCell ref="A5:G5"/>
    <mergeCell ref="A6:G6"/>
  </mergeCells>
  <pageMargins left="0.5118110236220472" right="0.2362204724409449" top="0.7480314960629921" bottom="0.7480314960629921" header="0.31496062992125984" footer="0.31496062992125984"/>
  <pageSetup orientation="portrait" horizontalDpi="4294967295" verticalDpi="4294967295" scale="76"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C1:P43"/>
  <sheetViews>
    <sheetView workbookViewId="0" showGridLines="0" zoomScale="100" zoomScaleNormal="100">
      <selection activeCell="C18" sqref="C18"/>
    </sheetView>
  </sheetViews>
  <sheetFormatPr defaultRowHeight="15" outlineLevelRow="0" outlineLevelCol="0" x14ac:dyDescent="0"/>
  <cols>
    <col min="1" max="1" width="1.7109375" customWidth="1"/>
    <col min="2" max="2" width="35.7109375" customWidth="1"/>
    <col min="3" max="5" width="15.7109375" customWidth="1"/>
    <col min="6" max="9" width="15.28515625" customWidth="1"/>
    <col min="10" max="10" width="13.28515625" customWidth="1"/>
    <col min="11" max="15" width="11.7109375" customWidth="1"/>
    <col min="16" max="16" width="11.5703125" customWidth="1"/>
  </cols>
  <sheetData>
    <row r="1" ht="15.75" customHeight="1" x14ac:dyDescent="0.25"/>
    <row r="2" ht="16.5" customHeight="1" spans="2:9" x14ac:dyDescent="0.25">
      <c r="B2" s="147" t="s">
        <v>328</v>
      </c>
      <c r="C2" s="148"/>
      <c r="D2" s="148"/>
      <c r="E2" s="148"/>
      <c r="F2" s="148"/>
      <c r="G2" s="148"/>
      <c r="H2" s="148"/>
      <c r="I2" s="149"/>
    </row>
    <row r="3" ht="15.75" customHeight="1" spans="2:9" x14ac:dyDescent="0.25">
      <c r="B3" s="150"/>
      <c r="C3" s="107"/>
      <c r="D3" s="107"/>
      <c r="E3" s="107"/>
      <c r="I3" s="119"/>
    </row>
    <row r="4" ht="15.75" customHeight="1" spans="2:9" x14ac:dyDescent="0.25">
      <c r="B4" s="151" t="s">
        <v>329</v>
      </c>
      <c r="C4" s="152"/>
      <c r="D4" s="152"/>
      <c r="E4" s="152"/>
      <c r="F4" s="152"/>
      <c r="G4" s="152"/>
      <c r="H4" s="152"/>
      <c r="I4" s="153"/>
    </row>
    <row r="5" ht="15.75" customHeight="1" spans="2:9" x14ac:dyDescent="0.25">
      <c r="B5" s="154"/>
      <c r="C5" s="155"/>
      <c r="D5" s="155"/>
      <c r="E5" s="155"/>
      <c r="F5" s="156"/>
      <c r="G5" s="156"/>
      <c r="H5" s="156"/>
      <c r="I5" s="146"/>
    </row>
    <row r="6" ht="15.75" customHeight="1" spans="2:9" x14ac:dyDescent="0.25">
      <c r="B6" s="110" t="s">
        <v>330</v>
      </c>
      <c r="C6" s="111"/>
      <c r="D6" s="111"/>
      <c r="E6" s="111"/>
      <c r="F6" s="111"/>
      <c r="G6" s="111"/>
      <c r="H6" s="111"/>
      <c r="I6" s="157"/>
    </row>
    <row r="7" ht="30.75" customHeight="1" spans="2:9" x14ac:dyDescent="0.25">
      <c r="B7" s="158" t="s">
        <v>203</v>
      </c>
      <c r="C7" s="159" t="s">
        <v>331</v>
      </c>
      <c r="D7" s="160" t="s">
        <v>332</v>
      </c>
      <c r="E7" s="161" t="s">
        <v>333</v>
      </c>
      <c r="F7" s="160" t="s">
        <v>334</v>
      </c>
      <c r="G7" s="161" t="s">
        <v>335</v>
      </c>
      <c r="H7" s="160" t="s">
        <v>336</v>
      </c>
      <c r="I7" s="160" t="s">
        <v>337</v>
      </c>
    </row>
    <row r="8" spans="2:9" x14ac:dyDescent="0.25">
      <c r="B8" s="162"/>
      <c r="C8" s="163"/>
      <c r="D8" s="164"/>
      <c r="E8" s="165"/>
      <c r="F8" s="164"/>
      <c r="G8" s="165"/>
      <c r="H8" s="164"/>
      <c r="I8" s="164"/>
    </row>
    <row r="9" spans="2:9" x14ac:dyDescent="0.25">
      <c r="B9" s="166" t="s">
        <v>338</v>
      </c>
      <c r="C9" s="124"/>
      <c r="D9" s="124"/>
      <c r="E9" s="54"/>
      <c r="F9" s="124"/>
      <c r="G9" s="54"/>
      <c r="H9" s="124"/>
      <c r="I9" s="124"/>
    </row>
    <row r="10" spans="2:16" x14ac:dyDescent="0.25">
      <c r="B10" s="167" t="s">
        <v>339</v>
      </c>
      <c r="C10" s="124"/>
      <c r="D10" s="124">
        <f>C10</f>
        <v>0</v>
      </c>
      <c r="E10" s="124">
        <f t="shared" ref="E10:I10" si="0">D10</f>
        <v>0</v>
      </c>
      <c r="F10" s="124">
        <f t="shared" si="0"/>
        <v>0</v>
      </c>
      <c r="G10" s="124">
        <f t="shared" si="0"/>
        <v>0</v>
      </c>
      <c r="H10" s="124">
        <f t="shared" si="0"/>
        <v>0</v>
      </c>
      <c r="I10" s="124">
        <f t="shared" si="0"/>
        <v>0</v>
      </c>
      <c r="J10" s="168">
        <f t="shared" ref="J10:J11" si="1">C10/100000</f>
        <v>0</v>
      </c>
      <c r="K10" s="168">
        <f t="shared" ref="K10:K11" si="2">D10/100000</f>
        <v>0</v>
      </c>
      <c r="L10" s="168">
        <f t="shared" ref="L10:L11" si="3">E10/100000</f>
        <v>0</v>
      </c>
      <c r="M10" s="168">
        <f t="shared" ref="M10:M11" si="4">F10/100000</f>
        <v>0</v>
      </c>
      <c r="N10" s="168">
        <f t="shared" ref="N10:N11" si="5">G10/100000</f>
        <v>0</v>
      </c>
      <c r="O10" s="168">
        <f t="shared" ref="O10:O11" si="6">H10/100000</f>
        <v>0</v>
      </c>
      <c r="P10" s="168">
        <f t="shared" ref="P10:P11" si="7">I10/100000</f>
        <v>0</v>
      </c>
    </row>
    <row r="11" spans="2:16" x14ac:dyDescent="0.25">
      <c r="B11" s="167" t="s">
        <v>340</v>
      </c>
      <c r="C11" s="124">
        <f>'4. P&amp;L'!C42</f>
        <v>-2658708.3065126482</v>
      </c>
      <c r="D11" s="124">
        <f>C11+'4. P&amp;L'!D42</f>
        <v>-674635.1600537067</v>
      </c>
      <c r="E11" s="124">
        <f>D11+'4. P&amp;L'!E42</f>
        <v>33526174.17248439</v>
      </c>
      <c r="F11" s="124">
        <f>E11+'4. P&amp;L'!F42</f>
        <v>91346203.91412029</v>
      </c>
      <c r="G11" s="124">
        <f>F11+'4. P&amp;L'!G42</f>
        <v>178979544.79204452</v>
      </c>
      <c r="H11" s="124" t="e">
        <f>G11+'4. P&amp;L'!#REF!</f>
        <v>#REF!</v>
      </c>
      <c r="I11" s="124" t="e">
        <f>H11+'4. P&amp;L'!#REF!</f>
        <v>#REF!</v>
      </c>
      <c r="J11" s="168">
        <f t="shared" si="1"/>
        <v>-26.587083065126482</v>
      </c>
      <c r="K11" s="168">
        <f t="shared" si="2"/>
        <v>-6.746351600537067</v>
      </c>
      <c r="L11" s="168">
        <f t="shared" si="3"/>
        <v>335.2617417248439</v>
      </c>
      <c r="M11" s="168">
        <f t="shared" si="4"/>
        <v>913.4620391412029</v>
      </c>
      <c r="N11" s="168">
        <f t="shared" si="5"/>
        <v>1789.7954479204452</v>
      </c>
      <c r="O11" s="168" t="e">
        <f t="shared" si="6"/>
        <v>#REF!</v>
      </c>
      <c r="P11" s="168" t="e">
        <f t="shared" si="7"/>
        <v>#REF!</v>
      </c>
    </row>
    <row r="12" spans="2:9" x14ac:dyDescent="0.25">
      <c r="B12" s="167" t="s">
        <v>341</v>
      </c>
      <c r="C12" s="169">
        <f>SUM(C10:C11)</f>
        <v>-2658708.3065126482</v>
      </c>
      <c r="D12" s="169">
        <f t="shared" ref="D12:H12" si="8">SUM(D10:D11)</f>
        <v>-674635.1600537067</v>
      </c>
      <c r="E12" s="169">
        <f t="shared" si="8"/>
        <v>33526174.17248439</v>
      </c>
      <c r="F12" s="169">
        <f t="shared" si="8"/>
        <v>91346203.91412029</v>
      </c>
      <c r="G12" s="169">
        <f t="shared" si="8"/>
        <v>178979544.79204452</v>
      </c>
      <c r="H12" s="169" t="e">
        <f t="shared" si="8"/>
        <v>#REF!</v>
      </c>
      <c r="I12" s="169" t="e">
        <f t="shared" ref="I12" si="9">SUM(I10:I11)</f>
        <v>#REF!</v>
      </c>
    </row>
    <row r="13" spans="2:9" x14ac:dyDescent="0.25">
      <c r="B13" s="167"/>
      <c r="C13" s="124"/>
      <c r="D13" s="124"/>
      <c r="E13" s="54"/>
      <c r="F13" s="124"/>
      <c r="G13" s="54"/>
      <c r="H13" s="124"/>
      <c r="I13" s="124"/>
    </row>
    <row r="14" spans="2:9" x14ac:dyDescent="0.25">
      <c r="B14" s="170" t="s">
        <v>342</v>
      </c>
      <c r="C14" s="124"/>
      <c r="D14" s="124"/>
      <c r="E14" s="54"/>
      <c r="F14" s="124"/>
      <c r="G14" s="54"/>
      <c r="H14" s="124"/>
      <c r="I14" s="124"/>
    </row>
    <row r="15" spans="2:16" x14ac:dyDescent="0.25">
      <c r="B15" s="167" t="s">
        <v>343</v>
      </c>
      <c r="C15" s="171">
        <f>'Repayment schedule'!B6</f>
        <v>0</v>
      </c>
      <c r="D15" s="171">
        <f>'Repayment schedule'!B18</f>
        <v>0</v>
      </c>
      <c r="E15" s="172">
        <f>'Repayment schedule'!B30</f>
        <v>0</v>
      </c>
      <c r="F15" s="171">
        <f>'Repayment schedule'!B42</f>
        <v>0</v>
      </c>
      <c r="G15" s="171">
        <f>'Repayment schedule'!B54</f>
        <v>0</v>
      </c>
      <c r="H15" s="171">
        <f>'Repayment schedule'!B66</f>
        <v>0</v>
      </c>
      <c r="I15" s="171">
        <f>'Repayment schedule'!B78</f>
        <v>0</v>
      </c>
      <c r="J15" s="168">
        <f t="shared" ref="J15:P15" si="10">C15/100000</f>
        <v>0</v>
      </c>
      <c r="K15" s="168">
        <f t="shared" si="10"/>
        <v>0</v>
      </c>
      <c r="L15" s="168">
        <f t="shared" si="10"/>
        <v>0</v>
      </c>
      <c r="M15" s="168">
        <f t="shared" si="10"/>
        <v>0</v>
      </c>
      <c r="N15" s="168">
        <f t="shared" si="10"/>
        <v>0</v>
      </c>
      <c r="O15" s="168">
        <f t="shared" si="10"/>
        <v>0</v>
      </c>
      <c r="P15" s="168">
        <f t="shared" si="10"/>
        <v>0</v>
      </c>
    </row>
    <row r="16" spans="2:9" x14ac:dyDescent="0.25">
      <c r="B16" s="167"/>
      <c r="C16" s="124"/>
      <c r="D16" s="124"/>
      <c r="E16" s="54"/>
      <c r="F16" s="124"/>
      <c r="G16" s="54"/>
      <c r="H16" s="124"/>
      <c r="I16" s="124"/>
    </row>
    <row r="17" spans="2:9" x14ac:dyDescent="0.25">
      <c r="B17" s="173" t="s">
        <v>344</v>
      </c>
      <c r="C17" s="124"/>
      <c r="D17" s="124"/>
      <c r="E17" s="54"/>
      <c r="F17" s="124"/>
      <c r="G17" s="54"/>
      <c r="H17" s="124"/>
      <c r="I17" s="124"/>
    </row>
    <row r="18" spans="2:16" x14ac:dyDescent="0.25">
      <c r="B18" s="167" t="s">
        <v>345</v>
      </c>
      <c r="C18" s="124" t="e">
        <f>('4. P&amp;L'!C20+'4. P&amp;L'!#REF!)*39.6%</f>
        <v>#REF!</v>
      </c>
      <c r="D18" s="124" t="e">
        <f>('4. P&amp;L'!D20+'4. P&amp;L'!#REF!)*41%</f>
        <v>#REF!</v>
      </c>
      <c r="E18" s="124" t="e">
        <f>('4. P&amp;L'!E20+'4. P&amp;L'!#REF!)*40%+500000</f>
        <v>#REF!</v>
      </c>
      <c r="F18" s="124" t="e">
        <f>('4. P&amp;L'!F20+'4. P&amp;L'!#REF!)*37%</f>
        <v>#REF!</v>
      </c>
      <c r="G18" s="124" t="e">
        <f>('4. P&amp;L'!G20+'4. P&amp;L'!#REF!)*33%</f>
        <v>#REF!</v>
      </c>
      <c r="H18" s="124" t="e">
        <f>('4. P&amp;L'!#REF!+'4. P&amp;L'!#REF!)*33%</f>
        <v>#REF!</v>
      </c>
      <c r="I18" s="124" t="e">
        <f>('4. P&amp;L'!#REF!+'4. P&amp;L'!#REF!)*33%</f>
        <v>#REF!</v>
      </c>
      <c r="J18" s="168" t="e">
        <f t="shared" ref="J18:P19" si="11">C18/100000</f>
        <v>#REF!</v>
      </c>
      <c r="K18" s="168" t="e">
        <f t="shared" si="11"/>
        <v>#REF!</v>
      </c>
      <c r="L18" s="168" t="e">
        <f t="shared" si="11"/>
        <v>#REF!</v>
      </c>
      <c r="M18" s="168" t="e">
        <f t="shared" si="11"/>
        <v>#REF!</v>
      </c>
      <c r="N18" s="168" t="e">
        <f t="shared" si="11"/>
        <v>#REF!</v>
      </c>
      <c r="O18" s="168" t="e">
        <f t="shared" si="11"/>
        <v>#REF!</v>
      </c>
      <c r="P18" s="168" t="e">
        <f t="shared" si="11"/>
        <v>#REF!</v>
      </c>
    </row>
    <row r="19" spans="2:16" x14ac:dyDescent="0.25">
      <c r="B19" s="167" t="s">
        <v>346</v>
      </c>
      <c r="C19" s="124">
        <v>3509865</v>
      </c>
      <c r="D19" s="124">
        <f t="shared" ref="D19:I19" si="12">C19*120%</f>
        <v>4211838</v>
      </c>
      <c r="E19" s="124">
        <f t="shared" si="12"/>
        <v>5054205.6</v>
      </c>
      <c r="F19" s="124">
        <f t="shared" si="12"/>
        <v>6065046.72</v>
      </c>
      <c r="G19" s="124">
        <f t="shared" si="12"/>
        <v>7278056.063999999</v>
      </c>
      <c r="H19" s="124">
        <f t="shared" si="12"/>
        <v>8733667.2768</v>
      </c>
      <c r="I19" s="124">
        <f t="shared" si="12"/>
        <v>10480400.732159998</v>
      </c>
      <c r="J19" s="168">
        <f t="shared" si="11"/>
        <v>35.09865</v>
      </c>
      <c r="K19" s="168">
        <f t="shared" si="11"/>
        <v>42.11838</v>
      </c>
      <c r="L19" s="168">
        <f t="shared" si="11"/>
        <v>50.542055999999995</v>
      </c>
      <c r="M19" s="168">
        <f t="shared" si="11"/>
        <v>60.650467199999994</v>
      </c>
      <c r="N19" s="168">
        <f t="shared" si="11"/>
        <v>72.78056063999999</v>
      </c>
      <c r="O19" s="168">
        <f t="shared" si="11"/>
        <v>87.33667276799999</v>
      </c>
      <c r="P19" s="168">
        <f t="shared" si="11"/>
        <v>104.80400732159998</v>
      </c>
    </row>
    <row r="20" ht="15.75" customHeight="1" spans="2:9" x14ac:dyDescent="0.25">
      <c r="B20" s="174" t="s">
        <v>347</v>
      </c>
      <c r="C20" s="133" t="e">
        <f t="shared" ref="C20:I20" si="13">SUM(C12:C19)</f>
        <v>#REF!</v>
      </c>
      <c r="D20" s="133" t="e">
        <f t="shared" si="13"/>
        <v>#REF!</v>
      </c>
      <c r="E20" s="175" t="e">
        <f t="shared" si="13"/>
        <v>#REF!</v>
      </c>
      <c r="F20" s="133" t="e">
        <f t="shared" si="13"/>
        <v>#REF!</v>
      </c>
      <c r="G20" s="175" t="e">
        <f t="shared" si="13"/>
        <v>#REF!</v>
      </c>
      <c r="H20" s="133" t="e">
        <f t="shared" si="13"/>
        <v>#REF!</v>
      </c>
      <c r="I20" s="133" t="e">
        <f t="shared" si="13"/>
        <v>#REF!</v>
      </c>
    </row>
    <row r="21" ht="15.75" customHeight="1" spans="2:9" x14ac:dyDescent="0.25">
      <c r="B21" s="174"/>
      <c r="C21" s="128"/>
      <c r="D21" s="128"/>
      <c r="E21" s="81"/>
      <c r="F21" s="128"/>
      <c r="G21" s="81"/>
      <c r="H21" s="128"/>
      <c r="I21" s="128"/>
    </row>
    <row r="22" spans="2:9" x14ac:dyDescent="0.25">
      <c r="B22" s="176" t="s">
        <v>348</v>
      </c>
      <c r="C22" s="164"/>
      <c r="D22" s="164"/>
      <c r="E22" s="165"/>
      <c r="F22" s="164"/>
      <c r="G22" s="165"/>
      <c r="H22" s="164"/>
      <c r="I22" s="164"/>
    </row>
    <row r="23" spans="2:16" x14ac:dyDescent="0.25">
      <c r="B23" s="167" t="s">
        <v>349</v>
      </c>
      <c r="C23" s="177">
        <f>'FA Schedule'!D17+'FA Schedule'!C17</f>
        <v>500000</v>
      </c>
      <c r="D23" s="177">
        <f>'FA Schedule'!G17+'FA Schedule'!H17</f>
        <v>475000</v>
      </c>
      <c r="E23" s="178">
        <f>'FA Schedule'!J17+'FA Schedule'!N17</f>
        <v>403750</v>
      </c>
      <c r="F23" s="177">
        <f>'FA Schedule'!P17+'FA Schedule'!Q17</f>
        <v>533959.375</v>
      </c>
      <c r="G23" s="178">
        <f>'FA Schedule'!S17+'FA Schedule'!T17</f>
        <v>548865.46875</v>
      </c>
      <c r="H23" s="177" t="e">
        <f>'FA Schedule'!V17+'FA Schedule'!#REF!</f>
        <v>#REF!</v>
      </c>
      <c r="I23" s="177" t="e">
        <f>'FA Schedule'!#REF!+'FA Schedule'!#REF!</f>
        <v>#REF!</v>
      </c>
      <c r="J23" s="168">
        <f>C23/100000</f>
        <v>5</v>
      </c>
      <c r="K23" s="168">
        <f t="shared" ref="K23:P24" si="14">D23/100000</f>
        <v>4.75</v>
      </c>
      <c r="L23" s="168">
        <f t="shared" si="14"/>
        <v>4.0375</v>
      </c>
      <c r="M23" s="168">
        <f t="shared" si="14"/>
        <v>5.33959375</v>
      </c>
      <c r="N23" s="168">
        <f t="shared" si="14"/>
        <v>5.4886546875</v>
      </c>
      <c r="O23" s="168" t="e">
        <f t="shared" si="14"/>
        <v>#REF!</v>
      </c>
      <c r="P23" s="168" t="e">
        <f t="shared" si="14"/>
        <v>#REF!</v>
      </c>
    </row>
    <row r="24" ht="17.25" customHeight="1" spans="2:16" x14ac:dyDescent="0.25">
      <c r="B24" s="167" t="s">
        <v>350</v>
      </c>
      <c r="C24" s="179">
        <f>'FA Schedule'!F17</f>
        <v>75000</v>
      </c>
      <c r="D24" s="179">
        <f>'FA Schedule'!I17</f>
        <v>71250</v>
      </c>
      <c r="E24" s="180">
        <f>'FA Schedule'!O17</f>
        <v>64228.125</v>
      </c>
      <c r="F24" s="179">
        <f>'FA Schedule'!R17</f>
        <v>80093.90625</v>
      </c>
      <c r="G24" s="180">
        <f>'FA Schedule'!U17</f>
        <v>82329.8203125</v>
      </c>
      <c r="H24" s="179" t="e">
        <f>'FA Schedule'!#REF!</f>
        <v>#REF!</v>
      </c>
      <c r="I24" s="179" t="e">
        <f>'FA Schedule'!#REF!</f>
        <v>#REF!</v>
      </c>
      <c r="J24" s="168">
        <f>C24/100000</f>
        <v>0.75</v>
      </c>
      <c r="K24" s="168">
        <f t="shared" si="14"/>
        <v>0.7125</v>
      </c>
      <c r="L24" s="168">
        <f t="shared" si="14"/>
        <v>0.64228125</v>
      </c>
      <c r="M24" s="168">
        <f t="shared" si="14"/>
        <v>0.8009390625</v>
      </c>
      <c r="N24" s="168">
        <f t="shared" si="14"/>
        <v>0.823298203125</v>
      </c>
      <c r="O24" s="168" t="e">
        <f t="shared" si="14"/>
        <v>#REF!</v>
      </c>
      <c r="P24" s="168" t="e">
        <f t="shared" si="14"/>
        <v>#REF!</v>
      </c>
    </row>
    <row r="25" spans="2:9" x14ac:dyDescent="0.25">
      <c r="B25" s="167" t="s">
        <v>351</v>
      </c>
      <c r="C25" s="181">
        <f>C23-C24</f>
        <v>425000</v>
      </c>
      <c r="D25" s="124">
        <f t="shared" ref="D25:G25" si="15">D23-D24</f>
        <v>403750</v>
      </c>
      <c r="E25" s="54">
        <f t="shared" si="15"/>
        <v>339521.875</v>
      </c>
      <c r="F25" s="124">
        <f t="shared" si="15"/>
        <v>453865.46875</v>
      </c>
      <c r="G25" s="54">
        <f t="shared" si="15"/>
        <v>466535.6484375</v>
      </c>
      <c r="H25" s="124" t="e">
        <f>H23-H24</f>
        <v>#REF!</v>
      </c>
      <c r="I25" s="124" t="e">
        <f>I23-I24</f>
        <v>#REF!</v>
      </c>
    </row>
    <row r="26" spans="2:9" x14ac:dyDescent="0.25">
      <c r="B26" s="167"/>
      <c r="C26" s="181"/>
      <c r="D26" s="124"/>
      <c r="E26" s="54"/>
      <c r="F26" s="124"/>
      <c r="G26" s="54"/>
      <c r="H26" s="124"/>
      <c r="I26" s="124"/>
    </row>
    <row r="27" spans="2:16" x14ac:dyDescent="0.25">
      <c r="B27" s="167" t="s">
        <v>352</v>
      </c>
      <c r="C27" s="181">
        <f>700000+3400000</f>
        <v>4100000</v>
      </c>
      <c r="D27" s="124">
        <f>800000+1700000+1800000</f>
        <v>4300000</v>
      </c>
      <c r="E27" s="124">
        <f>1200000+4500000</f>
        <v>5700000</v>
      </c>
      <c r="F27" s="124">
        <f>1500000+4300000</f>
        <v>5800000</v>
      </c>
      <c r="G27" s="124">
        <f>3500000+2800000</f>
        <v>6300000</v>
      </c>
      <c r="H27" s="124">
        <f>5500000+2000000</f>
        <v>7500000</v>
      </c>
      <c r="I27" s="124">
        <f>7500000+2400000</f>
        <v>9900000</v>
      </c>
      <c r="J27" s="54">
        <f>C27/100000</f>
        <v>41</v>
      </c>
      <c r="K27" s="54">
        <f t="shared" ref="K27:P27" si="16">D27/100000</f>
        <v>43</v>
      </c>
      <c r="L27" s="54">
        <f t="shared" si="16"/>
        <v>57</v>
      </c>
      <c r="M27" s="54">
        <f t="shared" si="16"/>
        <v>58</v>
      </c>
      <c r="N27" s="54">
        <f t="shared" si="16"/>
        <v>63</v>
      </c>
      <c r="O27" s="54">
        <f t="shared" si="16"/>
        <v>75</v>
      </c>
      <c r="P27" s="54">
        <f t="shared" si="16"/>
        <v>99</v>
      </c>
    </row>
    <row r="28" spans="2:9" x14ac:dyDescent="0.25">
      <c r="B28" s="167"/>
      <c r="C28" s="181"/>
      <c r="D28" s="124"/>
      <c r="E28" s="54"/>
      <c r="F28" s="124"/>
      <c r="G28" s="54"/>
      <c r="H28" s="124"/>
      <c r="I28" s="124"/>
    </row>
    <row r="29" spans="2:9" x14ac:dyDescent="0.25">
      <c r="B29" s="173" t="s">
        <v>353</v>
      </c>
      <c r="C29" s="181"/>
      <c r="D29" s="124"/>
      <c r="E29" s="54"/>
      <c r="F29" s="124"/>
      <c r="G29" s="54"/>
      <c r="H29" s="124"/>
      <c r="I29" s="124"/>
    </row>
    <row r="30" spans="2:16" x14ac:dyDescent="0.25">
      <c r="B30" s="167" t="s">
        <v>354</v>
      </c>
      <c r="C30" s="182" t="e">
        <f>('4. P&amp;L'!C20+'4. P&amp;L'!#REF!)*30%</f>
        <v>#REF!</v>
      </c>
      <c r="D30" s="183" t="e">
        <f>('4. P&amp;L'!D20+'4. P&amp;L'!#REF!)*22%</f>
        <v>#REF!</v>
      </c>
      <c r="E30" s="183" t="e">
        <f>('4. P&amp;L'!E20+'4. P&amp;L'!#REF!)*26%</f>
        <v>#REF!</v>
      </c>
      <c r="F30" s="183" t="e">
        <f>('4. P&amp;L'!F20+'4. P&amp;L'!#REF!)*30%</f>
        <v>#REF!</v>
      </c>
      <c r="G30" s="183" t="e">
        <f>('4. P&amp;L'!G20+'4. P&amp;L'!#REF!)*30%</f>
        <v>#REF!</v>
      </c>
      <c r="H30" s="183" t="e">
        <f>('4. P&amp;L'!#REF!+'4. P&amp;L'!#REF!)*30%</f>
        <v>#REF!</v>
      </c>
      <c r="I30" s="183" t="e">
        <f>('4. P&amp;L'!#REF!+'4. P&amp;L'!#REF!)*30%</f>
        <v>#REF!</v>
      </c>
      <c r="J30" s="168" t="e">
        <f>C30/100000</f>
        <v>#REF!</v>
      </c>
      <c r="K30" s="168" t="e">
        <f t="shared" ref="K30:P30" si="17">D30/100000</f>
        <v>#REF!</v>
      </c>
      <c r="L30" s="168" t="e">
        <f t="shared" si="17"/>
        <v>#REF!</v>
      </c>
      <c r="M30" s="168" t="e">
        <f t="shared" si="17"/>
        <v>#REF!</v>
      </c>
      <c r="N30" s="168" t="e">
        <f t="shared" si="17"/>
        <v>#REF!</v>
      </c>
      <c r="O30" s="168" t="e">
        <f t="shared" si="17"/>
        <v>#REF!</v>
      </c>
      <c r="P30" s="168" t="e">
        <f t="shared" si="17"/>
        <v>#REF!</v>
      </c>
    </row>
    <row r="31" spans="2:16" x14ac:dyDescent="0.25">
      <c r="B31" s="167" t="s">
        <v>355</v>
      </c>
      <c r="C31" s="181">
        <v>1500000</v>
      </c>
      <c r="D31" s="124">
        <v>1500000</v>
      </c>
      <c r="E31" s="54">
        <v>1500000</v>
      </c>
      <c r="F31" s="124">
        <v>1500000</v>
      </c>
      <c r="G31" s="54">
        <v>1500000</v>
      </c>
      <c r="H31" s="124">
        <v>1500000</v>
      </c>
      <c r="I31" s="124">
        <v>1500000</v>
      </c>
      <c r="J31" s="168">
        <f>C31/100000</f>
        <v>15</v>
      </c>
      <c r="K31" s="168">
        <f t="shared" ref="K31" si="18">D31/100000</f>
        <v>15</v>
      </c>
      <c r="L31" s="168">
        <f t="shared" ref="L31" si="19">E31/100000</f>
        <v>15</v>
      </c>
      <c r="M31" s="168">
        <f t="shared" ref="M31" si="20">F31/100000</f>
        <v>15</v>
      </c>
      <c r="N31" s="168">
        <f t="shared" ref="N31" si="21">G31/100000</f>
        <v>15</v>
      </c>
      <c r="O31" s="168">
        <f t="shared" ref="O31" si="22">H31/100000</f>
        <v>15</v>
      </c>
      <c r="P31" s="168">
        <f t="shared" ref="P31" si="23">I31/100000</f>
        <v>15</v>
      </c>
    </row>
    <row r="32" spans="2:16" x14ac:dyDescent="0.25">
      <c r="B32" s="167" t="s">
        <v>356</v>
      </c>
      <c r="C32" s="181">
        <v>965000</v>
      </c>
      <c r="D32" s="124">
        <f>C32*135%</f>
        <v>1302750</v>
      </c>
      <c r="E32" s="124">
        <f>D32*135%</f>
        <v>1758712.5</v>
      </c>
      <c r="F32" s="124">
        <f>E32*110%</f>
        <v>1934583.7500000002</v>
      </c>
      <c r="G32" s="124">
        <f>F32*112.5%</f>
        <v>2176406.7187500005</v>
      </c>
      <c r="H32" s="124">
        <f t="shared" ref="H32" si="24">G32*115%</f>
        <v>2502867.7265625005</v>
      </c>
      <c r="I32" s="124">
        <f>H32*105%</f>
        <v>2628011.1128906254</v>
      </c>
      <c r="J32" s="168">
        <f>C32/100000</f>
        <v>9.65</v>
      </c>
      <c r="K32" s="168">
        <f t="shared" ref="K32" si="25">D32/100000</f>
        <v>13.0275</v>
      </c>
      <c r="L32" s="168">
        <f t="shared" ref="L32" si="26">E32/100000</f>
        <v>17.587125</v>
      </c>
      <c r="M32" s="168">
        <f t="shared" ref="M32" si="27">F32/100000</f>
        <v>19.345837500000002</v>
      </c>
      <c r="N32" s="168">
        <f t="shared" ref="N32" si="28">G32/100000</f>
        <v>21.764067187500004</v>
      </c>
      <c r="O32" s="168">
        <f t="shared" ref="O32" si="29">H32/100000</f>
        <v>25.028677265625003</v>
      </c>
      <c r="P32" s="168">
        <f t="shared" ref="P32" si="30">I32/100000</f>
        <v>26.280111128906253</v>
      </c>
    </row>
    <row r="33" spans="2:16" x14ac:dyDescent="0.25">
      <c r="B33" s="167" t="s">
        <v>357</v>
      </c>
      <c r="C33" s="181" t="e">
        <f>'4. P&amp;L'!#REF!*20%</f>
        <v>#REF!</v>
      </c>
      <c r="D33" s="124" t="e">
        <f>'4. P&amp;L'!#REF!*17%</f>
        <v>#REF!</v>
      </c>
      <c r="E33" s="124" t="e">
        <f>'4. P&amp;L'!#REF!*17%</f>
        <v>#REF!</v>
      </c>
      <c r="F33" s="124" t="e">
        <f>'4. P&amp;L'!#REF!*14%</f>
        <v>#REF!</v>
      </c>
      <c r="G33" s="124" t="e">
        <f>'4. P&amp;L'!#REF!*13%</f>
        <v>#REF!</v>
      </c>
      <c r="H33" s="124" t="e">
        <f>'4. P&amp;L'!#REF!*13%</f>
        <v>#REF!</v>
      </c>
      <c r="I33" s="124" t="e">
        <f>'4. P&amp;L'!#REF!*14.78%</f>
        <v>#REF!</v>
      </c>
      <c r="J33" s="168" t="e">
        <f>C33/100000</f>
        <v>#REF!</v>
      </c>
      <c r="K33" s="168" t="e">
        <f t="shared" ref="K33:P33" si="31">D33/100000</f>
        <v>#REF!</v>
      </c>
      <c r="L33" s="168" t="e">
        <f t="shared" si="31"/>
        <v>#REF!</v>
      </c>
      <c r="M33" s="168" t="e">
        <f t="shared" si="31"/>
        <v>#REF!</v>
      </c>
      <c r="N33" s="168" t="e">
        <f t="shared" si="31"/>
        <v>#REF!</v>
      </c>
      <c r="O33" s="168" t="e">
        <f t="shared" si="31"/>
        <v>#REF!</v>
      </c>
      <c r="P33" s="168" t="e">
        <f t="shared" si="31"/>
        <v>#REF!</v>
      </c>
    </row>
    <row r="34" spans="2:16" x14ac:dyDescent="0.25">
      <c r="B34" s="167" t="s">
        <v>358</v>
      </c>
      <c r="C34" s="181">
        <v>1805430</v>
      </c>
      <c r="D34" s="124">
        <v>4262000</v>
      </c>
      <c r="E34" s="124">
        <f>D34*112%</f>
        <v>4773440</v>
      </c>
      <c r="F34" s="124">
        <f>E34*104%</f>
        <v>4964377.600000001</v>
      </c>
      <c r="G34" s="124">
        <f>F34*110%</f>
        <v>5460815.360000001</v>
      </c>
      <c r="H34" s="124">
        <f>G34*120%</f>
        <v>6552978.432000001</v>
      </c>
      <c r="I34" s="124">
        <f>H34*105%</f>
        <v>6880627.353600001</v>
      </c>
      <c r="J34" s="168">
        <f>(C34+C31)/100000</f>
        <v>33.0543</v>
      </c>
      <c r="K34" s="168">
        <f t="shared" ref="K34:P34" si="32">(D34+D31)/100000</f>
        <v>57.62</v>
      </c>
      <c r="L34" s="168">
        <f t="shared" si="32"/>
        <v>62.7344</v>
      </c>
      <c r="M34" s="168">
        <f t="shared" si="32"/>
        <v>64.643776</v>
      </c>
      <c r="N34" s="168">
        <f t="shared" si="32"/>
        <v>69.60815360000001</v>
      </c>
      <c r="O34" s="168">
        <f t="shared" si="32"/>
        <v>80.52978432</v>
      </c>
      <c r="P34" s="168">
        <f t="shared" si="32"/>
        <v>83.806273536</v>
      </c>
    </row>
    <row r="35" spans="2:16" x14ac:dyDescent="0.25">
      <c r="B35" s="167" t="s">
        <v>359</v>
      </c>
      <c r="C35" s="181" t="e">
        <f>C20-SUM(C25:C34)</f>
        <v>#REF!</v>
      </c>
      <c r="D35" s="124" t="e">
        <f t="shared" ref="D35:H35" si="33">D20-SUM(D25:D34)</f>
        <v>#REF!</v>
      </c>
      <c r="E35" s="54" t="e">
        <f t="shared" si="33"/>
        <v>#REF!</v>
      </c>
      <c r="F35" s="124" t="e">
        <f t="shared" si="33"/>
        <v>#REF!</v>
      </c>
      <c r="G35" s="54" t="e">
        <f t="shared" si="33"/>
        <v>#REF!</v>
      </c>
      <c r="H35" s="124" t="e">
        <f t="shared" si="33"/>
        <v>#REF!</v>
      </c>
      <c r="I35" s="124" t="e">
        <f t="shared" ref="I35" si="34">I20-SUM(I25:I34)</f>
        <v>#REF!</v>
      </c>
      <c r="J35" s="168" t="e">
        <f>C35/100000</f>
        <v>#REF!</v>
      </c>
      <c r="K35" s="168" t="e">
        <f t="shared" ref="K35" si="35">D35/100000</f>
        <v>#REF!</v>
      </c>
      <c r="L35" s="168" t="e">
        <f t="shared" ref="L35" si="36">E35/100000</f>
        <v>#REF!</v>
      </c>
      <c r="M35" s="168" t="e">
        <f t="shared" ref="M35" si="37">F35/100000</f>
        <v>#REF!</v>
      </c>
      <c r="N35" s="168" t="e">
        <f t="shared" ref="N35" si="38">G35/100000</f>
        <v>#REF!</v>
      </c>
      <c r="O35" s="168" t="e">
        <f t="shared" ref="O35" si="39">H35/100000</f>
        <v>#REF!</v>
      </c>
      <c r="P35" s="168" t="e">
        <f t="shared" ref="P35" si="40">I35/100000</f>
        <v>#REF!</v>
      </c>
    </row>
    <row r="36" spans="2:16" x14ac:dyDescent="0.25">
      <c r="B36" s="174" t="s">
        <v>347</v>
      </c>
      <c r="C36" s="128" t="e">
        <f t="shared" ref="C36:H36" si="41">SUM(C25:C35)</f>
        <v>#REF!</v>
      </c>
      <c r="D36" s="128" t="e">
        <f t="shared" si="41"/>
        <v>#REF!</v>
      </c>
      <c r="E36" s="81" t="e">
        <f t="shared" si="41"/>
        <v>#REF!</v>
      </c>
      <c r="F36" s="128" t="e">
        <f t="shared" si="41"/>
        <v>#REF!</v>
      </c>
      <c r="G36" s="81" t="e">
        <f t="shared" si="41"/>
        <v>#REF!</v>
      </c>
      <c r="H36" s="128" t="e">
        <f t="shared" si="41"/>
        <v>#REF!</v>
      </c>
      <c r="I36" s="128" t="e">
        <f t="shared" ref="I36" si="42">SUM(I25:I35)</f>
        <v>#REF!</v>
      </c>
      <c r="J36" s="184"/>
      <c r="K36" s="184"/>
      <c r="L36" s="184"/>
      <c r="M36" s="184"/>
      <c r="N36" s="184"/>
      <c r="O36" s="184"/>
      <c r="P36" s="184"/>
    </row>
    <row r="37" ht="15.75" customHeight="1" spans="2:16" x14ac:dyDescent="0.25">
      <c r="B37" s="185"/>
      <c r="C37" s="186" t="e">
        <f t="shared" ref="C37:H37" si="43">C20-C36</f>
        <v>#REF!</v>
      </c>
      <c r="D37" s="186" t="e">
        <f t="shared" si="43"/>
        <v>#REF!</v>
      </c>
      <c r="E37" s="187" t="e">
        <f t="shared" si="43"/>
        <v>#REF!</v>
      </c>
      <c r="F37" s="186" t="e">
        <f t="shared" si="43"/>
        <v>#REF!</v>
      </c>
      <c r="G37" s="187" t="e">
        <f t="shared" si="43"/>
        <v>#REF!</v>
      </c>
      <c r="H37" s="186" t="e">
        <f t="shared" si="43"/>
        <v>#REF!</v>
      </c>
      <c r="I37" s="186" t="e">
        <f t="shared" ref="I37" si="44">I20-I36</f>
        <v>#REF!</v>
      </c>
      <c r="J37" s="188"/>
      <c r="K37" s="188"/>
      <c r="L37" s="188"/>
      <c r="M37" s="188"/>
      <c r="N37" s="188"/>
      <c r="O37" s="188"/>
      <c r="P37" s="188"/>
    </row>
    <row r="38" ht="15.75" customHeight="1" spans="3:16" x14ac:dyDescent="0.25">
      <c r="C38" s="54"/>
      <c r="D38" s="54"/>
      <c r="E38" s="54"/>
      <c r="F38" s="54"/>
      <c r="G38" s="54"/>
      <c r="H38" s="54"/>
      <c r="I38" s="54"/>
      <c r="J38" s="168">
        <f>J31+J34</f>
        <v>48.0543</v>
      </c>
      <c r="K38" s="168">
        <f t="shared" ref="K38:P38" si="45">K31+K34</f>
        <v>72.62</v>
      </c>
      <c r="L38" s="168">
        <f t="shared" si="45"/>
        <v>77.7344</v>
      </c>
      <c r="M38" s="168">
        <f t="shared" si="45"/>
        <v>79.643776</v>
      </c>
      <c r="N38" s="168">
        <f t="shared" si="45"/>
        <v>84.60815360000001</v>
      </c>
      <c r="O38" s="168">
        <f t="shared" si="45"/>
        <v>95.52978432</v>
      </c>
      <c r="P38" s="168">
        <f t="shared" si="45"/>
        <v>98.806273536</v>
      </c>
    </row>
    <row r="39" ht="15.75" customHeight="1" spans="2:9" x14ac:dyDescent="0.25">
      <c r="B39" s="189" t="s">
        <v>360</v>
      </c>
      <c r="C39" s="190" t="e">
        <f>(C33+C35+C30+C32+C31+C34)/100000</f>
        <v>#REF!</v>
      </c>
      <c r="D39" s="190" t="e">
        <f t="shared" ref="D39:H39" si="46">(D33+D35+D30+D32+D31+D34)/100000</f>
        <v>#REF!</v>
      </c>
      <c r="E39" s="190" t="e">
        <f t="shared" si="46"/>
        <v>#REF!</v>
      </c>
      <c r="F39" s="190" t="e">
        <f t="shared" si="46"/>
        <v>#REF!</v>
      </c>
      <c r="G39" s="190" t="e">
        <f t="shared" si="46"/>
        <v>#REF!</v>
      </c>
      <c r="H39" s="191" t="e">
        <f t="shared" si="46"/>
        <v>#REF!</v>
      </c>
      <c r="I39" s="191" t="e">
        <f t="shared" ref="I39" si="47">(I33+I35+I30+I32+I31+I34)/100000</f>
        <v>#REF!</v>
      </c>
    </row>
    <row r="40" ht="15.75" customHeight="1" spans="2:9" x14ac:dyDescent="0.25">
      <c r="B40" s="167" t="s">
        <v>361</v>
      </c>
      <c r="C40" s="192" t="e">
        <f>(C18+C19)/100000</f>
        <v>#REF!</v>
      </c>
      <c r="D40" s="192" t="e">
        <f t="shared" ref="D40:I40" si="48">(D18+D19)/100000</f>
        <v>#REF!</v>
      </c>
      <c r="E40" s="192" t="e">
        <f t="shared" si="48"/>
        <v>#REF!</v>
      </c>
      <c r="F40" s="192" t="e">
        <f t="shared" si="48"/>
        <v>#REF!</v>
      </c>
      <c r="G40" s="192" t="e">
        <f t="shared" si="48"/>
        <v>#REF!</v>
      </c>
      <c r="H40" s="192" t="e">
        <f t="shared" si="48"/>
        <v>#REF!</v>
      </c>
      <c r="I40" s="193" t="e">
        <f t="shared" si="48"/>
        <v>#REF!</v>
      </c>
    </row>
    <row r="41" ht="16.5" customHeight="1" spans="2:9" x14ac:dyDescent="0.25">
      <c r="B41" s="194" t="s">
        <v>362</v>
      </c>
      <c r="C41" s="195" t="e">
        <f>C39/C40</f>
        <v>#REF!</v>
      </c>
      <c r="D41" s="195" t="e">
        <f t="shared" ref="D41:H41" si="49">D39/D40</f>
        <v>#REF!</v>
      </c>
      <c r="E41" s="195" t="e">
        <f t="shared" si="49"/>
        <v>#REF!</v>
      </c>
      <c r="F41" s="195" t="e">
        <f t="shared" si="49"/>
        <v>#REF!</v>
      </c>
      <c r="G41" s="195" t="e">
        <f t="shared" si="49"/>
        <v>#REF!</v>
      </c>
      <c r="H41" s="196" t="e">
        <f t="shared" si="49"/>
        <v>#REF!</v>
      </c>
      <c r="I41" s="196" t="e">
        <f t="shared" ref="I41" si="50">I39/I40</f>
        <v>#REF!</v>
      </c>
    </row>
    <row r="42" ht="17.25" customHeight="1" x14ac:dyDescent="0.25"/>
    <row r="43" spans="3:3" x14ac:dyDescent="0.25">
      <c r="C43" s="60"/>
    </row>
  </sheetData>
  <mergeCells count="5">
    <mergeCell ref="B2:I2"/>
    <mergeCell ref="B3:E3"/>
    <mergeCell ref="B4:I4"/>
    <mergeCell ref="B5:E5"/>
    <mergeCell ref="B6:I6"/>
  </mergeCells>
  <pageMargins left="0.5118110236220472" right="0.1968503937007874" top="0.7480314960629921" bottom="0.7480314960629921" header="0.31496062992125984" footer="0.31496062992125984"/>
  <pageSetup orientation="portrait" horizontalDpi="4294967295" verticalDpi="4294967295" scale="69"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G19"/>
  <sheetViews>
    <sheetView workbookViewId="0" zoomScale="100" zoomScaleNormal="100">
      <selection activeCell="B19" sqref="B19"/>
    </sheetView>
  </sheetViews>
  <sheetFormatPr defaultRowHeight="15" outlineLevelRow="0" outlineLevelCol="0" x14ac:dyDescent="0" defaultColWidth="9.28515625"/>
  <cols>
    <col min="1" max="1" width="21.28515625" customWidth="1"/>
    <col min="2" max="2" width="12.7109375" customWidth="1"/>
    <col min="3" max="3" width="14.28515625" customWidth="1"/>
    <col min="4" max="4" width="12.42578125" customWidth="1"/>
    <col min="5" max="7" width="14.28515625" customWidth="1"/>
    <col min="8" max="16384" width="9.28515625" customWidth="1"/>
  </cols>
  <sheetData>
    <row r="1" spans="1:7" x14ac:dyDescent="0.25">
      <c r="A1" s="217" t="s">
        <v>363</v>
      </c>
      <c r="B1" s="217"/>
      <c r="C1" s="217"/>
      <c r="D1" s="217"/>
      <c r="E1" s="217"/>
      <c r="F1" s="217"/>
      <c r="G1" s="217"/>
    </row>
    <row r="2" spans="1:7" x14ac:dyDescent="0.25">
      <c r="A2" s="218"/>
      <c r="B2" s="218"/>
      <c r="C2" s="218"/>
      <c r="D2" s="218"/>
      <c r="E2" s="218"/>
      <c r="F2" s="218"/>
      <c r="G2" s="218"/>
    </row>
    <row r="3" spans="1:7" x14ac:dyDescent="0.25">
      <c r="A3" s="219" t="str">
        <f>'5. Balance sheet'!B4</f>
        <v>Gacchobowli</v>
      </c>
      <c r="B3" s="219"/>
      <c r="C3" s="219"/>
      <c r="D3" s="219"/>
      <c r="E3" s="219"/>
      <c r="F3" s="219"/>
      <c r="G3" s="219"/>
    </row>
    <row r="4" ht="15" customHeight="1" spans="1:6" x14ac:dyDescent="0.25">
      <c r="A4" s="13"/>
      <c r="B4" s="13"/>
      <c r="C4" s="13"/>
      <c r="D4" s="220"/>
      <c r="E4" s="13"/>
      <c r="F4" s="13"/>
    </row>
    <row r="5" ht="30" customHeight="1" spans="1:7" x14ac:dyDescent="0.25">
      <c r="A5" s="221" t="s">
        <v>203</v>
      </c>
      <c r="B5" s="222" t="s">
        <v>383</v>
      </c>
      <c r="C5" s="223" t="s">
        <v>384</v>
      </c>
      <c r="D5" s="223" t="s">
        <v>385</v>
      </c>
      <c r="E5" s="224" t="s">
        <v>386</v>
      </c>
      <c r="F5" s="224" t="s">
        <v>387</v>
      </c>
      <c r="G5" s="225" t="s">
        <v>388</v>
      </c>
    </row>
    <row r="6" spans="1:7" x14ac:dyDescent="0.25">
      <c r="A6" s="226"/>
      <c r="B6" s="227"/>
      <c r="C6" s="227"/>
      <c r="D6" s="227"/>
      <c r="E6" s="228"/>
      <c r="F6" s="228"/>
      <c r="G6" s="229"/>
    </row>
    <row r="7" spans="1:7" x14ac:dyDescent="0.25">
      <c r="A7" s="230" t="s">
        <v>389</v>
      </c>
      <c r="B7" s="231">
        <f>'4. P&amp;L'!C42</f>
        <v>-2658708.3065126482</v>
      </c>
      <c r="C7" s="231">
        <f>'4. P&amp;L'!D42</f>
        <v>1984073.1464589415</v>
      </c>
      <c r="D7" s="231">
        <f>'4. P&amp;L'!E42</f>
        <v>34200809.3325381</v>
      </c>
      <c r="E7" s="231">
        <f>'4. P&amp;L'!F42</f>
        <v>57820029.7416359</v>
      </c>
      <c r="F7" s="231">
        <f>'4. P&amp;L'!G42</f>
        <v>87633340.87792425</v>
      </c>
      <c r="G7" s="232" t="e">
        <f>'4. P&amp;L'!#REF!</f>
        <v>#REF!</v>
      </c>
    </row>
    <row r="8" spans="1:7" x14ac:dyDescent="0.25">
      <c r="A8" s="230" t="s">
        <v>390</v>
      </c>
      <c r="B8" s="233" t="e">
        <f>'4. P&amp;L'!#REF!</f>
        <v>#REF!</v>
      </c>
      <c r="C8" s="233" t="e">
        <f>'4. P&amp;L'!#REF!</f>
        <v>#REF!</v>
      </c>
      <c r="D8" s="233" t="e">
        <f>'4. P&amp;L'!#REF!</f>
        <v>#REF!</v>
      </c>
      <c r="E8" s="233" t="e">
        <f>'4. P&amp;L'!#REF!</f>
        <v>#REF!</v>
      </c>
      <c r="F8" s="233" t="e">
        <f>'4. P&amp;L'!#REF!</f>
        <v>#REF!</v>
      </c>
      <c r="G8" s="234" t="e">
        <f>'4. P&amp;L'!#REF!</f>
        <v>#REF!</v>
      </c>
    </row>
    <row r="9" spans="1:7" x14ac:dyDescent="0.25">
      <c r="A9" s="230" t="s">
        <v>305</v>
      </c>
      <c r="B9" s="233">
        <f>'4. P&amp;L'!C37</f>
        <v>71250</v>
      </c>
      <c r="C9" s="233">
        <f>'4. P&amp;L'!D37</f>
        <v>75562.5</v>
      </c>
      <c r="D9" s="233">
        <f>'4. P&amp;L'!E37</f>
        <v>64228.125</v>
      </c>
      <c r="E9" s="233">
        <f>'4. P&amp;L'!F37</f>
        <v>80093.90625</v>
      </c>
      <c r="F9" s="233">
        <f>'4. P&amp;L'!G37</f>
        <v>82329.8203125</v>
      </c>
      <c r="G9" s="234" t="e">
        <f>'4. P&amp;L'!#REF!</f>
        <v>#REF!</v>
      </c>
    </row>
    <row r="10" spans="1:7" x14ac:dyDescent="0.25">
      <c r="A10" s="230"/>
      <c r="B10" s="233"/>
      <c r="C10" s="233"/>
      <c r="D10" s="233"/>
      <c r="E10" s="233"/>
      <c r="F10" s="233"/>
      <c r="G10" s="234"/>
    </row>
    <row r="11" spans="1:7" x14ac:dyDescent="0.25">
      <c r="A11" s="226" t="s">
        <v>391</v>
      </c>
      <c r="B11" s="235" t="e">
        <f t="shared" ref="B11:G11" si="0">SUM(B7:B10)</f>
        <v>#REF!</v>
      </c>
      <c r="C11" s="235" t="e">
        <f t="shared" si="0"/>
        <v>#REF!</v>
      </c>
      <c r="D11" s="235" t="e">
        <f t="shared" si="0"/>
        <v>#REF!</v>
      </c>
      <c r="E11" s="235" t="e">
        <f t="shared" si="0"/>
        <v>#REF!</v>
      </c>
      <c r="F11" s="235" t="e">
        <f t="shared" si="0"/>
        <v>#REF!</v>
      </c>
      <c r="G11" s="236" t="e">
        <f t="shared" si="0"/>
        <v>#REF!</v>
      </c>
    </row>
    <row r="12" spans="1:7" x14ac:dyDescent="0.25">
      <c r="A12" s="230"/>
      <c r="B12" s="233"/>
      <c r="C12" s="233"/>
      <c r="D12" s="233"/>
      <c r="E12" s="233"/>
      <c r="F12" s="233"/>
      <c r="G12" s="234"/>
    </row>
    <row r="13" spans="1:7" x14ac:dyDescent="0.25">
      <c r="A13" s="226" t="s">
        <v>392</v>
      </c>
      <c r="B13" s="235"/>
      <c r="C13" s="233"/>
      <c r="D13" s="233"/>
      <c r="E13" s="233"/>
      <c r="F13" s="233"/>
      <c r="G13" s="234"/>
    </row>
    <row r="14" spans="1:7" x14ac:dyDescent="0.25">
      <c r="A14" s="230" t="s">
        <v>393</v>
      </c>
      <c r="B14" s="233" t="e">
        <f>'4. P&amp;L'!#REF!</f>
        <v>#REF!</v>
      </c>
      <c r="C14" s="233" t="e">
        <f>'4. P&amp;L'!#REF!</f>
        <v>#REF!</v>
      </c>
      <c r="D14" s="233" t="e">
        <f>'4. P&amp;L'!#REF!</f>
        <v>#REF!</v>
      </c>
      <c r="E14" s="233" t="e">
        <f>'4. P&amp;L'!#REF!</f>
        <v>#REF!</v>
      </c>
      <c r="F14" s="233" t="e">
        <f>'4. P&amp;L'!#REF!</f>
        <v>#REF!</v>
      </c>
      <c r="G14" s="234" t="e">
        <f>'4. P&amp;L'!#REF!</f>
        <v>#REF!</v>
      </c>
    </row>
    <row r="15" spans="1:7" x14ac:dyDescent="0.25">
      <c r="A15" s="230" t="s">
        <v>394</v>
      </c>
      <c r="B15" s="233">
        <f>'Repayment schedule'!F10</f>
        <v>0</v>
      </c>
      <c r="C15" s="233">
        <f>'Repayment schedule'!F22</f>
        <v>0</v>
      </c>
      <c r="D15" s="233">
        <f>'Repayment schedule'!F34</f>
        <v>0</v>
      </c>
      <c r="E15" s="233">
        <f>'Repayment schedule'!F46</f>
        <v>0</v>
      </c>
      <c r="F15" s="233">
        <f>'Repayment schedule'!F58</f>
        <v>0</v>
      </c>
      <c r="G15" s="234">
        <f>'Repayment schedule'!F70</f>
        <v>0</v>
      </c>
    </row>
    <row r="16" spans="1:7" x14ac:dyDescent="0.25">
      <c r="A16" s="230"/>
      <c r="B16" s="233"/>
      <c r="C16" s="233"/>
      <c r="D16" s="233"/>
      <c r="E16" s="233"/>
      <c r="F16" s="233"/>
      <c r="G16" s="234"/>
    </row>
    <row r="17" spans="1:7" x14ac:dyDescent="0.25">
      <c r="A17" s="226" t="s">
        <v>391</v>
      </c>
      <c r="B17" s="235" t="e">
        <f>SUM(B14:B16)</f>
        <v>#REF!</v>
      </c>
      <c r="C17" s="235" t="e">
        <f t="shared" ref="C17:G17" si="1">SUM(C14:C16)</f>
        <v>#REF!</v>
      </c>
      <c r="D17" s="235" t="e">
        <f t="shared" si="1"/>
        <v>#REF!</v>
      </c>
      <c r="E17" s="235" t="e">
        <f t="shared" si="1"/>
        <v>#REF!</v>
      </c>
      <c r="F17" s="235" t="e">
        <f t="shared" si="1"/>
        <v>#REF!</v>
      </c>
      <c r="G17" s="236" t="e">
        <f t="shared" si="1"/>
        <v>#REF!</v>
      </c>
    </row>
    <row r="18" spans="1:7" x14ac:dyDescent="0.25">
      <c r="A18" s="230"/>
      <c r="B18" s="230"/>
      <c r="C18" s="230"/>
      <c r="D18" s="230"/>
      <c r="E18" s="230"/>
      <c r="F18" s="230"/>
      <c r="G18" s="237"/>
    </row>
    <row r="19" spans="1:7" x14ac:dyDescent="0.25">
      <c r="A19" s="238" t="s">
        <v>395</v>
      </c>
      <c r="B19" s="239" t="e">
        <f>B11/B17</f>
        <v>#REF!</v>
      </c>
      <c r="C19" s="239" t="e">
        <f>C11/C17</f>
        <v>#REF!</v>
      </c>
      <c r="D19" s="239" t="e">
        <f t="shared" ref="D19:G19" si="2">D11/D17</f>
        <v>#REF!</v>
      </c>
      <c r="E19" s="239" t="e">
        <f t="shared" si="2"/>
        <v>#REF!</v>
      </c>
      <c r="F19" s="239" t="e">
        <f t="shared" si="2"/>
        <v>#REF!</v>
      </c>
      <c r="G19" s="240" t="e">
        <f t="shared" si="2"/>
        <v>#REF!</v>
      </c>
    </row>
  </sheetData>
  <mergeCells count="2">
    <mergeCell ref="A1:G1"/>
    <mergeCell ref="A3:G3"/>
  </mergeCells>
  <pageMargins left="0.7" right="0.7" top="0.75" bottom="0.75" header="0.3" footer="0.3"/>
  <pageSetup orientation="portrait" horizontalDpi="0" verticalDpi="0"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8"/>
  <sheetViews>
    <sheetView workbookViewId="0" showGridLines="0" zoomScale="93" zoomScaleNormal="100">
      <selection activeCell="Q12" sqref="Q12"/>
    </sheetView>
  </sheetViews>
  <sheetFormatPr defaultRowHeight="15" outlineLevelRow="0" outlineLevelCol="0" x14ac:dyDescent="0"/>
  <cols>
    <col min="1" max="1" width="22.7109375" customWidth="1"/>
    <col min="3" max="4" width="13.42578125" customWidth="1"/>
    <col min="5" max="5" width="11.28515625" customWidth="1"/>
    <col min="6" max="6" width="17.7109375" customWidth="1"/>
    <col min="7" max="8" width="13.42578125" customWidth="1"/>
    <col min="9" max="9" width="14.28515625" customWidth="1"/>
    <col min="10" max="10" width="19.7109375" customWidth="1"/>
    <col min="11" max="11" width="13.42578125" customWidth="1"/>
    <col min="12" max="12" width="14.28515625" customWidth="1"/>
    <col min="13" max="13" width="20" customWidth="1"/>
    <col min="14" max="14" width="13.42578125" customWidth="1"/>
    <col min="15" max="15" width="18" customWidth="1"/>
    <col min="16" max="17" width="13.42578125" customWidth="1"/>
    <col min="18" max="18" width="14.28515625" customWidth="1"/>
    <col min="19" max="20" width="13.42578125" customWidth="1"/>
    <col min="21" max="22" width="14.28515625" customWidth="1"/>
  </cols>
  <sheetData>
    <row r="1" ht="17.25" customHeight="1" spans="1:14" x14ac:dyDescent="0.25">
      <c r="A1" s="259" t="str">
        <f>'4. P&amp;L'!A2</f>
        <v>CYNCURA PRIVATE LIMITED</v>
      </c>
      <c r="B1" s="260"/>
      <c r="C1" s="260"/>
      <c r="D1" s="260"/>
      <c r="E1" s="260"/>
      <c r="F1" s="260"/>
      <c r="G1" s="260"/>
      <c r="H1" s="260"/>
      <c r="I1" s="260"/>
      <c r="J1" s="260"/>
      <c r="K1" s="260"/>
      <c r="L1" s="260"/>
      <c r="M1" s="260"/>
      <c r="N1" s="261"/>
    </row>
    <row r="2" ht="17.25" customHeight="1" spans="1:14" x14ac:dyDescent="0.25">
      <c r="A2" s="262" t="s">
        <v>404</v>
      </c>
      <c r="B2" s="262"/>
      <c r="C2" s="262"/>
      <c r="D2" s="262"/>
      <c r="E2" s="262"/>
      <c r="F2" s="262"/>
      <c r="G2" s="262"/>
      <c r="H2" s="262"/>
      <c r="I2" s="262"/>
      <c r="J2" s="262"/>
      <c r="K2" s="262"/>
      <c r="L2" s="262"/>
      <c r="M2" s="262"/>
      <c r="N2" s="263"/>
    </row>
    <row r="3" spans="1:14" x14ac:dyDescent="0.25">
      <c r="A3" s="264"/>
      <c r="B3" s="264"/>
      <c r="C3" s="264"/>
      <c r="D3" s="264"/>
      <c r="E3" s="264"/>
      <c r="F3" s="264"/>
      <c r="G3" s="264"/>
      <c r="H3" s="264"/>
      <c r="I3" s="264"/>
      <c r="J3" s="264"/>
      <c r="K3" s="264"/>
      <c r="L3" s="264"/>
      <c r="M3" s="264"/>
      <c r="N3" s="264"/>
    </row>
    <row r="4" spans="1:14" x14ac:dyDescent="0.25">
      <c r="A4" s="265" t="s">
        <v>405</v>
      </c>
      <c r="B4" s="265"/>
      <c r="C4" s="265"/>
      <c r="D4" s="265"/>
      <c r="E4" s="265"/>
      <c r="F4" s="265"/>
      <c r="G4" s="265"/>
      <c r="H4" s="265"/>
      <c r="I4" s="265"/>
      <c r="J4" s="265"/>
      <c r="K4" s="265"/>
      <c r="L4" s="265"/>
      <c r="M4" s="265"/>
      <c r="N4" s="265"/>
    </row>
    <row r="5" spans="1:14" x14ac:dyDescent="0.25">
      <c r="A5" s="265" t="s">
        <v>370</v>
      </c>
      <c r="B5" s="265"/>
      <c r="C5" s="265"/>
      <c r="D5" s="265"/>
      <c r="E5" s="265"/>
      <c r="F5" s="265"/>
      <c r="G5" s="265"/>
      <c r="H5" s="265"/>
      <c r="I5" s="265"/>
      <c r="J5" s="265"/>
      <c r="K5" s="265"/>
      <c r="L5" s="265"/>
      <c r="M5" s="265"/>
      <c r="N5" s="265"/>
    </row>
    <row r="6" spans="1:14" x14ac:dyDescent="0.25">
      <c r="A6" s="266"/>
      <c r="B6" s="266"/>
      <c r="C6" s="266"/>
      <c r="D6" s="267"/>
      <c r="E6" s="267"/>
      <c r="F6" s="268"/>
      <c r="G6" s="268"/>
      <c r="H6" s="268"/>
      <c r="I6" s="269"/>
      <c r="J6" s="269"/>
      <c r="K6" s="269"/>
      <c r="L6" s="269"/>
      <c r="M6" s="269"/>
      <c r="N6" s="269"/>
    </row>
    <row r="7" ht="15" customHeight="1" spans="1:22" x14ac:dyDescent="0.25">
      <c r="A7" s="270" t="s">
        <v>406</v>
      </c>
      <c r="B7" s="271" t="s">
        <v>407</v>
      </c>
      <c r="C7" s="271" t="s">
        <v>408</v>
      </c>
      <c r="D7" s="272" t="s">
        <v>409</v>
      </c>
      <c r="E7" s="272"/>
      <c r="F7" s="273" t="s">
        <v>410</v>
      </c>
      <c r="G7" s="274" t="s">
        <v>411</v>
      </c>
      <c r="H7" s="275" t="s">
        <v>409</v>
      </c>
      <c r="I7" s="276" t="s">
        <v>305</v>
      </c>
      <c r="J7" s="277" t="s">
        <v>412</v>
      </c>
      <c r="K7" s="275" t="s">
        <v>409</v>
      </c>
      <c r="L7" s="276" t="s">
        <v>305</v>
      </c>
      <c r="M7" s="277" t="s">
        <v>413</v>
      </c>
      <c r="N7" s="278" t="s">
        <v>409</v>
      </c>
      <c r="O7" s="276" t="s">
        <v>305</v>
      </c>
      <c r="P7" s="279" t="s">
        <v>414</v>
      </c>
      <c r="Q7" s="278" t="s">
        <v>409</v>
      </c>
      <c r="R7" s="276" t="s">
        <v>305</v>
      </c>
      <c r="S7" s="280" t="s">
        <v>415</v>
      </c>
      <c r="T7" s="276" t="s">
        <v>409</v>
      </c>
      <c r="U7" s="276" t="s">
        <v>305</v>
      </c>
      <c r="V7" s="280" t="s">
        <v>416</v>
      </c>
    </row>
    <row r="8" ht="30" customHeight="1" spans="1:22" x14ac:dyDescent="0.25">
      <c r="A8" s="281"/>
      <c r="B8" s="282"/>
      <c r="C8" s="282"/>
      <c r="D8" s="283" t="s">
        <v>417</v>
      </c>
      <c r="E8" s="283" t="s">
        <v>418</v>
      </c>
      <c r="F8" s="273"/>
      <c r="G8" s="284"/>
      <c r="H8" s="285"/>
      <c r="I8" s="286"/>
      <c r="J8" s="277"/>
      <c r="K8" s="285"/>
      <c r="L8" s="286"/>
      <c r="M8" s="277"/>
      <c r="N8" s="287"/>
      <c r="O8" s="286"/>
      <c r="P8" s="279"/>
      <c r="Q8" s="287"/>
      <c r="R8" s="286"/>
      <c r="S8" s="280"/>
      <c r="T8" s="286"/>
      <c r="U8" s="286"/>
      <c r="V8" s="280"/>
    </row>
    <row r="9" spans="1:22" x14ac:dyDescent="0.25">
      <c r="A9" s="288"/>
      <c r="B9" s="288"/>
      <c r="C9" s="289"/>
      <c r="D9" s="290"/>
      <c r="E9" s="288"/>
      <c r="F9" s="291"/>
      <c r="G9" s="292"/>
      <c r="H9" s="293"/>
      <c r="I9" s="291"/>
      <c r="J9" s="292"/>
      <c r="K9" s="293"/>
      <c r="L9" s="291"/>
      <c r="M9" s="292"/>
      <c r="N9" s="289"/>
      <c r="O9" s="294"/>
      <c r="P9" s="295"/>
      <c r="R9" s="294"/>
      <c r="S9" s="296"/>
      <c r="U9" s="294"/>
      <c r="V9" s="296"/>
    </row>
    <row r="10" spans="1:22" x14ac:dyDescent="0.25">
      <c r="A10" s="297" t="s">
        <v>419</v>
      </c>
      <c r="B10" s="288"/>
      <c r="C10" s="289"/>
      <c r="D10" s="298"/>
      <c r="E10" s="288"/>
      <c r="F10" s="291"/>
      <c r="G10" s="292"/>
      <c r="H10" s="293"/>
      <c r="I10" s="291"/>
      <c r="J10" s="292"/>
      <c r="K10" s="293"/>
      <c r="L10" s="291"/>
      <c r="M10" s="292"/>
      <c r="N10" s="289"/>
      <c r="O10" s="294"/>
      <c r="P10" s="299"/>
      <c r="R10" s="294"/>
      <c r="S10" s="300"/>
      <c r="U10" s="294"/>
      <c r="V10" s="300"/>
    </row>
    <row r="11" ht="16.5" customHeight="1" spans="1:22" x14ac:dyDescent="0.25">
      <c r="A11" s="301" t="s">
        <v>420</v>
      </c>
      <c r="B11" s="302">
        <v>0.15</v>
      </c>
      <c r="C11" s="303">
        <v>500000</v>
      </c>
      <c r="D11" s="304">
        <v>0</v>
      </c>
      <c r="E11" s="304">
        <v>0</v>
      </c>
      <c r="F11" s="303">
        <f>(D11+C11+E11)*B11</f>
        <v>75000</v>
      </c>
      <c r="G11" s="305">
        <f>C11+D11+E11-F11</f>
        <v>425000</v>
      </c>
      <c r="H11" s="306">
        <v>50000</v>
      </c>
      <c r="I11" s="307">
        <f>(G11+H11)*B11</f>
        <v>71250</v>
      </c>
      <c r="J11" s="308">
        <f>G11+H11-I11</f>
        <v>403750</v>
      </c>
      <c r="K11" s="306">
        <v>100000</v>
      </c>
      <c r="L11" s="309">
        <f>(J11+K11)*$B$11</f>
        <v>75562.5</v>
      </c>
      <c r="M11" s="308">
        <f>J11+K11-L11</f>
        <v>428187.5</v>
      </c>
      <c r="N11" s="310">
        <v>0</v>
      </c>
      <c r="O11" s="309">
        <f>(M11+N11)*$B$11</f>
        <v>64228.125</v>
      </c>
      <c r="P11" s="308">
        <f>M11+N11-O11</f>
        <v>363959.375</v>
      </c>
      <c r="Q11" s="310">
        <v>170000</v>
      </c>
      <c r="R11" s="309">
        <f>(P11+Q11)*$B$11</f>
        <v>80093.90625</v>
      </c>
      <c r="S11" s="308">
        <f>P11+Q11-R11</f>
        <v>453865.46875</v>
      </c>
      <c r="T11" s="310">
        <v>95000</v>
      </c>
      <c r="U11" s="309">
        <f>(S11+T11)*$B$11</f>
        <v>82329.8203125</v>
      </c>
      <c r="V11" s="308">
        <f>S11+T11-U11</f>
        <v>466535.6484375</v>
      </c>
    </row>
    <row r="12" ht="16.5" customHeight="1" spans="1:22" x14ac:dyDescent="0.25">
      <c r="A12" s="301"/>
      <c r="B12" s="302">
        <v>0.15</v>
      </c>
      <c r="C12" s="303">
        <v>0</v>
      </c>
      <c r="D12" s="304">
        <v>0</v>
      </c>
      <c r="E12" s="304">
        <v>0</v>
      </c>
      <c r="F12" s="303">
        <f>(D12+C12+E12)*B12</f>
        <v>0</v>
      </c>
      <c r="G12" s="305">
        <f>C12+D12+E12-F12</f>
        <v>0</v>
      </c>
      <c r="H12" s="306">
        <v>0</v>
      </c>
      <c r="I12" s="307">
        <f>(G12+H12)*B12</f>
        <v>0</v>
      </c>
      <c r="J12" s="308">
        <f>G12+H12-I12</f>
        <v>0</v>
      </c>
      <c r="K12" s="306">
        <v>0</v>
      </c>
      <c r="L12" s="309">
        <f>(J12+K12)*$B$12</f>
        <v>0</v>
      </c>
      <c r="M12" s="308">
        <f>J12+K12-L12</f>
        <v>0</v>
      </c>
      <c r="N12" s="310">
        <v>0</v>
      </c>
      <c r="O12" s="309">
        <f>(M12+N12)*$B$12</f>
        <v>0</v>
      </c>
      <c r="P12" s="308">
        <f>M12+N12-O12</f>
        <v>0</v>
      </c>
      <c r="Q12" s="310">
        <v>0</v>
      </c>
      <c r="R12" s="309">
        <f>(P12+Q12)*$B$12</f>
        <v>0</v>
      </c>
      <c r="S12" s="308">
        <f>P12+Q12-R12</f>
        <v>0</v>
      </c>
      <c r="T12" s="310">
        <v>0</v>
      </c>
      <c r="U12" s="309">
        <f>(S12+T12)*$B$12</f>
        <v>0</v>
      </c>
      <c r="V12" s="308">
        <f>S12+T12-U12</f>
        <v>0</v>
      </c>
    </row>
    <row r="13" ht="16.5" customHeight="1" spans="1:22" x14ac:dyDescent="0.25">
      <c r="A13" s="301"/>
      <c r="B13" s="302">
        <v>0.15</v>
      </c>
      <c r="C13" s="303">
        <v>0</v>
      </c>
      <c r="D13" s="304">
        <v>0</v>
      </c>
      <c r="E13" s="304">
        <v>0</v>
      </c>
      <c r="F13" s="303">
        <f>(D13+C13+E13)*B13</f>
        <v>0</v>
      </c>
      <c r="G13" s="305">
        <f>C13+D13+E13-F13</f>
        <v>0</v>
      </c>
      <c r="H13" s="306">
        <v>0</v>
      </c>
      <c r="I13" s="307">
        <f>(G13+H13)*B13</f>
        <v>0</v>
      </c>
      <c r="J13" s="308">
        <f>G13+H13-I13</f>
        <v>0</v>
      </c>
      <c r="K13" s="306">
        <v>0</v>
      </c>
      <c r="L13" s="309">
        <f>(J13+K13)*$B$13</f>
        <v>0</v>
      </c>
      <c r="M13" s="308">
        <f>J13+K13-L13</f>
        <v>0</v>
      </c>
      <c r="N13" s="310">
        <v>0</v>
      </c>
      <c r="O13" s="309">
        <f>(M13+N13)*$B$13</f>
        <v>0</v>
      </c>
      <c r="P13" s="308">
        <f>M13+N13-O13</f>
        <v>0</v>
      </c>
      <c r="Q13" s="310">
        <v>0</v>
      </c>
      <c r="R13" s="309">
        <f>(P13+Q13)*$B$13</f>
        <v>0</v>
      </c>
      <c r="S13" s="308">
        <f>P13+Q13-R13</f>
        <v>0</v>
      </c>
      <c r="T13" s="310">
        <v>0</v>
      </c>
      <c r="U13" s="309">
        <f>(S13+T13)*$B$13</f>
        <v>0</v>
      </c>
      <c r="V13" s="308">
        <f>S13+T13-U13</f>
        <v>0</v>
      </c>
    </row>
    <row r="14" ht="16.5" customHeight="1" spans="1:22" x14ac:dyDescent="0.25">
      <c r="A14" s="301"/>
      <c r="B14" s="302">
        <v>0.25</v>
      </c>
      <c r="C14" s="303">
        <v>0</v>
      </c>
      <c r="D14" s="304">
        <v>0</v>
      </c>
      <c r="E14" s="304">
        <v>0</v>
      </c>
      <c r="F14" s="303">
        <f t="shared" ref="F14:F15" si="0">(D14+C14+E14)*B14</f>
        <v>0</v>
      </c>
      <c r="G14" s="305">
        <f t="shared" ref="G14:G15" si="1">C14+D14+E14-F14</f>
        <v>0</v>
      </c>
      <c r="H14" s="306">
        <v>0</v>
      </c>
      <c r="I14" s="307">
        <f t="shared" ref="I14:I15" si="2">(G14+H14)*B14</f>
        <v>0</v>
      </c>
      <c r="J14" s="308">
        <f t="shared" ref="J14:J15" si="3">G14+H14-I14</f>
        <v>0</v>
      </c>
      <c r="K14" s="306">
        <v>0</v>
      </c>
      <c r="L14" s="309">
        <f t="shared" ref="L14:L15" si="4">(J14+K14)*$B$13</f>
        <v>0</v>
      </c>
      <c r="M14" s="308">
        <f t="shared" ref="M14:M15" si="5">J14+K14-L14</f>
        <v>0</v>
      </c>
      <c r="N14" s="310">
        <v>0</v>
      </c>
      <c r="O14" s="309">
        <f t="shared" ref="O14:O15" si="6">(M14+N14)*$B$13</f>
        <v>0</v>
      </c>
      <c r="P14" s="308">
        <f t="shared" ref="P14:P15" si="7">M14+N14-O14</f>
        <v>0</v>
      </c>
      <c r="Q14" s="310">
        <v>0</v>
      </c>
      <c r="R14" s="309">
        <f t="shared" ref="R14:R15" si="8">(P14+Q14)*$B$13</f>
        <v>0</v>
      </c>
      <c r="S14" s="308">
        <f t="shared" ref="S14:S15" si="9">P14+Q14-R14</f>
        <v>0</v>
      </c>
      <c r="T14" s="310">
        <v>0</v>
      </c>
      <c r="U14" s="309">
        <f t="shared" ref="U14:U15" si="10">(S14+T14)*$B$13</f>
        <v>0</v>
      </c>
      <c r="V14" s="308">
        <f t="shared" ref="V14:V15" si="11">S14+T14-U14</f>
        <v>0</v>
      </c>
    </row>
    <row r="15" ht="16.5" customHeight="1" spans="1:22" x14ac:dyDescent="0.25">
      <c r="A15" s="301"/>
      <c r="B15" s="302">
        <v>0.25</v>
      </c>
      <c r="C15" s="303">
        <v>0</v>
      </c>
      <c r="D15" s="304">
        <v>0</v>
      </c>
      <c r="E15" s="304">
        <v>0</v>
      </c>
      <c r="F15" s="303">
        <f t="shared" si="0"/>
        <v>0</v>
      </c>
      <c r="G15" s="305">
        <f t="shared" si="1"/>
        <v>0</v>
      </c>
      <c r="H15" s="306">
        <v>0</v>
      </c>
      <c r="I15" s="307">
        <f t="shared" si="2"/>
        <v>0</v>
      </c>
      <c r="J15" s="308">
        <f t="shared" si="3"/>
        <v>0</v>
      </c>
      <c r="K15" s="306">
        <v>0</v>
      </c>
      <c r="L15" s="309">
        <f t="shared" si="4"/>
        <v>0</v>
      </c>
      <c r="M15" s="308">
        <f t="shared" si="5"/>
        <v>0</v>
      </c>
      <c r="N15" s="310">
        <v>0</v>
      </c>
      <c r="O15" s="309">
        <f t="shared" si="6"/>
        <v>0</v>
      </c>
      <c r="P15" s="308">
        <f t="shared" si="7"/>
        <v>0</v>
      </c>
      <c r="Q15" s="310">
        <v>0</v>
      </c>
      <c r="R15" s="309">
        <f t="shared" si="8"/>
        <v>0</v>
      </c>
      <c r="S15" s="308">
        <f t="shared" si="9"/>
        <v>0</v>
      </c>
      <c r="T15" s="310">
        <v>0</v>
      </c>
      <c r="U15" s="309">
        <f t="shared" si="10"/>
        <v>0</v>
      </c>
      <c r="V15" s="308">
        <f t="shared" si="11"/>
        <v>0</v>
      </c>
    </row>
    <row r="16" ht="16.5" customHeight="1" spans="2:22" x14ac:dyDescent="0.25">
      <c r="B16" s="302"/>
      <c r="C16" s="311"/>
      <c r="D16" s="304"/>
      <c r="E16" s="304"/>
      <c r="F16" s="303"/>
      <c r="G16" s="305"/>
      <c r="H16" s="306"/>
      <c r="I16" s="307"/>
      <c r="J16" s="308"/>
      <c r="K16" s="306"/>
      <c r="L16" s="307"/>
      <c r="M16" s="308"/>
      <c r="N16" s="310"/>
      <c r="O16" s="312"/>
      <c r="P16" s="313"/>
      <c r="Q16" s="54"/>
      <c r="R16" s="312"/>
      <c r="S16" s="314"/>
      <c r="T16" s="54"/>
      <c r="U16" s="312"/>
      <c r="V16" s="314"/>
    </row>
    <row r="17" spans="1:23" x14ac:dyDescent="0.25">
      <c r="A17" s="315" t="s">
        <v>391</v>
      </c>
      <c r="B17" s="316"/>
      <c r="C17" s="317">
        <f t="shared" ref="C17:V17" si="12">SUM(C11:C16)</f>
        <v>500000</v>
      </c>
      <c r="D17" s="317">
        <f t="shared" si="12"/>
        <v>0</v>
      </c>
      <c r="E17" s="317">
        <f t="shared" si="12"/>
        <v>0</v>
      </c>
      <c r="F17" s="317">
        <f t="shared" si="12"/>
        <v>75000</v>
      </c>
      <c r="G17" s="317">
        <f t="shared" si="12"/>
        <v>425000</v>
      </c>
      <c r="H17" s="317">
        <f t="shared" si="12"/>
        <v>50000</v>
      </c>
      <c r="I17" s="317">
        <f t="shared" si="12"/>
        <v>71250</v>
      </c>
      <c r="J17" s="317">
        <f t="shared" si="12"/>
        <v>403750</v>
      </c>
      <c r="K17" s="317">
        <f t="shared" si="12"/>
        <v>100000</v>
      </c>
      <c r="L17" s="317">
        <f t="shared" si="12"/>
        <v>75562.5</v>
      </c>
      <c r="M17" s="317">
        <f t="shared" si="12"/>
        <v>428187.5</v>
      </c>
      <c r="N17" s="317">
        <f t="shared" si="12"/>
        <v>0</v>
      </c>
      <c r="O17" s="317">
        <f t="shared" si="12"/>
        <v>64228.125</v>
      </c>
      <c r="P17" s="317">
        <f t="shared" si="12"/>
        <v>363959.375</v>
      </c>
      <c r="Q17" s="317">
        <f t="shared" si="12"/>
        <v>170000</v>
      </c>
      <c r="R17" s="317">
        <f t="shared" si="12"/>
        <v>80093.90625</v>
      </c>
      <c r="S17" s="317">
        <f t="shared" si="12"/>
        <v>453865.46875</v>
      </c>
      <c r="T17" s="317">
        <f t="shared" si="12"/>
        <v>95000</v>
      </c>
      <c r="U17" s="317">
        <f t="shared" si="12"/>
        <v>82329.8203125</v>
      </c>
      <c r="V17" s="317">
        <f t="shared" si="12"/>
        <v>466535.6484375</v>
      </c>
      <c r="W17" s="318"/>
    </row>
    <row r="18" ht="16.5" customHeight="1" spans="1:14" x14ac:dyDescent="0.25">
      <c r="A18" s="319"/>
      <c r="B18" s="319"/>
      <c r="C18" s="319"/>
      <c r="D18" s="320"/>
      <c r="E18" s="319"/>
      <c r="F18" s="319"/>
      <c r="G18" s="319"/>
      <c r="H18" s="319"/>
      <c r="I18" s="319"/>
      <c r="J18" s="319"/>
      <c r="K18" s="319"/>
      <c r="L18" s="319"/>
      <c r="M18" s="319"/>
      <c r="N18" s="319"/>
    </row>
  </sheetData>
  <mergeCells count="26">
    <mergeCell ref="A2:J2"/>
    <mergeCell ref="A3:J3"/>
    <mergeCell ref="A4:J4"/>
    <mergeCell ref="D6:E6"/>
    <mergeCell ref="D7:E7"/>
    <mergeCell ref="A7:A8"/>
    <mergeCell ref="B7:B8"/>
    <mergeCell ref="C7:C8"/>
    <mergeCell ref="F7:F8"/>
    <mergeCell ref="G7:G8"/>
    <mergeCell ref="H7:H8"/>
    <mergeCell ref="I7:I8"/>
    <mergeCell ref="J7:J8"/>
    <mergeCell ref="K7:K8"/>
    <mergeCell ref="L7:L8"/>
    <mergeCell ref="M7:M8"/>
    <mergeCell ref="N7:N8"/>
    <mergeCell ref="O7:O8"/>
    <mergeCell ref="P7:P8"/>
    <mergeCell ref="Q7:Q8"/>
    <mergeCell ref="R7:R8"/>
    <mergeCell ref="S7:S8"/>
    <mergeCell ref="T7:T8"/>
    <mergeCell ref="U7:U8"/>
    <mergeCell ref="V7:V8"/>
    <mergeCell ref="A17:B17"/>
  </mergeCells>
  <pageMargins left="0.7" right="0.7" top="0.75" bottom="0.75" header="0.3" footer="0.3"/>
  <pageSetup orientation="portrait" horizontalDpi="4294967295" verticalDpi="0"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89"/>
  <sheetViews>
    <sheetView workbookViewId="0" zoomScale="100" zoomScaleNormal="100">
      <selection activeCell="C3" sqref="C3"/>
    </sheetView>
  </sheetViews>
  <sheetFormatPr defaultRowHeight="15" outlineLevelRow="0" outlineLevelCol="0" x14ac:dyDescent="0"/>
  <cols>
    <col min="1" max="1" width="10.28515625" customWidth="1"/>
    <col min="2" max="2" width="13.28515625" customWidth="1"/>
    <col min="3" max="3" width="11.5703125" customWidth="1"/>
    <col min="4" max="4" width="12.28515625" style="9" customWidth="1"/>
    <col min="5" max="5" width="12.28515625" customWidth="1"/>
    <col min="6" max="6" width="13.28515625" customWidth="1"/>
    <col min="7" max="8" width="12.28515625" customWidth="1"/>
    <col min="14" max="14" width="13.28515625" customWidth="1"/>
  </cols>
  <sheetData>
    <row r="1" spans="1:14" x14ac:dyDescent="0.25">
      <c r="A1" s="241" t="s">
        <v>396</v>
      </c>
      <c r="B1" s="242"/>
      <c r="C1" s="242"/>
      <c r="D1" s="242"/>
      <c r="E1" s="242"/>
      <c r="F1" s="242"/>
      <c r="G1" s="243"/>
      <c r="I1">
        <f>8.5/100/12</f>
        <v>0.007083333333333334</v>
      </c>
      <c r="N1" s="244"/>
    </row>
    <row r="2" spans="1:14" x14ac:dyDescent="0.25">
      <c r="A2" s="245"/>
      <c r="B2" s="246" t="s">
        <v>397</v>
      </c>
      <c r="C2" s="247" t="s">
        <v>398</v>
      </c>
      <c r="D2" s="248"/>
      <c r="E2" s="246" t="s">
        <v>399</v>
      </c>
      <c r="F2" s="249"/>
      <c r="G2" s="250" t="s">
        <v>400</v>
      </c>
      <c r="N2" s="54"/>
    </row>
    <row r="3" spans="1:14" x14ac:dyDescent="0.25">
      <c r="A3" s="251">
        <v>44562</v>
      </c>
      <c r="B3" s="204">
        <f>'2.Total Project Cost'!C9</f>
        <v>0</v>
      </c>
      <c r="C3" s="204">
        <f>B3*$I$1</f>
        <v>0</v>
      </c>
      <c r="D3" s="252"/>
      <c r="E3" s="204">
        <f>G3-C3</f>
        <v>0</v>
      </c>
      <c r="F3" s="204"/>
      <c r="G3" s="253"/>
      <c r="K3" t="s">
        <v>401</v>
      </c>
      <c r="N3" s="54">
        <f>B3</f>
        <v>0</v>
      </c>
    </row>
    <row r="4" spans="1:14" x14ac:dyDescent="0.25">
      <c r="A4" s="251">
        <v>44593</v>
      </c>
      <c r="B4" s="204">
        <f>B3-E3</f>
        <v>0</v>
      </c>
      <c r="C4" s="204">
        <f t="shared" ref="C4:C34" si="0">B4*$I$1</f>
        <v>0</v>
      </c>
      <c r="D4" s="252"/>
      <c r="E4" s="204">
        <f t="shared" ref="E4:E10" si="1">G4-C4</f>
        <v>0</v>
      </c>
      <c r="F4" s="204"/>
      <c r="G4" s="204">
        <f t="shared" ref="G4:G10" si="2">G3</f>
        <v>0</v>
      </c>
      <c r="K4" t="s">
        <v>402</v>
      </c>
      <c r="N4" s="82">
        <v>0.085</v>
      </c>
    </row>
    <row r="5" spans="1:14" x14ac:dyDescent="0.25">
      <c r="A5" s="251">
        <v>44621</v>
      </c>
      <c r="B5" s="204">
        <f t="shared" ref="B5:B62" si="3">B4-E4</f>
        <v>0</v>
      </c>
      <c r="C5" s="204">
        <f t="shared" si="0"/>
        <v>0</v>
      </c>
      <c r="D5" s="252">
        <f>SUM(C3:C5)</f>
        <v>0</v>
      </c>
      <c r="E5" s="204">
        <f t="shared" si="1"/>
        <v>0</v>
      </c>
      <c r="F5" s="204">
        <f>SUM(E3:E5)</f>
        <v>0</v>
      </c>
      <c r="G5" s="204">
        <f t="shared" si="2"/>
        <v>0</v>
      </c>
      <c r="K5" t="s">
        <v>403</v>
      </c>
      <c r="N5">
        <v>7</v>
      </c>
    </row>
    <row r="6" spans="1:8" x14ac:dyDescent="0.25">
      <c r="A6" s="251">
        <v>44652</v>
      </c>
      <c r="B6" s="204">
        <f t="shared" si="3"/>
        <v>0</v>
      </c>
      <c r="C6" s="204">
        <f t="shared" si="0"/>
        <v>0</v>
      </c>
      <c r="D6" s="81"/>
      <c r="E6" s="204">
        <f t="shared" si="1"/>
        <v>0</v>
      </c>
      <c r="F6" s="54"/>
      <c r="G6" s="204">
        <f t="shared" si="2"/>
        <v>0</v>
      </c>
      <c r="H6" s="100"/>
    </row>
    <row r="7" spans="1:7" x14ac:dyDescent="0.25">
      <c r="A7" s="251">
        <v>44682</v>
      </c>
      <c r="B7" s="204">
        <f t="shared" si="3"/>
        <v>0</v>
      </c>
      <c r="C7" s="204">
        <f t="shared" si="0"/>
        <v>0</v>
      </c>
      <c r="D7" s="252"/>
      <c r="E7" s="204">
        <f t="shared" si="1"/>
        <v>0</v>
      </c>
      <c r="F7" s="204"/>
      <c r="G7" s="204">
        <f t="shared" si="2"/>
        <v>0</v>
      </c>
    </row>
    <row r="8" spans="1:7" x14ac:dyDescent="0.25">
      <c r="A8" s="251">
        <v>44713</v>
      </c>
      <c r="B8" s="204">
        <f t="shared" si="3"/>
        <v>0</v>
      </c>
      <c r="C8" s="204">
        <f t="shared" si="0"/>
        <v>0</v>
      </c>
      <c r="D8" s="252"/>
      <c r="E8" s="204">
        <f t="shared" si="1"/>
        <v>0</v>
      </c>
      <c r="F8" s="204"/>
      <c r="G8" s="204">
        <f t="shared" si="2"/>
        <v>0</v>
      </c>
    </row>
    <row r="9" spans="1:7" x14ac:dyDescent="0.25">
      <c r="A9" s="251">
        <v>44743</v>
      </c>
      <c r="B9" s="204">
        <f t="shared" si="3"/>
        <v>0</v>
      </c>
      <c r="C9" s="204">
        <f t="shared" si="0"/>
        <v>0</v>
      </c>
      <c r="D9" s="252"/>
      <c r="E9" s="204">
        <f t="shared" si="1"/>
        <v>0</v>
      </c>
      <c r="F9" s="204"/>
      <c r="G9" s="204">
        <f t="shared" si="2"/>
        <v>0</v>
      </c>
    </row>
    <row r="10" spans="1:8" x14ac:dyDescent="0.25">
      <c r="A10" s="251">
        <v>44774</v>
      </c>
      <c r="B10" s="204">
        <f t="shared" si="3"/>
        <v>0</v>
      </c>
      <c r="C10" s="204">
        <f t="shared" si="0"/>
        <v>0</v>
      </c>
      <c r="D10" s="252"/>
      <c r="E10" s="204">
        <f t="shared" si="1"/>
        <v>0</v>
      </c>
      <c r="F10" s="252"/>
      <c r="G10" s="204">
        <f t="shared" si="2"/>
        <v>0</v>
      </c>
      <c r="H10" s="54"/>
    </row>
    <row r="11" spans="1:7" x14ac:dyDescent="0.25">
      <c r="A11" s="251">
        <v>44805</v>
      </c>
      <c r="B11" s="204">
        <f t="shared" si="3"/>
        <v>0</v>
      </c>
      <c r="C11" s="204">
        <f t="shared" si="0"/>
        <v>0</v>
      </c>
      <c r="D11" s="254"/>
      <c r="E11" s="204">
        <f t="shared" ref="E11:E62" si="4">G11-C11</f>
        <v>0</v>
      </c>
      <c r="F11" s="255"/>
      <c r="G11" s="204">
        <f t="shared" ref="G11:G74" si="5">G10</f>
        <v>0</v>
      </c>
    </row>
    <row r="12" spans="1:7" x14ac:dyDescent="0.25">
      <c r="A12" s="251">
        <v>44835</v>
      </c>
      <c r="B12" s="255">
        <f t="shared" si="3"/>
        <v>0</v>
      </c>
      <c r="C12" s="204">
        <f t="shared" si="0"/>
        <v>0</v>
      </c>
      <c r="D12" s="252"/>
      <c r="E12" s="255">
        <f t="shared" si="4"/>
        <v>0</v>
      </c>
      <c r="F12" s="204"/>
      <c r="G12" s="255">
        <f t="shared" si="5"/>
        <v>0</v>
      </c>
    </row>
    <row r="13" spans="1:7" x14ac:dyDescent="0.25">
      <c r="A13" s="251">
        <v>44866</v>
      </c>
      <c r="B13" s="204">
        <f>B12-E12</f>
        <v>0</v>
      </c>
      <c r="C13" s="204">
        <f t="shared" si="0"/>
        <v>0</v>
      </c>
      <c r="D13" s="252"/>
      <c r="E13" s="204">
        <f t="shared" si="4"/>
        <v>0</v>
      </c>
      <c r="F13" s="204"/>
      <c r="G13" s="204">
        <f>G12</f>
        <v>0</v>
      </c>
    </row>
    <row r="14" spans="1:7" x14ac:dyDescent="0.25">
      <c r="A14" s="251">
        <v>44896</v>
      </c>
      <c r="B14" s="204">
        <f t="shared" si="3"/>
        <v>0</v>
      </c>
      <c r="C14" s="204">
        <f t="shared" si="0"/>
        <v>0</v>
      </c>
      <c r="D14" s="252"/>
      <c r="E14" s="204">
        <f t="shared" si="4"/>
        <v>0</v>
      </c>
      <c r="F14" s="204"/>
      <c r="G14" s="204">
        <f t="shared" si="5"/>
        <v>0</v>
      </c>
    </row>
    <row r="15" spans="1:7" x14ac:dyDescent="0.25">
      <c r="A15" s="251">
        <v>44927</v>
      </c>
      <c r="B15" s="204">
        <f t="shared" si="3"/>
        <v>0</v>
      </c>
      <c r="C15" s="204">
        <f t="shared" si="0"/>
        <v>0</v>
      </c>
      <c r="D15" s="252"/>
      <c r="E15" s="204">
        <f t="shared" si="4"/>
        <v>0</v>
      </c>
      <c r="F15" s="204"/>
      <c r="G15" s="204">
        <f t="shared" si="5"/>
        <v>0</v>
      </c>
    </row>
    <row r="16" spans="1:7" x14ac:dyDescent="0.25">
      <c r="A16" s="251">
        <v>44958</v>
      </c>
      <c r="B16" s="204">
        <f t="shared" si="3"/>
        <v>0</v>
      </c>
      <c r="C16" s="204">
        <f t="shared" si="0"/>
        <v>0</v>
      </c>
      <c r="D16" s="252"/>
      <c r="E16" s="204">
        <f t="shared" si="4"/>
        <v>0</v>
      </c>
      <c r="F16" s="204"/>
      <c r="G16" s="204">
        <f t="shared" si="5"/>
        <v>0</v>
      </c>
    </row>
    <row r="17" spans="1:7" x14ac:dyDescent="0.25">
      <c r="A17" s="251">
        <v>44986</v>
      </c>
      <c r="B17" s="204">
        <f t="shared" si="3"/>
        <v>0</v>
      </c>
      <c r="C17" s="204">
        <f t="shared" si="0"/>
        <v>0</v>
      </c>
      <c r="D17" s="252">
        <f>SUM(C6:C17)</f>
        <v>0</v>
      </c>
      <c r="E17" s="204">
        <f t="shared" si="4"/>
        <v>0</v>
      </c>
      <c r="F17" s="252">
        <f>SUM(E6:E17)</f>
        <v>0</v>
      </c>
      <c r="G17" s="204">
        <f t="shared" si="5"/>
        <v>0</v>
      </c>
    </row>
    <row r="18" spans="1:8" x14ac:dyDescent="0.25">
      <c r="A18" s="251">
        <v>45017</v>
      </c>
      <c r="B18" s="204">
        <f t="shared" si="3"/>
        <v>0</v>
      </c>
      <c r="C18" s="204">
        <f t="shared" si="0"/>
        <v>0</v>
      </c>
      <c r="D18" s="252"/>
      <c r="E18" s="204">
        <f t="shared" si="4"/>
        <v>0</v>
      </c>
      <c r="F18" s="204"/>
      <c r="G18" s="204">
        <f t="shared" si="5"/>
        <v>0</v>
      </c>
      <c r="H18" s="100"/>
    </row>
    <row r="19" spans="1:7" x14ac:dyDescent="0.25">
      <c r="A19" s="251">
        <v>45047</v>
      </c>
      <c r="B19" s="204">
        <f t="shared" si="3"/>
        <v>0</v>
      </c>
      <c r="C19" s="204">
        <f t="shared" si="0"/>
        <v>0</v>
      </c>
      <c r="D19" s="252"/>
      <c r="E19" s="204">
        <f t="shared" si="4"/>
        <v>0</v>
      </c>
      <c r="F19" s="204"/>
      <c r="G19" s="204">
        <f t="shared" si="5"/>
        <v>0</v>
      </c>
    </row>
    <row r="20" spans="1:7" x14ac:dyDescent="0.25">
      <c r="A20" s="251">
        <v>45078</v>
      </c>
      <c r="B20" s="204">
        <f t="shared" si="3"/>
        <v>0</v>
      </c>
      <c r="C20" s="204">
        <f t="shared" si="0"/>
        <v>0</v>
      </c>
      <c r="D20" s="252"/>
      <c r="E20" s="204">
        <f t="shared" si="4"/>
        <v>0</v>
      </c>
      <c r="F20" s="204"/>
      <c r="G20" s="204">
        <f t="shared" si="5"/>
        <v>0</v>
      </c>
    </row>
    <row r="21" spans="1:7" x14ac:dyDescent="0.25">
      <c r="A21" s="251">
        <v>45108</v>
      </c>
      <c r="B21" s="204">
        <f t="shared" si="3"/>
        <v>0</v>
      </c>
      <c r="C21" s="204">
        <f t="shared" si="0"/>
        <v>0</v>
      </c>
      <c r="D21" s="252"/>
      <c r="E21" s="204">
        <f t="shared" si="4"/>
        <v>0</v>
      </c>
      <c r="F21" s="204"/>
      <c r="G21" s="204">
        <f t="shared" si="5"/>
        <v>0</v>
      </c>
    </row>
    <row r="22" spans="1:8" x14ac:dyDescent="0.25">
      <c r="A22" s="251">
        <v>45139</v>
      </c>
      <c r="B22" s="204">
        <f>B21-E21</f>
        <v>0</v>
      </c>
      <c r="C22" s="204">
        <f t="shared" si="0"/>
        <v>0</v>
      </c>
      <c r="D22" s="252"/>
      <c r="E22" s="204">
        <f t="shared" si="4"/>
        <v>0</v>
      </c>
      <c r="F22" s="204"/>
      <c r="G22" s="204">
        <f>G21</f>
        <v>0</v>
      </c>
      <c r="H22" s="54"/>
    </row>
    <row r="23" spans="1:7" x14ac:dyDescent="0.25">
      <c r="A23" s="251">
        <v>45170</v>
      </c>
      <c r="B23" s="204">
        <f>B22-E22</f>
        <v>0</v>
      </c>
      <c r="C23" s="204">
        <f t="shared" si="0"/>
        <v>0</v>
      </c>
      <c r="D23" s="252"/>
      <c r="E23" s="204">
        <f t="shared" si="4"/>
        <v>0</v>
      </c>
      <c r="F23" s="256"/>
      <c r="G23" s="204">
        <f>G22</f>
        <v>0</v>
      </c>
    </row>
    <row r="24" spans="1:7" x14ac:dyDescent="0.25">
      <c r="A24" s="251">
        <v>45200</v>
      </c>
      <c r="B24" s="204">
        <f t="shared" si="3"/>
        <v>0</v>
      </c>
      <c r="C24" s="204">
        <f t="shared" si="0"/>
        <v>0</v>
      </c>
      <c r="D24" s="252"/>
      <c r="E24" s="204">
        <f t="shared" si="4"/>
        <v>0</v>
      </c>
      <c r="F24" s="204"/>
      <c r="G24" s="204">
        <f t="shared" si="5"/>
        <v>0</v>
      </c>
    </row>
    <row r="25" spans="1:7" x14ac:dyDescent="0.25">
      <c r="A25" s="251">
        <v>45231</v>
      </c>
      <c r="B25" s="204">
        <f t="shared" si="3"/>
        <v>0</v>
      </c>
      <c r="C25" s="204">
        <f t="shared" si="0"/>
        <v>0</v>
      </c>
      <c r="D25" s="252"/>
      <c r="E25" s="204">
        <f t="shared" si="4"/>
        <v>0</v>
      </c>
      <c r="F25" s="204"/>
      <c r="G25" s="204">
        <f t="shared" si="5"/>
        <v>0</v>
      </c>
    </row>
    <row r="26" spans="1:7" x14ac:dyDescent="0.25">
      <c r="A26" s="251">
        <v>45261</v>
      </c>
      <c r="B26" s="204">
        <f t="shared" si="3"/>
        <v>0</v>
      </c>
      <c r="C26" s="204">
        <f t="shared" si="0"/>
        <v>0</v>
      </c>
      <c r="D26" s="252"/>
      <c r="E26" s="204">
        <f t="shared" si="4"/>
        <v>0</v>
      </c>
      <c r="F26" s="204"/>
      <c r="G26" s="204">
        <f t="shared" si="5"/>
        <v>0</v>
      </c>
    </row>
    <row r="27" spans="1:7" x14ac:dyDescent="0.25">
      <c r="A27" s="251">
        <v>45292</v>
      </c>
      <c r="B27" s="204">
        <f t="shared" si="3"/>
        <v>0</v>
      </c>
      <c r="C27" s="204">
        <f t="shared" si="0"/>
        <v>0</v>
      </c>
      <c r="D27" s="252"/>
      <c r="E27" s="204">
        <f t="shared" si="4"/>
        <v>0</v>
      </c>
      <c r="F27" s="204"/>
      <c r="G27" s="204">
        <f t="shared" si="5"/>
        <v>0</v>
      </c>
    </row>
    <row r="28" spans="1:7" x14ac:dyDescent="0.25">
      <c r="A28" s="251">
        <v>45323</v>
      </c>
      <c r="B28" s="204">
        <f t="shared" si="3"/>
        <v>0</v>
      </c>
      <c r="C28" s="204">
        <f t="shared" si="0"/>
        <v>0</v>
      </c>
      <c r="D28" s="252"/>
      <c r="E28" s="204">
        <f t="shared" si="4"/>
        <v>0</v>
      </c>
      <c r="F28" s="204"/>
      <c r="G28" s="204">
        <f t="shared" si="5"/>
        <v>0</v>
      </c>
    </row>
    <row r="29" spans="1:7" x14ac:dyDescent="0.25">
      <c r="A29" s="251">
        <v>45352</v>
      </c>
      <c r="B29" s="204">
        <f t="shared" si="3"/>
        <v>0</v>
      </c>
      <c r="C29" s="204">
        <f t="shared" si="0"/>
        <v>0</v>
      </c>
      <c r="D29" s="252">
        <f>SUM(C18:C29)</f>
        <v>0</v>
      </c>
      <c r="E29" s="204">
        <f t="shared" si="4"/>
        <v>0</v>
      </c>
      <c r="F29" s="252">
        <f>SUM(E18:E29)</f>
        <v>0</v>
      </c>
      <c r="G29" s="204">
        <f t="shared" si="5"/>
        <v>0</v>
      </c>
    </row>
    <row r="30" spans="1:8" x14ac:dyDescent="0.25">
      <c r="A30" s="251">
        <v>45383</v>
      </c>
      <c r="B30" s="204">
        <f t="shared" si="3"/>
        <v>0</v>
      </c>
      <c r="C30" s="204">
        <f t="shared" si="0"/>
        <v>0</v>
      </c>
      <c r="D30" s="252"/>
      <c r="E30" s="204">
        <f t="shared" si="4"/>
        <v>0</v>
      </c>
      <c r="F30" s="204"/>
      <c r="G30" s="204">
        <f t="shared" si="5"/>
        <v>0</v>
      </c>
      <c r="H30" s="100"/>
    </row>
    <row r="31" spans="1:7" x14ac:dyDescent="0.25">
      <c r="A31" s="251">
        <v>45413</v>
      </c>
      <c r="B31" s="204">
        <f t="shared" si="3"/>
        <v>0</v>
      </c>
      <c r="C31" s="204">
        <f t="shared" si="0"/>
        <v>0</v>
      </c>
      <c r="D31" s="252"/>
      <c r="E31" s="204">
        <f t="shared" si="4"/>
        <v>0</v>
      </c>
      <c r="F31" s="204"/>
      <c r="G31" s="204">
        <f t="shared" si="5"/>
        <v>0</v>
      </c>
    </row>
    <row r="32" spans="1:7" x14ac:dyDescent="0.25">
      <c r="A32" s="251">
        <v>45444</v>
      </c>
      <c r="B32" s="204">
        <f t="shared" si="3"/>
        <v>0</v>
      </c>
      <c r="C32" s="204">
        <f t="shared" si="0"/>
        <v>0</v>
      </c>
      <c r="D32" s="252"/>
      <c r="E32" s="204">
        <f t="shared" si="4"/>
        <v>0</v>
      </c>
      <c r="F32" s="204"/>
      <c r="G32" s="204">
        <f t="shared" si="5"/>
        <v>0</v>
      </c>
    </row>
    <row r="33" spans="1:7" x14ac:dyDescent="0.25">
      <c r="A33" s="251">
        <v>45474</v>
      </c>
      <c r="B33" s="204">
        <f t="shared" si="3"/>
        <v>0</v>
      </c>
      <c r="C33" s="204">
        <f t="shared" si="0"/>
        <v>0</v>
      </c>
      <c r="D33" s="252"/>
      <c r="E33" s="204">
        <f t="shared" si="4"/>
        <v>0</v>
      </c>
      <c r="F33" s="204"/>
      <c r="G33" s="204">
        <f t="shared" si="5"/>
        <v>0</v>
      </c>
    </row>
    <row r="34" spans="1:8" x14ac:dyDescent="0.25">
      <c r="A34" s="251">
        <v>45505</v>
      </c>
      <c r="B34" s="204">
        <f t="shared" si="3"/>
        <v>0</v>
      </c>
      <c r="C34" s="204">
        <f t="shared" si="0"/>
        <v>0</v>
      </c>
      <c r="D34" s="252"/>
      <c r="E34" s="204">
        <f t="shared" si="4"/>
        <v>0</v>
      </c>
      <c r="F34" s="204"/>
      <c r="G34" s="204">
        <f t="shared" si="5"/>
        <v>0</v>
      </c>
      <c r="H34" s="54">
        <f>H22-F34</f>
        <v>0</v>
      </c>
    </row>
    <row r="35" spans="1:7" x14ac:dyDescent="0.25">
      <c r="A35" s="251">
        <v>45536</v>
      </c>
      <c r="B35" s="204">
        <f t="shared" si="3"/>
        <v>0</v>
      </c>
      <c r="C35" s="204">
        <f t="shared" ref="C35:C62" si="6">B35*$I$1</f>
        <v>0</v>
      </c>
      <c r="D35" s="252"/>
      <c r="E35" s="204">
        <f t="shared" si="4"/>
        <v>0</v>
      </c>
      <c r="F35" s="256"/>
      <c r="G35" s="204">
        <f t="shared" si="5"/>
        <v>0</v>
      </c>
    </row>
    <row r="36" spans="1:7" x14ac:dyDescent="0.25">
      <c r="A36" s="251">
        <v>45566</v>
      </c>
      <c r="B36" s="204">
        <f t="shared" si="3"/>
        <v>0</v>
      </c>
      <c r="C36" s="204">
        <f t="shared" si="6"/>
        <v>0</v>
      </c>
      <c r="D36" s="252"/>
      <c r="E36" s="204">
        <f t="shared" si="4"/>
        <v>0</v>
      </c>
      <c r="F36" s="204"/>
      <c r="G36" s="204">
        <f t="shared" si="5"/>
        <v>0</v>
      </c>
    </row>
    <row r="37" spans="1:7" x14ac:dyDescent="0.25">
      <c r="A37" s="251">
        <v>45597</v>
      </c>
      <c r="B37" s="204">
        <f t="shared" si="3"/>
        <v>0</v>
      </c>
      <c r="C37" s="204">
        <f t="shared" si="6"/>
        <v>0</v>
      </c>
      <c r="D37" s="252"/>
      <c r="E37" s="204">
        <f t="shared" si="4"/>
        <v>0</v>
      </c>
      <c r="F37" s="204"/>
      <c r="G37" s="204">
        <f t="shared" si="5"/>
        <v>0</v>
      </c>
    </row>
    <row r="38" spans="1:7" x14ac:dyDescent="0.25">
      <c r="A38" s="251">
        <v>45627</v>
      </c>
      <c r="B38" s="204">
        <f t="shared" si="3"/>
        <v>0</v>
      </c>
      <c r="C38" s="204">
        <f t="shared" si="6"/>
        <v>0</v>
      </c>
      <c r="D38" s="252"/>
      <c r="E38" s="204">
        <f t="shared" si="4"/>
        <v>0</v>
      </c>
      <c r="F38" s="204"/>
      <c r="G38" s="204">
        <f t="shared" si="5"/>
        <v>0</v>
      </c>
    </row>
    <row r="39" spans="1:7" x14ac:dyDescent="0.25">
      <c r="A39" s="251">
        <v>45658</v>
      </c>
      <c r="B39" s="204">
        <f t="shared" si="3"/>
        <v>0</v>
      </c>
      <c r="C39" s="204">
        <f t="shared" si="6"/>
        <v>0</v>
      </c>
      <c r="D39" s="252"/>
      <c r="E39" s="204">
        <f t="shared" si="4"/>
        <v>0</v>
      </c>
      <c r="F39" s="204"/>
      <c r="G39" s="204">
        <f t="shared" si="5"/>
        <v>0</v>
      </c>
    </row>
    <row r="40" spans="1:7" x14ac:dyDescent="0.25">
      <c r="A40" s="251">
        <v>45689</v>
      </c>
      <c r="B40" s="204">
        <f t="shared" si="3"/>
        <v>0</v>
      </c>
      <c r="C40" s="204">
        <f t="shared" si="6"/>
        <v>0</v>
      </c>
      <c r="D40" s="252"/>
      <c r="E40" s="204">
        <f t="shared" si="4"/>
        <v>0</v>
      </c>
      <c r="F40" s="204"/>
      <c r="G40" s="204">
        <f t="shared" si="5"/>
        <v>0</v>
      </c>
    </row>
    <row r="41" spans="1:7" x14ac:dyDescent="0.25">
      <c r="A41" s="251">
        <v>45717</v>
      </c>
      <c r="B41" s="204">
        <f t="shared" si="3"/>
        <v>0</v>
      </c>
      <c r="C41" s="204">
        <f t="shared" si="6"/>
        <v>0</v>
      </c>
      <c r="D41" s="252">
        <f>SUM(C30:C41)</f>
        <v>0</v>
      </c>
      <c r="E41" s="204">
        <f t="shared" si="4"/>
        <v>0</v>
      </c>
      <c r="F41" s="252">
        <f>SUM(E30:E41)</f>
        <v>0</v>
      </c>
      <c r="G41" s="204">
        <f t="shared" si="5"/>
        <v>0</v>
      </c>
    </row>
    <row r="42" spans="1:8" x14ac:dyDescent="0.25">
      <c r="A42" s="251">
        <v>45748</v>
      </c>
      <c r="B42" s="204">
        <f t="shared" si="3"/>
        <v>0</v>
      </c>
      <c r="C42" s="204">
        <f t="shared" si="6"/>
        <v>0</v>
      </c>
      <c r="D42" s="252"/>
      <c r="E42" s="204">
        <f t="shared" si="4"/>
        <v>0</v>
      </c>
      <c r="F42" s="252"/>
      <c r="G42" s="204">
        <f t="shared" si="5"/>
        <v>0</v>
      </c>
      <c r="H42" s="100"/>
    </row>
    <row r="43" spans="1:7" x14ac:dyDescent="0.25">
      <c r="A43" s="251">
        <v>45778</v>
      </c>
      <c r="B43" s="204">
        <f t="shared" si="3"/>
        <v>0</v>
      </c>
      <c r="C43" s="204">
        <f t="shared" si="6"/>
        <v>0</v>
      </c>
      <c r="D43" s="252"/>
      <c r="E43" s="204">
        <f t="shared" si="4"/>
        <v>0</v>
      </c>
      <c r="F43" s="252"/>
      <c r="G43" s="204">
        <f t="shared" si="5"/>
        <v>0</v>
      </c>
    </row>
    <row r="44" spans="1:7" x14ac:dyDescent="0.25">
      <c r="A44" s="251">
        <v>45809</v>
      </c>
      <c r="B44" s="204">
        <f t="shared" si="3"/>
        <v>0</v>
      </c>
      <c r="C44" s="204">
        <f t="shared" si="6"/>
        <v>0</v>
      </c>
      <c r="D44" s="252"/>
      <c r="E44" s="204">
        <f t="shared" si="4"/>
        <v>0</v>
      </c>
      <c r="F44" s="252"/>
      <c r="G44" s="204">
        <f t="shared" si="5"/>
        <v>0</v>
      </c>
    </row>
    <row r="45" spans="1:7" x14ac:dyDescent="0.25">
      <c r="A45" s="251">
        <v>45839</v>
      </c>
      <c r="B45" s="204">
        <f>B44-E44</f>
        <v>0</v>
      </c>
      <c r="C45" s="204">
        <f t="shared" si="6"/>
        <v>0</v>
      </c>
      <c r="D45" s="252"/>
      <c r="E45" s="204">
        <f t="shared" si="4"/>
        <v>0</v>
      </c>
      <c r="F45" s="252"/>
      <c r="G45" s="204">
        <f>G44</f>
        <v>0</v>
      </c>
    </row>
    <row r="46" spans="1:8" x14ac:dyDescent="0.25">
      <c r="A46" s="251">
        <v>45870</v>
      </c>
      <c r="B46" s="204">
        <f t="shared" si="3"/>
        <v>0</v>
      </c>
      <c r="C46" s="204">
        <f t="shared" si="6"/>
        <v>0</v>
      </c>
      <c r="D46" s="252"/>
      <c r="E46" s="204">
        <f t="shared" si="4"/>
        <v>0</v>
      </c>
      <c r="F46" s="252"/>
      <c r="G46" s="204">
        <f t="shared" si="5"/>
        <v>0</v>
      </c>
      <c r="H46" s="54"/>
    </row>
    <row r="47" spans="1:7" x14ac:dyDescent="0.25">
      <c r="A47" s="251">
        <v>45901</v>
      </c>
      <c r="B47" s="204">
        <f>B46-E46</f>
        <v>0</v>
      </c>
      <c r="C47" s="204">
        <f t="shared" si="6"/>
        <v>0</v>
      </c>
      <c r="D47" s="252"/>
      <c r="E47" s="204">
        <f t="shared" si="4"/>
        <v>0</v>
      </c>
      <c r="F47" s="252"/>
      <c r="G47" s="204">
        <f>G46</f>
        <v>0</v>
      </c>
    </row>
    <row r="48" spans="1:7" x14ac:dyDescent="0.25">
      <c r="A48" s="251">
        <v>45931</v>
      </c>
      <c r="B48" s="204">
        <f>B47-E47</f>
        <v>0</v>
      </c>
      <c r="C48" s="204">
        <f t="shared" si="6"/>
        <v>0</v>
      </c>
      <c r="D48" s="252"/>
      <c r="E48" s="204">
        <f t="shared" si="4"/>
        <v>0</v>
      </c>
      <c r="F48" s="252"/>
      <c r="G48" s="204">
        <f>G47</f>
        <v>0</v>
      </c>
    </row>
    <row r="49" spans="1:7" x14ac:dyDescent="0.25">
      <c r="A49" s="251">
        <v>45962</v>
      </c>
      <c r="B49" s="204">
        <f t="shared" si="3"/>
        <v>0</v>
      </c>
      <c r="C49" s="204">
        <f t="shared" si="6"/>
        <v>0</v>
      </c>
      <c r="D49" s="252"/>
      <c r="E49" s="204">
        <f t="shared" si="4"/>
        <v>0</v>
      </c>
      <c r="F49" s="252"/>
      <c r="G49" s="204">
        <f t="shared" si="5"/>
        <v>0</v>
      </c>
    </row>
    <row r="50" spans="1:7" x14ac:dyDescent="0.25">
      <c r="A50" s="251">
        <v>45992</v>
      </c>
      <c r="B50" s="204">
        <f t="shared" si="3"/>
        <v>0</v>
      </c>
      <c r="C50" s="204">
        <f t="shared" si="6"/>
        <v>0</v>
      </c>
      <c r="D50" s="252"/>
      <c r="E50" s="204">
        <f t="shared" si="4"/>
        <v>0</v>
      </c>
      <c r="F50" s="252"/>
      <c r="G50" s="204">
        <f t="shared" si="5"/>
        <v>0</v>
      </c>
    </row>
    <row r="51" spans="1:7" x14ac:dyDescent="0.25">
      <c r="A51" s="251">
        <v>46023</v>
      </c>
      <c r="B51" s="204">
        <f t="shared" si="3"/>
        <v>0</v>
      </c>
      <c r="C51" s="204">
        <f t="shared" si="6"/>
        <v>0</v>
      </c>
      <c r="D51" s="252"/>
      <c r="E51" s="204">
        <f t="shared" si="4"/>
        <v>0</v>
      </c>
      <c r="F51" s="252"/>
      <c r="G51" s="204">
        <f t="shared" si="5"/>
        <v>0</v>
      </c>
    </row>
    <row r="52" spans="1:8" x14ac:dyDescent="0.25">
      <c r="A52" s="251">
        <v>46054</v>
      </c>
      <c r="B52" s="204">
        <f t="shared" si="3"/>
        <v>0</v>
      </c>
      <c r="C52" s="204">
        <f t="shared" si="6"/>
        <v>0</v>
      </c>
      <c r="D52" s="252"/>
      <c r="E52" s="204">
        <f t="shared" si="4"/>
        <v>0</v>
      </c>
      <c r="F52" s="252"/>
      <c r="G52" s="204">
        <f t="shared" si="5"/>
        <v>0</v>
      </c>
      <c r="H52" s="54"/>
    </row>
    <row r="53" spans="1:7" x14ac:dyDescent="0.25">
      <c r="A53" s="251">
        <v>46082</v>
      </c>
      <c r="B53" s="204">
        <f t="shared" si="3"/>
        <v>0</v>
      </c>
      <c r="C53" s="204">
        <f t="shared" si="6"/>
        <v>0</v>
      </c>
      <c r="D53" s="252">
        <f>SUM(C42:C53)</f>
        <v>0</v>
      </c>
      <c r="E53" s="204">
        <f t="shared" si="4"/>
        <v>0</v>
      </c>
      <c r="F53" s="252">
        <f>SUM(E42:E53)</f>
        <v>0</v>
      </c>
      <c r="G53" s="204">
        <f t="shared" si="5"/>
        <v>0</v>
      </c>
    </row>
    <row r="54" spans="1:8" x14ac:dyDescent="0.25">
      <c r="A54" s="251">
        <v>46113</v>
      </c>
      <c r="B54" s="204">
        <f t="shared" si="3"/>
        <v>0</v>
      </c>
      <c r="C54" s="204">
        <f t="shared" si="6"/>
        <v>0</v>
      </c>
      <c r="D54" s="252"/>
      <c r="E54" s="204">
        <f t="shared" si="4"/>
        <v>0</v>
      </c>
      <c r="F54" s="252"/>
      <c r="G54" s="204">
        <f t="shared" si="5"/>
        <v>0</v>
      </c>
      <c r="H54" s="100"/>
    </row>
    <row r="55" spans="1:7" x14ac:dyDescent="0.25">
      <c r="A55" s="251">
        <v>46143</v>
      </c>
      <c r="B55" s="204">
        <f t="shared" si="3"/>
        <v>0</v>
      </c>
      <c r="C55" s="204">
        <f t="shared" si="6"/>
        <v>0</v>
      </c>
      <c r="D55" s="252"/>
      <c r="E55" s="204">
        <f t="shared" si="4"/>
        <v>0</v>
      </c>
      <c r="F55" s="252"/>
      <c r="G55" s="204">
        <f t="shared" si="5"/>
        <v>0</v>
      </c>
    </row>
    <row r="56" spans="1:7" x14ac:dyDescent="0.25">
      <c r="A56" s="251">
        <v>46174</v>
      </c>
      <c r="B56" s="204">
        <f t="shared" si="3"/>
        <v>0</v>
      </c>
      <c r="C56" s="204">
        <f t="shared" si="6"/>
        <v>0</v>
      </c>
      <c r="D56" s="252"/>
      <c r="E56" s="204">
        <f t="shared" si="4"/>
        <v>0</v>
      </c>
      <c r="F56" s="252"/>
      <c r="G56" s="204">
        <f t="shared" si="5"/>
        <v>0</v>
      </c>
    </row>
    <row r="57" spans="1:7" x14ac:dyDescent="0.25">
      <c r="A57" s="251">
        <v>46204</v>
      </c>
      <c r="B57" s="204">
        <f t="shared" si="3"/>
        <v>0</v>
      </c>
      <c r="C57" s="204">
        <f t="shared" si="6"/>
        <v>0</v>
      </c>
      <c r="D57" s="252"/>
      <c r="E57" s="204">
        <f t="shared" si="4"/>
        <v>0</v>
      </c>
      <c r="F57" s="252"/>
      <c r="G57" s="204">
        <f t="shared" si="5"/>
        <v>0</v>
      </c>
    </row>
    <row r="58" spans="1:8" x14ac:dyDescent="0.25">
      <c r="A58" s="251">
        <v>46235</v>
      </c>
      <c r="B58" s="204">
        <f t="shared" si="3"/>
        <v>0</v>
      </c>
      <c r="C58" s="204">
        <f t="shared" si="6"/>
        <v>0</v>
      </c>
      <c r="D58" s="204"/>
      <c r="E58" s="204">
        <f t="shared" si="4"/>
        <v>0</v>
      </c>
      <c r="F58" s="204"/>
      <c r="G58" s="204">
        <f t="shared" si="5"/>
        <v>0</v>
      </c>
      <c r="H58" s="54">
        <f>H46-F58</f>
        <v>0</v>
      </c>
    </row>
    <row r="59" spans="1:7" x14ac:dyDescent="0.25">
      <c r="A59" s="251">
        <v>46266</v>
      </c>
      <c r="B59" s="204">
        <f t="shared" si="3"/>
        <v>0</v>
      </c>
      <c r="C59" s="204">
        <f t="shared" si="6"/>
        <v>0</v>
      </c>
      <c r="D59" s="252"/>
      <c r="E59" s="204">
        <f t="shared" si="4"/>
        <v>0</v>
      </c>
      <c r="F59" s="252"/>
      <c r="G59" s="204">
        <f t="shared" si="5"/>
        <v>0</v>
      </c>
    </row>
    <row r="60" spans="1:7" x14ac:dyDescent="0.25">
      <c r="A60" s="251">
        <v>46296</v>
      </c>
      <c r="B60" s="204">
        <f t="shared" si="3"/>
        <v>0</v>
      </c>
      <c r="C60" s="204">
        <f t="shared" si="6"/>
        <v>0</v>
      </c>
      <c r="D60" s="252"/>
      <c r="E60" s="204">
        <f t="shared" si="4"/>
        <v>0</v>
      </c>
      <c r="F60" s="252"/>
      <c r="G60" s="204">
        <f t="shared" si="5"/>
        <v>0</v>
      </c>
    </row>
    <row r="61" spans="1:7" x14ac:dyDescent="0.25">
      <c r="A61" s="251">
        <v>46327</v>
      </c>
      <c r="B61" s="204">
        <f t="shared" si="3"/>
        <v>0</v>
      </c>
      <c r="C61" s="204">
        <f t="shared" si="6"/>
        <v>0</v>
      </c>
      <c r="D61" s="252"/>
      <c r="E61" s="204">
        <f t="shared" si="4"/>
        <v>0</v>
      </c>
      <c r="F61" s="252"/>
      <c r="G61" s="204">
        <f t="shared" si="5"/>
        <v>0</v>
      </c>
    </row>
    <row r="62" spans="1:8" x14ac:dyDescent="0.25">
      <c r="A62" s="251">
        <v>46357</v>
      </c>
      <c r="B62" s="204">
        <f t="shared" si="3"/>
        <v>0</v>
      </c>
      <c r="C62" s="204">
        <f t="shared" si="6"/>
        <v>0</v>
      </c>
      <c r="D62" s="204"/>
      <c r="E62" s="204">
        <f t="shared" si="4"/>
        <v>0</v>
      </c>
      <c r="F62" s="204"/>
      <c r="G62" s="204">
        <f t="shared" si="5"/>
        <v>0</v>
      </c>
      <c r="H62" s="100"/>
    </row>
    <row r="63" spans="1:8" x14ac:dyDescent="0.25">
      <c r="A63" s="251">
        <v>46388</v>
      </c>
      <c r="B63" s="204">
        <f t="shared" ref="B63:B86" si="7">B62-E62</f>
        <v>0</v>
      </c>
      <c r="C63" s="204">
        <f t="shared" ref="C63:C86" si="8">B63*$I$1</f>
        <v>0</v>
      </c>
      <c r="D63" s="252"/>
      <c r="E63" s="204">
        <f t="shared" ref="E63:E86" si="9">G63-C63</f>
        <v>0</v>
      </c>
      <c r="F63" s="252"/>
      <c r="G63" s="204">
        <f t="shared" si="5"/>
        <v>0</v>
      </c>
      <c r="H63" s="100"/>
    </row>
    <row r="64" spans="1:8" x14ac:dyDescent="0.25">
      <c r="A64" s="251">
        <v>46419</v>
      </c>
      <c r="B64" s="204">
        <f t="shared" si="7"/>
        <v>0</v>
      </c>
      <c r="C64" s="204">
        <f t="shared" si="8"/>
        <v>0</v>
      </c>
      <c r="D64" s="252"/>
      <c r="E64" s="204">
        <f t="shared" si="9"/>
        <v>0</v>
      </c>
      <c r="F64" s="252"/>
      <c r="G64" s="204">
        <f t="shared" si="5"/>
        <v>0</v>
      </c>
      <c r="H64" s="100"/>
    </row>
    <row r="65" spans="1:8" x14ac:dyDescent="0.25">
      <c r="A65" s="251">
        <v>46447</v>
      </c>
      <c r="B65" s="204">
        <f t="shared" si="7"/>
        <v>0</v>
      </c>
      <c r="C65" s="204">
        <f t="shared" si="8"/>
        <v>0</v>
      </c>
      <c r="D65" s="252">
        <f>SUM(C54:C65)</f>
        <v>0</v>
      </c>
      <c r="E65" s="204">
        <f t="shared" si="9"/>
        <v>0</v>
      </c>
      <c r="F65" s="252">
        <f>SUM(E54:E65)</f>
        <v>0</v>
      </c>
      <c r="G65" s="204">
        <f t="shared" si="5"/>
        <v>0</v>
      </c>
      <c r="H65" s="100"/>
    </row>
    <row r="66" spans="1:8" x14ac:dyDescent="0.25">
      <c r="A66" s="251">
        <v>46478</v>
      </c>
      <c r="B66" s="204">
        <f t="shared" si="7"/>
        <v>0</v>
      </c>
      <c r="C66" s="204">
        <f t="shared" si="8"/>
        <v>0</v>
      </c>
      <c r="D66" s="252"/>
      <c r="E66" s="204">
        <f t="shared" si="9"/>
        <v>0</v>
      </c>
      <c r="F66" s="252"/>
      <c r="G66" s="204">
        <f t="shared" si="5"/>
        <v>0</v>
      </c>
      <c r="H66" s="100"/>
    </row>
    <row r="67" spans="1:8" x14ac:dyDescent="0.25">
      <c r="A67" s="251">
        <v>46508</v>
      </c>
      <c r="B67" s="204">
        <f t="shared" si="7"/>
        <v>0</v>
      </c>
      <c r="C67" s="204">
        <f t="shared" si="8"/>
        <v>0</v>
      </c>
      <c r="D67" s="252"/>
      <c r="E67" s="204">
        <f t="shared" si="9"/>
        <v>0</v>
      </c>
      <c r="F67" s="252"/>
      <c r="G67" s="204">
        <f t="shared" si="5"/>
        <v>0</v>
      </c>
      <c r="H67" s="100"/>
    </row>
    <row r="68" spans="1:8" x14ac:dyDescent="0.25">
      <c r="A68" s="251">
        <v>46539</v>
      </c>
      <c r="B68" s="204">
        <f t="shared" si="7"/>
        <v>0</v>
      </c>
      <c r="C68" s="204">
        <f t="shared" si="8"/>
        <v>0</v>
      </c>
      <c r="D68" s="252"/>
      <c r="E68" s="204">
        <f t="shared" si="9"/>
        <v>0</v>
      </c>
      <c r="F68" s="252"/>
      <c r="G68" s="204">
        <f t="shared" si="5"/>
        <v>0</v>
      </c>
      <c r="H68" s="100"/>
    </row>
    <row r="69" spans="1:8" x14ac:dyDescent="0.25">
      <c r="A69" s="251">
        <v>46569</v>
      </c>
      <c r="B69" s="204">
        <f t="shared" si="7"/>
        <v>0</v>
      </c>
      <c r="C69" s="204">
        <f t="shared" si="8"/>
        <v>0</v>
      </c>
      <c r="D69" s="252"/>
      <c r="E69" s="204">
        <f t="shared" si="9"/>
        <v>0</v>
      </c>
      <c r="F69" s="252"/>
      <c r="G69" s="204">
        <f t="shared" si="5"/>
        <v>0</v>
      </c>
      <c r="H69" s="100"/>
    </row>
    <row r="70" spans="1:8" x14ac:dyDescent="0.25">
      <c r="A70" s="251">
        <v>46600</v>
      </c>
      <c r="B70" s="204">
        <f t="shared" si="7"/>
        <v>0</v>
      </c>
      <c r="C70" s="204">
        <f t="shared" si="8"/>
        <v>0</v>
      </c>
      <c r="D70" s="252"/>
      <c r="E70" s="204">
        <f t="shared" si="9"/>
        <v>0</v>
      </c>
      <c r="F70" s="252"/>
      <c r="G70" s="204">
        <f t="shared" si="5"/>
        <v>0</v>
      </c>
      <c r="H70" s="54">
        <f>H58-F70</f>
        <v>0</v>
      </c>
    </row>
    <row r="71" spans="1:8" x14ac:dyDescent="0.25">
      <c r="A71" s="251">
        <v>46631</v>
      </c>
      <c r="B71" s="204">
        <f t="shared" si="7"/>
        <v>0</v>
      </c>
      <c r="C71" s="204">
        <f t="shared" si="8"/>
        <v>0</v>
      </c>
      <c r="D71" s="252"/>
      <c r="E71" s="204">
        <f t="shared" si="9"/>
        <v>0</v>
      </c>
      <c r="F71" s="252"/>
      <c r="G71" s="204">
        <f t="shared" si="5"/>
        <v>0</v>
      </c>
      <c r="H71" s="100"/>
    </row>
    <row r="72" spans="1:8" x14ac:dyDescent="0.25">
      <c r="A72" s="251">
        <v>46661</v>
      </c>
      <c r="B72" s="204">
        <f t="shared" si="7"/>
        <v>0</v>
      </c>
      <c r="C72" s="204">
        <f t="shared" si="8"/>
        <v>0</v>
      </c>
      <c r="D72" s="252"/>
      <c r="E72" s="204">
        <f t="shared" si="9"/>
        <v>0</v>
      </c>
      <c r="F72" s="252"/>
      <c r="G72" s="204">
        <f t="shared" si="5"/>
        <v>0</v>
      </c>
      <c r="H72" s="100"/>
    </row>
    <row r="73" spans="1:8" x14ac:dyDescent="0.25">
      <c r="A73" s="251">
        <v>46692</v>
      </c>
      <c r="B73" s="204">
        <f t="shared" si="7"/>
        <v>0</v>
      </c>
      <c r="C73" s="204">
        <f t="shared" si="8"/>
        <v>0</v>
      </c>
      <c r="D73" s="252"/>
      <c r="E73" s="204">
        <f t="shared" si="9"/>
        <v>0</v>
      </c>
      <c r="F73" s="252"/>
      <c r="G73" s="204">
        <f t="shared" si="5"/>
        <v>0</v>
      </c>
      <c r="H73" s="100"/>
    </row>
    <row r="74" spans="1:8" x14ac:dyDescent="0.25">
      <c r="A74" s="251">
        <v>46722</v>
      </c>
      <c r="B74" s="204">
        <f t="shared" si="7"/>
        <v>0</v>
      </c>
      <c r="C74" s="204">
        <f t="shared" si="8"/>
        <v>0</v>
      </c>
      <c r="D74" s="252"/>
      <c r="E74" s="204">
        <f t="shared" si="9"/>
        <v>0</v>
      </c>
      <c r="F74" s="252"/>
      <c r="G74" s="204">
        <f t="shared" si="5"/>
        <v>0</v>
      </c>
      <c r="H74" s="100"/>
    </row>
    <row r="75" spans="1:8" x14ac:dyDescent="0.25">
      <c r="A75" s="251">
        <v>46753</v>
      </c>
      <c r="B75" s="204">
        <f t="shared" si="7"/>
        <v>0</v>
      </c>
      <c r="C75" s="204">
        <f t="shared" si="8"/>
        <v>0</v>
      </c>
      <c r="D75" s="252"/>
      <c r="E75" s="204">
        <f t="shared" si="9"/>
        <v>0</v>
      </c>
      <c r="F75" s="252"/>
      <c r="G75" s="204">
        <f t="shared" ref="G75:G86" si="10">G74</f>
        <v>0</v>
      </c>
      <c r="H75" s="100"/>
    </row>
    <row r="76" spans="1:8" x14ac:dyDescent="0.25">
      <c r="A76" s="251">
        <v>46784</v>
      </c>
      <c r="B76" s="204">
        <f t="shared" si="7"/>
        <v>0</v>
      </c>
      <c r="C76" s="204">
        <f t="shared" si="8"/>
        <v>0</v>
      </c>
      <c r="D76" s="252"/>
      <c r="E76" s="204">
        <f t="shared" si="9"/>
        <v>0</v>
      </c>
      <c r="F76" s="252"/>
      <c r="G76" s="204">
        <f t="shared" si="10"/>
        <v>0</v>
      </c>
      <c r="H76" s="100"/>
    </row>
    <row r="77" spans="1:8" x14ac:dyDescent="0.25">
      <c r="A77" s="251">
        <v>46813</v>
      </c>
      <c r="B77" s="204">
        <f t="shared" si="7"/>
        <v>0</v>
      </c>
      <c r="C77" s="204">
        <f t="shared" si="8"/>
        <v>0</v>
      </c>
      <c r="D77" s="252">
        <f>SUM(C66:C77)</f>
        <v>0</v>
      </c>
      <c r="E77" s="204">
        <f t="shared" si="9"/>
        <v>0</v>
      </c>
      <c r="F77" s="252">
        <f>SUM(E66:E77)</f>
        <v>0</v>
      </c>
      <c r="G77" s="204">
        <f t="shared" si="10"/>
        <v>0</v>
      </c>
      <c r="H77" s="100"/>
    </row>
    <row r="78" spans="1:8" x14ac:dyDescent="0.25">
      <c r="A78" s="251">
        <v>46844</v>
      </c>
      <c r="B78" s="204">
        <f t="shared" si="7"/>
        <v>0</v>
      </c>
      <c r="C78" s="204">
        <f t="shared" si="8"/>
        <v>0</v>
      </c>
      <c r="D78" s="252"/>
      <c r="E78" s="204">
        <f t="shared" si="9"/>
        <v>0</v>
      </c>
      <c r="F78" s="252"/>
      <c r="G78" s="204">
        <f t="shared" si="10"/>
        <v>0</v>
      </c>
      <c r="H78" s="100"/>
    </row>
    <row r="79" spans="1:8" x14ac:dyDescent="0.25">
      <c r="A79" s="251">
        <v>46874</v>
      </c>
      <c r="B79" s="204">
        <f t="shared" si="7"/>
        <v>0</v>
      </c>
      <c r="C79" s="204">
        <f t="shared" si="8"/>
        <v>0</v>
      </c>
      <c r="D79" s="252"/>
      <c r="E79" s="204">
        <f t="shared" si="9"/>
        <v>0</v>
      </c>
      <c r="F79" s="252"/>
      <c r="G79" s="204">
        <f t="shared" si="10"/>
        <v>0</v>
      </c>
      <c r="H79" s="100"/>
    </row>
    <row r="80" spans="1:8" x14ac:dyDescent="0.25">
      <c r="A80" s="251">
        <v>46905</v>
      </c>
      <c r="B80" s="204">
        <f t="shared" si="7"/>
        <v>0</v>
      </c>
      <c r="C80" s="204">
        <f t="shared" si="8"/>
        <v>0</v>
      </c>
      <c r="D80" s="252"/>
      <c r="E80" s="204">
        <f t="shared" si="9"/>
        <v>0</v>
      </c>
      <c r="F80" s="252"/>
      <c r="G80" s="204">
        <f t="shared" si="10"/>
        <v>0</v>
      </c>
      <c r="H80" s="100"/>
    </row>
    <row r="81" spans="1:8" x14ac:dyDescent="0.25">
      <c r="A81" s="251">
        <v>46935</v>
      </c>
      <c r="B81" s="204">
        <f t="shared" si="7"/>
        <v>0</v>
      </c>
      <c r="C81" s="204">
        <f t="shared" si="8"/>
        <v>0</v>
      </c>
      <c r="D81" s="252"/>
      <c r="E81" s="204">
        <f t="shared" si="9"/>
        <v>0</v>
      </c>
      <c r="F81" s="252"/>
      <c r="G81" s="204">
        <f t="shared" si="10"/>
        <v>0</v>
      </c>
      <c r="H81" s="100"/>
    </row>
    <row r="82" spans="1:8" x14ac:dyDescent="0.25">
      <c r="A82" s="251">
        <v>46966</v>
      </c>
      <c r="B82" s="204">
        <f t="shared" si="7"/>
        <v>0</v>
      </c>
      <c r="C82" s="204">
        <f t="shared" si="8"/>
        <v>0</v>
      </c>
      <c r="D82" s="252"/>
      <c r="E82" s="204">
        <f t="shared" si="9"/>
        <v>0</v>
      </c>
      <c r="F82" s="252"/>
      <c r="G82" s="204">
        <f t="shared" si="10"/>
        <v>0</v>
      </c>
      <c r="H82" s="100"/>
    </row>
    <row r="83" spans="1:8" x14ac:dyDescent="0.25">
      <c r="A83" s="251">
        <v>46997</v>
      </c>
      <c r="B83" s="204">
        <f t="shared" si="7"/>
        <v>0</v>
      </c>
      <c r="C83" s="204">
        <f t="shared" si="8"/>
        <v>0</v>
      </c>
      <c r="D83" s="252"/>
      <c r="E83" s="204">
        <f t="shared" si="9"/>
        <v>0</v>
      </c>
      <c r="F83" s="252"/>
      <c r="G83" s="204">
        <f t="shared" si="10"/>
        <v>0</v>
      </c>
      <c r="H83" s="100"/>
    </row>
    <row r="84" spans="1:8" x14ac:dyDescent="0.25">
      <c r="A84" s="251">
        <v>47027</v>
      </c>
      <c r="B84" s="204">
        <f t="shared" si="7"/>
        <v>0</v>
      </c>
      <c r="C84" s="204">
        <f t="shared" si="8"/>
        <v>0</v>
      </c>
      <c r="D84" s="252"/>
      <c r="E84" s="204">
        <f t="shared" si="9"/>
        <v>0</v>
      </c>
      <c r="F84" s="252"/>
      <c r="G84" s="204">
        <f t="shared" si="10"/>
        <v>0</v>
      </c>
      <c r="H84" s="100"/>
    </row>
    <row r="85" spans="1:8" x14ac:dyDescent="0.25">
      <c r="A85" s="251">
        <v>47058</v>
      </c>
      <c r="B85" s="204">
        <f t="shared" si="7"/>
        <v>0</v>
      </c>
      <c r="C85" s="204">
        <f t="shared" si="8"/>
        <v>0</v>
      </c>
      <c r="D85" s="252"/>
      <c r="E85" s="204">
        <f t="shared" si="9"/>
        <v>0</v>
      </c>
      <c r="F85" s="252"/>
      <c r="G85" s="204">
        <f t="shared" si="10"/>
        <v>0</v>
      </c>
      <c r="H85" s="100"/>
    </row>
    <row r="86" spans="1:8" x14ac:dyDescent="0.25">
      <c r="A86" s="251">
        <v>47088</v>
      </c>
      <c r="B86" s="204">
        <f t="shared" si="7"/>
        <v>0</v>
      </c>
      <c r="C86" s="204">
        <f t="shared" si="8"/>
        <v>0</v>
      </c>
      <c r="D86" s="252">
        <f>SUM(C78:C86)</f>
        <v>0</v>
      </c>
      <c r="E86" s="204">
        <f t="shared" si="9"/>
        <v>0</v>
      </c>
      <c r="F86" s="252">
        <f>SUM(E78:E86)</f>
        <v>0</v>
      </c>
      <c r="G86" s="204">
        <f t="shared" si="10"/>
        <v>0</v>
      </c>
      <c r="H86" s="100"/>
    </row>
    <row r="87" spans="1:8" x14ac:dyDescent="0.25">
      <c r="A87" s="251"/>
      <c r="B87" s="204"/>
      <c r="C87" s="204"/>
      <c r="D87" s="204"/>
      <c r="E87" s="204"/>
      <c r="F87" s="204"/>
      <c r="G87" s="204"/>
      <c r="H87" s="100"/>
    </row>
    <row r="88" spans="1:8" x14ac:dyDescent="0.25">
      <c r="A88" s="251"/>
      <c r="B88" s="204"/>
      <c r="C88" s="204"/>
      <c r="D88" s="252"/>
      <c r="E88" s="204"/>
      <c r="F88" s="204"/>
      <c r="G88" s="204"/>
      <c r="H88" s="100"/>
    </row>
    <row r="89" spans="1:8" s="9" customFormat="1" x14ac:dyDescent="0.25">
      <c r="A89" s="257"/>
      <c r="B89" s="252"/>
      <c r="C89" s="252">
        <f>SUM(C3:C88)</f>
        <v>0</v>
      </c>
      <c r="D89" s="252">
        <f>SUM(D86,D82,D70,D58,D46,D34,D22,D10)</f>
        <v>0</v>
      </c>
      <c r="E89" s="252">
        <f>SUM(E3:E88)</f>
        <v>0</v>
      </c>
      <c r="F89" s="252">
        <f>SUM(F86,F82,F70,F58,F46,F34,F22,F10)</f>
        <v>0</v>
      </c>
      <c r="G89" s="252"/>
      <c r="H89" s="258"/>
    </row>
  </sheetData>
  <mergeCells count="1">
    <mergeCell ref="A1:G1"/>
  </mergeCells>
  <pageMargins left="0.7" right="0.7" top="0.75" bottom="0.75" header="0.3" footer="0.3"/>
  <pageSetup orientation="portrait" horizontalDpi="4294967295" verticalDpi="4294967295" scale="100" fitToWidth="1" fitToHeight="1" firstPageNumber="1" useFirstPageNumber="1" copies="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2:H11"/>
  <sheetViews>
    <sheetView workbookViewId="0" showGridLines="0" zoomScale="92" zoomScaleNormal="100">
      <selection activeCell="F17" sqref="F17"/>
    </sheetView>
  </sheetViews>
  <sheetFormatPr defaultRowHeight="15" outlineLevelRow="0" outlineLevelCol="0" x14ac:dyDescent="0"/>
  <cols>
    <col min="2" max="2" width="36.5703125" customWidth="1"/>
    <col min="3" max="3" width="14.28515625" customWidth="1"/>
    <col min="5" max="5" width="10.5703125" customWidth="1"/>
    <col min="6" max="6" width="14.7109375" customWidth="1"/>
    <col min="7" max="7" width="13.28515625" customWidth="1"/>
  </cols>
  <sheetData>
    <row r="2" spans="2:3" x14ac:dyDescent="0.25">
      <c r="B2" s="89" t="str">
        <f>'1. Basics'!D2</f>
        <v>CYNCURA PRIVATE LIMITED</v>
      </c>
      <c r="C2" s="89"/>
    </row>
    <row r="3" spans="2:3" x14ac:dyDescent="0.25">
      <c r="B3" s="84" t="s">
        <v>284</v>
      </c>
      <c r="C3" s="84"/>
    </row>
    <row r="4" ht="15.75" customHeight="1" x14ac:dyDescent="0.25"/>
    <row r="5" spans="2:3" x14ac:dyDescent="0.25">
      <c r="B5" s="90" t="s">
        <v>285</v>
      </c>
      <c r="C5" s="91" t="s">
        <v>286</v>
      </c>
    </row>
    <row r="6" spans="2:4" x14ac:dyDescent="0.25">
      <c r="B6" s="92"/>
      <c r="C6" s="93"/>
      <c r="D6" s="54"/>
    </row>
    <row r="7" ht="15.75" customHeight="1" spans="2:3" x14ac:dyDescent="0.25">
      <c r="B7" s="92" t="s">
        <v>287</v>
      </c>
      <c r="C7" s="94">
        <v>0</v>
      </c>
    </row>
    <row r="8" ht="15.75" customHeight="1" spans="2:3" x14ac:dyDescent="0.25">
      <c r="B8" s="95" t="s">
        <v>288</v>
      </c>
      <c r="C8" s="96">
        <f>C7*20%</f>
        <v>0</v>
      </c>
    </row>
    <row r="9" ht="15.75" customHeight="1" spans="2:3" x14ac:dyDescent="0.25">
      <c r="B9" s="92" t="s">
        <v>289</v>
      </c>
      <c r="C9" s="97">
        <f>C7-C8</f>
        <v>0</v>
      </c>
    </row>
    <row r="10" ht="15.75" customHeight="1" spans="2:3" x14ac:dyDescent="0.25">
      <c r="B10" s="92" t="s">
        <v>290</v>
      </c>
      <c r="C10" s="93">
        <v>0</v>
      </c>
    </row>
    <row r="11" spans="2:8" x14ac:dyDescent="0.25">
      <c r="B11" s="98" t="s">
        <v>291</v>
      </c>
      <c r="C11" s="99">
        <f>C9+C10</f>
        <v>0</v>
      </c>
      <c r="H11" s="100"/>
    </row>
  </sheetData>
  <mergeCells count="2">
    <mergeCell ref="B2:C2"/>
    <mergeCell ref="B3:C3"/>
  </mergeCells>
  <pageMargins left="0.7" right="0.7" top="1.315" bottom="0.75" header="0.3" footer="0.3"/>
  <pageSetup paperSize="9" orientation="portrait" horizontalDpi="4294967295" verticalDpi="4294967295" scale="95"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2:H28"/>
  <sheetViews>
    <sheetView workbookViewId="0" showGridLines="0" zoomScale="100" zoomScaleNormal="100">
      <selection activeCell="C10" sqref="C10"/>
    </sheetView>
  </sheetViews>
  <sheetFormatPr defaultRowHeight="15" outlineLevelRow="0" outlineLevelCol="0" x14ac:dyDescent="0"/>
  <cols>
    <col min="1" max="1" width="1.42578125" customWidth="1"/>
    <col min="2" max="2" width="37.28515625" customWidth="1"/>
    <col min="3" max="3" width="13.28515625" customWidth="1"/>
    <col min="4" max="7" width="14.28515625" customWidth="1"/>
    <col min="8" max="8" width="13" customWidth="1"/>
  </cols>
  <sheetData>
    <row r="2" ht="15.75" customHeight="1" spans="2:8" x14ac:dyDescent="0.25">
      <c r="B2" s="197" t="s">
        <v>363</v>
      </c>
      <c r="C2" s="197"/>
      <c r="D2" s="197"/>
      <c r="E2" s="197"/>
      <c r="F2" s="197"/>
      <c r="G2" s="197"/>
      <c r="H2" s="197"/>
    </row>
    <row r="3" ht="18.75" customHeight="1" spans="2:7" x14ac:dyDescent="0.25">
      <c r="B3" s="198"/>
      <c r="C3" s="198"/>
      <c r="D3" s="198"/>
      <c r="E3" s="198"/>
      <c r="F3" s="198"/>
      <c r="G3" s="198"/>
    </row>
    <row r="4" ht="15.75" customHeight="1" spans="2:2" x14ac:dyDescent="0.25">
      <c r="B4" s="199" t="s">
        <v>364</v>
      </c>
    </row>
    <row r="5" ht="45" customHeight="1" spans="2:8" x14ac:dyDescent="0.25">
      <c r="B5" s="200" t="s">
        <v>203</v>
      </c>
      <c r="C5" s="201" t="s">
        <v>365</v>
      </c>
      <c r="D5" s="201" t="s">
        <v>366</v>
      </c>
      <c r="E5" s="201" t="s">
        <v>367</v>
      </c>
      <c r="F5" s="201" t="s">
        <v>368</v>
      </c>
      <c r="G5" s="201" t="s">
        <v>331</v>
      </c>
      <c r="H5" s="202" t="s">
        <v>332</v>
      </c>
    </row>
    <row r="6" spans="2:8" x14ac:dyDescent="0.25">
      <c r="B6" s="203" t="s">
        <v>369</v>
      </c>
      <c r="C6" s="204" t="e">
        <f>'4. P&amp;L'!#REF!</f>
        <v>#REF!</v>
      </c>
      <c r="D6" s="204" t="e">
        <f>'4. P&amp;L'!#REF!</f>
        <v>#REF!</v>
      </c>
      <c r="E6" s="204" t="e">
        <f>'4. P&amp;L'!#REF!</f>
        <v>#REF!</v>
      </c>
      <c r="F6" s="204" t="e">
        <f>'4. P&amp;L'!#REF!</f>
        <v>#REF!</v>
      </c>
      <c r="G6" s="204" t="e">
        <f>'4. P&amp;L'!#REF!</f>
        <v>#REF!</v>
      </c>
      <c r="H6" s="205" t="e">
        <f>'4. P&amp;L'!#REF!</f>
        <v>#REF!</v>
      </c>
    </row>
    <row r="7" spans="2:8" x14ac:dyDescent="0.25">
      <c r="B7" s="203" t="s">
        <v>306</v>
      </c>
      <c r="C7" s="204">
        <f>'4. P&amp;L'!C38</f>
        <v>-2658708.3065126482</v>
      </c>
      <c r="D7" s="204">
        <f>'4. P&amp;L'!D38</f>
        <v>2651440.7944125906</v>
      </c>
      <c r="E7" s="204">
        <f>'4. P&amp;L'!E38</f>
        <v>45704676.37650421</v>
      </c>
      <c r="F7" s="204">
        <f>'4. P&amp;L'!F38</f>
        <v>77268514.95608166</v>
      </c>
      <c r="G7" s="204">
        <f>'4. P&amp;L'!G38</f>
        <v>117109903.61876822</v>
      </c>
      <c r="H7" s="205" t="e">
        <f>'4. P&amp;L'!#REF!</f>
        <v>#REF!</v>
      </c>
    </row>
    <row r="8" spans="2:8" x14ac:dyDescent="0.25">
      <c r="B8" s="203" t="s">
        <v>370</v>
      </c>
      <c r="C8" s="204">
        <f>'5. Balance sheet'!C25</f>
        <v>425000</v>
      </c>
      <c r="D8" s="204">
        <f>'5. Balance sheet'!D25</f>
        <v>403750</v>
      </c>
      <c r="E8" s="204">
        <f>'5. Balance sheet'!E25</f>
        <v>339521.875</v>
      </c>
      <c r="F8" s="204">
        <f>'5. Balance sheet'!F25</f>
        <v>453865.46875</v>
      </c>
      <c r="G8" s="204">
        <f>'5. Balance sheet'!G25</f>
        <v>466535.6484375</v>
      </c>
      <c r="H8" s="205" t="e">
        <f>'5. Balance sheet'!H25</f>
        <v>#REF!</v>
      </c>
    </row>
    <row r="9" spans="2:8" x14ac:dyDescent="0.25">
      <c r="B9" s="203" t="s">
        <v>371</v>
      </c>
      <c r="C9" s="204" t="e">
        <f>'4. P&amp;L'!C38+'4. P&amp;L'!C34+'4. P&amp;L'!#REF!</f>
        <v>#REF!</v>
      </c>
      <c r="D9" s="204" t="e">
        <f>'4. P&amp;L'!D38+'4. P&amp;L'!D34+'4. P&amp;L'!#REF!</f>
        <v>#REF!</v>
      </c>
      <c r="E9" s="204" t="e">
        <f>'4. P&amp;L'!E38+'4. P&amp;L'!E34+'4. P&amp;L'!#REF!</f>
        <v>#REF!</v>
      </c>
      <c r="F9" s="204" t="e">
        <f>'4. P&amp;L'!F38+'4. P&amp;L'!F34+'4. P&amp;L'!#REF!</f>
        <v>#REF!</v>
      </c>
      <c r="G9" s="204" t="e">
        <f>'4. P&amp;L'!G38+'4. P&amp;L'!G34+'4. P&amp;L'!#REF!</f>
        <v>#REF!</v>
      </c>
      <c r="H9" s="205" t="e">
        <f>'4. P&amp;L'!#REF!+'4. P&amp;L'!#REF!+'4. P&amp;L'!#REF!</f>
        <v>#REF!</v>
      </c>
    </row>
    <row r="10" spans="2:8" x14ac:dyDescent="0.25">
      <c r="B10" s="203" t="s">
        <v>372</v>
      </c>
      <c r="C10" s="204" t="e">
        <f>'4. P&amp;L'!C34+'4. P&amp;L'!#REF!</f>
        <v>#REF!</v>
      </c>
      <c r="D10" s="204" t="e">
        <f>'4. P&amp;L'!D34+'4. P&amp;L'!#REF!</f>
        <v>#REF!</v>
      </c>
      <c r="E10" s="204" t="e">
        <f>'4. P&amp;L'!E34+'4. P&amp;L'!#REF!</f>
        <v>#REF!</v>
      </c>
      <c r="F10" s="204" t="e">
        <f>'4. P&amp;L'!F34+'4. P&amp;L'!#REF!</f>
        <v>#REF!</v>
      </c>
      <c r="G10" s="204" t="e">
        <f>'4. P&amp;L'!G34+'4. P&amp;L'!#REF!</f>
        <v>#REF!</v>
      </c>
      <c r="H10" s="205" t="e">
        <f>'4. P&amp;L'!#REF!+'4. P&amp;L'!#REF!</f>
        <v>#REF!</v>
      </c>
    </row>
    <row r="11" spans="2:8" x14ac:dyDescent="0.25">
      <c r="B11" s="203" t="s">
        <v>353</v>
      </c>
      <c r="C11" s="204" t="e">
        <f>SUM('5. Balance sheet'!C30:C35)</f>
        <v>#REF!</v>
      </c>
      <c r="D11" s="204" t="e">
        <f>SUM('5. Balance sheet'!D30:D35)</f>
        <v>#REF!</v>
      </c>
      <c r="E11" s="204" t="e">
        <f>SUM('5. Balance sheet'!E30:E35)</f>
        <v>#REF!</v>
      </c>
      <c r="F11" s="204" t="e">
        <f>SUM('5. Balance sheet'!F30:F35)</f>
        <v>#REF!</v>
      </c>
      <c r="G11" s="204" t="e">
        <f>SUM('5. Balance sheet'!G30:G35)</f>
        <v>#REF!</v>
      </c>
      <c r="H11" s="205" t="e">
        <f>SUM('5. Balance sheet'!H30:H35)</f>
        <v>#REF!</v>
      </c>
    </row>
    <row r="12" spans="2:8" x14ac:dyDescent="0.25">
      <c r="B12" s="203" t="s">
        <v>344</v>
      </c>
      <c r="C12" s="204" t="e">
        <f>'5. Balance sheet'!C18+'5. Balance sheet'!C19</f>
        <v>#REF!</v>
      </c>
      <c r="D12" s="204" t="e">
        <f>+'5. Balance sheet'!D18+'5. Balance sheet'!D19</f>
        <v>#REF!</v>
      </c>
      <c r="E12" s="204" t="e">
        <f>+'5. Balance sheet'!E18+'5. Balance sheet'!E19</f>
        <v>#REF!</v>
      </c>
      <c r="F12" s="204" t="e">
        <f>+'5. Balance sheet'!F18+'5. Balance sheet'!F19</f>
        <v>#REF!</v>
      </c>
      <c r="G12" s="204" t="e">
        <f>+'5. Balance sheet'!G18+'5. Balance sheet'!G19</f>
        <v>#REF!</v>
      </c>
      <c r="H12" s="205" t="e">
        <f>+'5. Balance sheet'!H18+'5. Balance sheet'!H19</f>
        <v>#REF!</v>
      </c>
    </row>
    <row r="13" spans="2:8" x14ac:dyDescent="0.25">
      <c r="B13" s="203" t="s">
        <v>362</v>
      </c>
      <c r="C13" s="206" t="e">
        <f>C11/C12</f>
        <v>#REF!</v>
      </c>
      <c r="D13" s="206" t="e">
        <f t="shared" ref="D13:H13" si="0">D11/D12</f>
        <v>#REF!</v>
      </c>
      <c r="E13" s="206" t="e">
        <f t="shared" si="0"/>
        <v>#REF!</v>
      </c>
      <c r="F13" s="206" t="e">
        <f t="shared" si="0"/>
        <v>#REF!</v>
      </c>
      <c r="G13" s="206" t="e">
        <f t="shared" si="0"/>
        <v>#REF!</v>
      </c>
      <c r="H13" s="207" t="e">
        <f t="shared" si="0"/>
        <v>#REF!</v>
      </c>
    </row>
    <row r="14" spans="2:8" x14ac:dyDescent="0.25">
      <c r="B14" s="203" t="s">
        <v>373</v>
      </c>
      <c r="C14" s="206" t="e">
        <f t="shared" ref="C14:H14" si="1">C9/C10</f>
        <v>#REF!</v>
      </c>
      <c r="D14" s="206" t="e">
        <f t="shared" si="1"/>
        <v>#REF!</v>
      </c>
      <c r="E14" s="206" t="e">
        <f t="shared" si="1"/>
        <v>#REF!</v>
      </c>
      <c r="F14" s="206" t="e">
        <f t="shared" si="1"/>
        <v>#REF!</v>
      </c>
      <c r="G14" s="206" t="e">
        <f t="shared" si="1"/>
        <v>#REF!</v>
      </c>
      <c r="H14" s="207" t="e">
        <f t="shared" si="1"/>
        <v>#REF!</v>
      </c>
    </row>
    <row r="15" spans="2:8" x14ac:dyDescent="0.25">
      <c r="B15" s="203" t="s">
        <v>374</v>
      </c>
      <c r="C15" s="208" t="e">
        <f>C7/C6</f>
        <v>#REF!</v>
      </c>
      <c r="D15" s="208" t="e">
        <f t="shared" ref="D15:G15" si="2">D7/D6</f>
        <v>#REF!</v>
      </c>
      <c r="E15" s="208" t="e">
        <f t="shared" si="2"/>
        <v>#REF!</v>
      </c>
      <c r="F15" s="208" t="e">
        <f t="shared" si="2"/>
        <v>#REF!</v>
      </c>
      <c r="G15" s="208" t="e">
        <f t="shared" si="2"/>
        <v>#REF!</v>
      </c>
      <c r="H15" s="209" t="e">
        <f t="shared" ref="H15" si="3">H7/H6</f>
        <v>#REF!</v>
      </c>
    </row>
    <row r="16" spans="2:8" x14ac:dyDescent="0.25">
      <c r="B16" s="203" t="s">
        <v>375</v>
      </c>
      <c r="C16" s="206" t="e">
        <f>C6/C8</f>
        <v>#REF!</v>
      </c>
      <c r="D16" s="206" t="e">
        <f t="shared" ref="D16:G16" si="4">D6/D8</f>
        <v>#REF!</v>
      </c>
      <c r="E16" s="206" t="e">
        <f t="shared" si="4"/>
        <v>#REF!</v>
      </c>
      <c r="F16" s="206" t="e">
        <f t="shared" si="4"/>
        <v>#REF!</v>
      </c>
      <c r="G16" s="206" t="e">
        <f t="shared" si="4"/>
        <v>#REF!</v>
      </c>
      <c r="H16" s="207" t="e">
        <f t="shared" ref="H16" si="5">H6/H8</f>
        <v>#REF!</v>
      </c>
    </row>
    <row r="17" spans="2:8" x14ac:dyDescent="0.25">
      <c r="B17" s="203" t="s">
        <v>376</v>
      </c>
      <c r="C17" s="210" t="e">
        <f>DSCR!B19</f>
        <v>#REF!</v>
      </c>
      <c r="D17" s="210" t="e">
        <f>DSCR!C19</f>
        <v>#REF!</v>
      </c>
      <c r="E17" s="210" t="e">
        <f>DSCR!D19</f>
        <v>#REF!</v>
      </c>
      <c r="F17" s="210" t="e">
        <f>DSCR!E19</f>
        <v>#REF!</v>
      </c>
      <c r="G17" s="210" t="e">
        <f>DSCR!F19</f>
        <v>#REF!</v>
      </c>
      <c r="H17" s="211" t="e">
        <f>DSCR!G19</f>
        <v>#REF!</v>
      </c>
    </row>
    <row r="18" spans="2:8" x14ac:dyDescent="0.25">
      <c r="B18" s="203" t="s">
        <v>377</v>
      </c>
      <c r="C18" s="204" t="e">
        <f t="shared" ref="C18:H18" si="6">C11-C12</f>
        <v>#REF!</v>
      </c>
      <c r="D18" s="204" t="e">
        <f t="shared" si="6"/>
        <v>#REF!</v>
      </c>
      <c r="E18" s="204" t="e">
        <f t="shared" si="6"/>
        <v>#REF!</v>
      </c>
      <c r="F18" s="204" t="e">
        <f t="shared" si="6"/>
        <v>#REF!</v>
      </c>
      <c r="G18" s="204" t="e">
        <f t="shared" si="6"/>
        <v>#REF!</v>
      </c>
      <c r="H18" s="205" t="e">
        <f t="shared" si="6"/>
        <v>#REF!</v>
      </c>
    </row>
    <row r="19" spans="2:8" x14ac:dyDescent="0.25">
      <c r="B19" s="203" t="s">
        <v>378</v>
      </c>
      <c r="C19" s="212">
        <v>0.75</v>
      </c>
      <c r="D19" s="212">
        <v>0.75</v>
      </c>
      <c r="E19" s="212">
        <v>0.75</v>
      </c>
      <c r="F19" s="212">
        <v>0.75</v>
      </c>
      <c r="G19" s="212">
        <v>0.75</v>
      </c>
      <c r="H19" s="213">
        <v>0.75</v>
      </c>
    </row>
    <row r="20" spans="2:8" x14ac:dyDescent="0.25">
      <c r="B20" s="203" t="s">
        <v>379</v>
      </c>
      <c r="C20" s="204" t="e">
        <f>C18*C19</f>
        <v>#REF!</v>
      </c>
      <c r="D20" s="204" t="e">
        <f t="shared" ref="D20:H20" si="7">D18*D19</f>
        <v>#REF!</v>
      </c>
      <c r="E20" s="204" t="e">
        <f t="shared" si="7"/>
        <v>#REF!</v>
      </c>
      <c r="F20" s="204" t="e">
        <f t="shared" si="7"/>
        <v>#REF!</v>
      </c>
      <c r="G20" s="204" t="e">
        <f t="shared" si="7"/>
        <v>#REF!</v>
      </c>
      <c r="H20" s="205" t="e">
        <f t="shared" si="7"/>
        <v>#REF!</v>
      </c>
    </row>
    <row r="21" spans="2:8" x14ac:dyDescent="0.25">
      <c r="B21" s="203" t="s">
        <v>380</v>
      </c>
      <c r="C21" s="204" t="e">
        <f>'5. Balance sheet'!#REF!</f>
        <v>#REF!</v>
      </c>
      <c r="D21" s="204" t="e">
        <f>'5. Balance sheet'!#REF!</f>
        <v>#REF!</v>
      </c>
      <c r="E21" s="204" t="e">
        <f>'5. Balance sheet'!#REF!</f>
        <v>#REF!</v>
      </c>
      <c r="F21" s="204" t="e">
        <f>'5. Balance sheet'!#REF!</f>
        <v>#REF!</v>
      </c>
      <c r="G21" s="204" t="e">
        <f>'5. Balance sheet'!#REF!</f>
        <v>#REF!</v>
      </c>
      <c r="H21" s="205" t="e">
        <f>'5. Balance sheet'!#REF!</f>
        <v>#REF!</v>
      </c>
    </row>
    <row r="22" spans="2:8" x14ac:dyDescent="0.25">
      <c r="B22" s="203" t="s">
        <v>381</v>
      </c>
      <c r="C22" s="204" t="e">
        <f>C21</f>
        <v>#REF!</v>
      </c>
      <c r="D22" s="204" t="e">
        <f t="shared" ref="D22:H22" si="8">D21</f>
        <v>#REF!</v>
      </c>
      <c r="E22" s="204" t="e">
        <f t="shared" si="8"/>
        <v>#REF!</v>
      </c>
      <c r="F22" s="204" t="e">
        <f t="shared" si="8"/>
        <v>#REF!</v>
      </c>
      <c r="G22" s="204" t="e">
        <f t="shared" si="8"/>
        <v>#REF!</v>
      </c>
      <c r="H22" s="205" t="e">
        <f t="shared" si="8"/>
        <v>#REF!</v>
      </c>
    </row>
    <row r="23" ht="15.75" customHeight="1" spans="2:8" x14ac:dyDescent="0.25">
      <c r="B23" s="214" t="s">
        <v>382</v>
      </c>
      <c r="C23" s="215" t="e">
        <f>C22/C18*100</f>
        <v>#REF!</v>
      </c>
      <c r="D23" s="215" t="e">
        <f t="shared" ref="D23:H23" si="9">D22/D18*100</f>
        <v>#REF!</v>
      </c>
      <c r="E23" s="215" t="e">
        <f t="shared" si="9"/>
        <v>#REF!</v>
      </c>
      <c r="F23" s="215" t="e">
        <f t="shared" si="9"/>
        <v>#REF!</v>
      </c>
      <c r="G23" s="215" t="e">
        <f t="shared" si="9"/>
        <v>#REF!</v>
      </c>
      <c r="H23" s="216" t="e">
        <f t="shared" si="9"/>
        <v>#REF!</v>
      </c>
    </row>
    <row r="24" spans="3:7" x14ac:dyDescent="0.25">
      <c r="C24" s="54"/>
      <c r="D24" s="54"/>
      <c r="E24" s="54"/>
      <c r="F24" s="54"/>
      <c r="G24" s="54"/>
    </row>
    <row r="25" spans="3:7" x14ac:dyDescent="0.25">
      <c r="C25" s="54"/>
      <c r="D25" s="54"/>
      <c r="E25" s="54"/>
      <c r="F25" s="54"/>
      <c r="G25" s="54"/>
    </row>
    <row r="26" spans="3:7" x14ac:dyDescent="0.25">
      <c r="C26" s="54"/>
      <c r="D26" s="54"/>
      <c r="E26" s="54"/>
      <c r="F26" s="54"/>
      <c r="G26" s="54"/>
    </row>
    <row r="27" spans="3:7" x14ac:dyDescent="0.25">
      <c r="C27" s="54"/>
      <c r="D27" s="54"/>
      <c r="E27" s="54"/>
      <c r="F27" s="54"/>
      <c r="G27" s="54"/>
    </row>
    <row r="28" spans="3:7" x14ac:dyDescent="0.25">
      <c r="C28" s="54"/>
      <c r="D28" s="54"/>
      <c r="E28" s="54"/>
      <c r="F28" s="54"/>
      <c r="G28" s="54"/>
    </row>
  </sheetData>
  <mergeCells count="1">
    <mergeCell ref="B2:H2"/>
  </mergeCells>
  <pageMargins left="0.7" right="0.7" top="0.75" bottom="0.75" header="0.3" footer="0.3"/>
  <pageSetup orientation="portrait" horizontalDpi="0" verticalDpi="0" scale="74" fitToWidth="1" fitToHeight="1" firstPageNumber="1" useFirstPageNumber="1" copies="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2:E27"/>
  <sheetViews>
    <sheetView workbookViewId="0" showGridLines="0" zoomScale="100" zoomScaleNormal="100">
      <selection activeCell="E10" sqref="E10"/>
    </sheetView>
  </sheetViews>
  <sheetFormatPr defaultRowHeight="15" outlineLevelRow="0" outlineLevelCol="0" x14ac:dyDescent="0"/>
  <cols>
    <col min="3" max="3" width="38.28515625" customWidth="1"/>
    <col min="4" max="4" width="48.28515625" customWidth="1"/>
    <col min="5" max="5" width="20.28515625" customWidth="1"/>
  </cols>
  <sheetData>
    <row r="2" ht="30" customHeight="1" spans="2:4" x14ac:dyDescent="0.25">
      <c r="B2" s="1">
        <v>1</v>
      </c>
      <c r="C2" s="1" t="s">
        <v>0</v>
      </c>
      <c r="D2" s="2" t="s">
        <v>1</v>
      </c>
    </row>
    <row r="3" ht="9" customHeight="1" spans="2:3" x14ac:dyDescent="0.25">
      <c r="B3" s="3"/>
      <c r="C3" s="3"/>
    </row>
    <row r="4" ht="30" customHeight="1" spans="2:4" x14ac:dyDescent="0.25">
      <c r="B4" s="1">
        <v>2</v>
      </c>
      <c r="C4" s="1" t="s">
        <v>2</v>
      </c>
      <c r="D4" s="2" t="s">
        <v>1</v>
      </c>
    </row>
    <row r="5" ht="9" customHeight="1" spans="2:3" x14ac:dyDescent="0.25">
      <c r="B5" s="3"/>
      <c r="C5" s="3"/>
    </row>
    <row r="6" ht="30" customHeight="1" spans="2:4" x14ac:dyDescent="0.25">
      <c r="B6" s="1">
        <v>3</v>
      </c>
      <c r="C6" s="1" t="s">
        <v>3</v>
      </c>
      <c r="D6" s="2" t="s">
        <v>4</v>
      </c>
    </row>
    <row r="7" ht="9" customHeight="1" spans="2:3" x14ac:dyDescent="0.25">
      <c r="B7" s="3"/>
      <c r="C7" s="3"/>
    </row>
    <row r="8" ht="30" customHeight="1" spans="2:4" x14ac:dyDescent="0.25">
      <c r="B8" s="1">
        <v>4</v>
      </c>
      <c r="C8" s="1" t="s">
        <v>5</v>
      </c>
      <c r="D8" s="4" t="s">
        <v>6</v>
      </c>
    </row>
    <row r="9" ht="9" customHeight="1" spans="2:3" x14ac:dyDescent="0.25">
      <c r="B9" s="3"/>
      <c r="C9" s="3"/>
    </row>
    <row r="10" ht="30" customHeight="1" spans="2:4" x14ac:dyDescent="0.25">
      <c r="B10" s="1">
        <v>5</v>
      </c>
      <c r="C10" s="1" t="s">
        <v>7</v>
      </c>
      <c r="D10" s="2"/>
    </row>
    <row r="11" ht="9" customHeight="1" spans="2:3" x14ac:dyDescent="0.25">
      <c r="B11" s="3"/>
      <c r="C11" s="3"/>
    </row>
    <row r="12" ht="30" customHeight="1" spans="2:4" x14ac:dyDescent="0.25">
      <c r="B12" s="1">
        <v>6</v>
      </c>
      <c r="C12" s="1" t="s">
        <v>8</v>
      </c>
      <c r="D12" s="2"/>
    </row>
    <row r="13" ht="9" customHeight="1" x14ac:dyDescent="0.25"/>
    <row r="14" ht="30" customHeight="1" spans="2:4" x14ac:dyDescent="0.25">
      <c r="B14" s="5" t="s">
        <v>9</v>
      </c>
      <c r="C14" s="5" t="s">
        <v>10</v>
      </c>
      <c r="D14" s="2">
        <v>4</v>
      </c>
    </row>
    <row r="15" ht="9" customHeight="1" x14ac:dyDescent="0.25"/>
    <row r="16" ht="30" customHeight="1" spans="2:5" x14ac:dyDescent="0.25">
      <c r="B16" s="5">
        <v>7</v>
      </c>
      <c r="C16" s="6" t="s">
        <v>11</v>
      </c>
      <c r="D16" s="7">
        <v>46112</v>
      </c>
      <c r="E16" s="8" t="s">
        <v>12</v>
      </c>
    </row>
    <row r="17" ht="9" customHeight="1" spans="2:3" x14ac:dyDescent="0.25">
      <c r="B17" s="9"/>
      <c r="C17" s="9"/>
    </row>
    <row r="18" ht="30" customHeight="1" spans="2:4" x14ac:dyDescent="0.25">
      <c r="B18" s="5">
        <v>8</v>
      </c>
      <c r="C18" s="5" t="s">
        <v>13</v>
      </c>
      <c r="D18" s="10"/>
    </row>
    <row r="19" ht="9" customHeight="1" spans="2:3" x14ac:dyDescent="0.25">
      <c r="B19" s="9"/>
      <c r="C19" s="9"/>
    </row>
    <row r="20" ht="30" customHeight="1" spans="2:4" x14ac:dyDescent="0.25">
      <c r="B20" s="5">
        <v>9</v>
      </c>
      <c r="C20" s="5" t="s">
        <v>14</v>
      </c>
      <c r="D20" s="2"/>
    </row>
    <row r="21" ht="14.25" customHeight="1" spans="2:3" x14ac:dyDescent="0.25">
      <c r="B21" s="9"/>
      <c r="C21" s="9"/>
    </row>
    <row r="22" ht="30" customHeight="1" spans="2:4" x14ac:dyDescent="0.25">
      <c r="B22" s="5">
        <v>10</v>
      </c>
      <c r="C22" s="5" t="s">
        <v>15</v>
      </c>
      <c r="D22" s="2"/>
    </row>
    <row r="23" ht="15" customHeight="1" x14ac:dyDescent="0.25"/>
    <row r="24" ht="30" customHeight="1" spans="2:4" x14ac:dyDescent="0.25">
      <c r="B24" s="11">
        <v>11</v>
      </c>
      <c r="C24" s="6" t="s">
        <v>16</v>
      </c>
      <c r="D24" s="12"/>
    </row>
    <row r="25" ht="30" customHeight="1" x14ac:dyDescent="0.25"/>
    <row r="26" ht="30" customHeight="1" x14ac:dyDescent="0.25"/>
    <row r="27" ht="30" customHeight="1" x14ac:dyDescent="0.25"/>
  </sheetData>
  <hyperlinks>
    <hyperlink ref="D8" r:id="rId1"/>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1:JK91"/>
  <sheetViews>
    <sheetView workbookViewId="0" showGridLines="0" zoomScale="100" zoomScaleNormal="100">
      <pane xSplit="5" ySplit="8" topLeftCell="CJ14" activePane="bottomRight" state="frozen"/>
      <selection pane="bottomRight" activeCell="CM20" sqref="CM20"/>
    </sheetView>
  </sheetViews>
  <sheetFormatPr defaultRowHeight="15" outlineLevelRow="0" outlineLevelCol="0" x14ac:dyDescent="0"/>
  <cols>
    <col min="1" max="1" width="5" customWidth="1"/>
    <col min="2" max="2" width="10.28515625" customWidth="1"/>
    <col min="3" max="3" width="21.7109375" customWidth="1"/>
    <col min="4" max="4" width="27.5703125" customWidth="1"/>
    <col min="5" max="5" width="3.7109375" customWidth="1"/>
    <col min="6" max="6" width="9.28515625" customWidth="1"/>
    <col min="7" max="7" width="12.7109375" customWidth="1"/>
    <col min="8" max="8" width="13.42578125" customWidth="1"/>
    <col min="9" max="9" width="2" customWidth="1"/>
    <col min="10" max="10" width="9.28515625" customWidth="1"/>
    <col min="11" max="11" width="12.7109375" customWidth="1"/>
    <col min="12" max="12" width="13.42578125" customWidth="1"/>
    <col min="13" max="13" width="2" customWidth="1"/>
    <col min="14" max="14" width="9.28515625" customWidth="1"/>
    <col min="15" max="15" width="12.7109375" customWidth="1"/>
    <col min="16" max="16" width="13.42578125" customWidth="1"/>
    <col min="17" max="17" width="2" customWidth="1"/>
    <col min="18" max="18" width="9.28515625" customWidth="1"/>
    <col min="19" max="19" width="12.7109375" customWidth="1"/>
    <col min="20" max="20" width="13.42578125" customWidth="1"/>
    <col min="21" max="21" width="2" customWidth="1"/>
    <col min="22" max="22" width="8.7109375" customWidth="1"/>
    <col min="23" max="23" width="12.7109375" customWidth="1"/>
    <col min="24" max="24" width="13.42578125" customWidth="1"/>
    <col min="25" max="25" width="2" customWidth="1"/>
    <col min="26" max="26" width="8.7109375" customWidth="1"/>
    <col min="27" max="27" width="12.7109375" customWidth="1"/>
    <col min="28" max="28" width="13.42578125" customWidth="1"/>
    <col min="29" max="29" width="2" customWidth="1"/>
    <col min="30" max="30" width="8.7109375" customWidth="1"/>
    <col min="31" max="31" width="12.7109375" customWidth="1"/>
    <col min="32" max="32" width="13.42578125" customWidth="1"/>
    <col min="33" max="33" width="2" customWidth="1"/>
    <col min="34" max="34" width="9.7109375" customWidth="1"/>
    <col min="35" max="35" width="12.7109375" customWidth="1"/>
    <col min="36" max="36" width="13.42578125" customWidth="1"/>
    <col min="37" max="37" width="2" customWidth="1"/>
    <col min="38" max="38" width="8.7109375" customWidth="1"/>
    <col min="39" max="39" width="12.7109375" customWidth="1"/>
    <col min="40" max="40" width="13.42578125" customWidth="1"/>
    <col min="41" max="41" width="2" customWidth="1"/>
    <col min="43" max="43" width="12.7109375" customWidth="1"/>
    <col min="44" max="44" width="13.42578125" customWidth="1"/>
    <col min="45" max="45" width="2" customWidth="1"/>
    <col min="47" max="47" width="12.7109375" customWidth="1"/>
    <col min="48" max="48" width="13.42578125" customWidth="1"/>
    <col min="49" max="49" width="2" customWidth="1"/>
    <col min="51" max="51" width="12.7109375" customWidth="1"/>
    <col min="52" max="52" width="13.42578125" customWidth="1"/>
    <col min="53" max="53" width="2.28515625" customWidth="1"/>
    <col min="55" max="55" width="12.7109375" customWidth="1"/>
    <col min="56" max="56" width="13.42578125" customWidth="1"/>
    <col min="57" max="57" width="2.28515625" customWidth="1"/>
    <col min="58" max="58" width="10" customWidth="1"/>
    <col min="59" max="59" width="12.7109375" customWidth="1"/>
    <col min="60" max="60" width="13.42578125" customWidth="1"/>
    <col min="61" max="61" width="2.28515625" customWidth="1"/>
    <col min="62" max="62" width="8.7109375" customWidth="1"/>
    <col min="63" max="63" width="12.7109375" customWidth="1"/>
    <col min="64" max="64" width="13.42578125" customWidth="1"/>
    <col min="65" max="65" width="2.28515625" customWidth="1"/>
    <col min="66" max="66" width="10.5703125" customWidth="1"/>
    <col min="67" max="67" width="12.7109375" customWidth="1"/>
    <col min="68" max="68" width="13.42578125" customWidth="1"/>
    <col min="69" max="69" width="2" customWidth="1"/>
    <col min="70" max="70" width="10.5703125" customWidth="1"/>
    <col min="71" max="71" width="12.7109375" customWidth="1"/>
    <col min="72" max="72" width="13.42578125" customWidth="1"/>
    <col min="73" max="73" width="2" customWidth="1"/>
    <col min="74" max="74" width="10.5703125" customWidth="1"/>
    <col min="75" max="75" width="12.7109375" customWidth="1"/>
    <col min="76" max="76" width="13.42578125" customWidth="1"/>
    <col min="77" max="77" width="1.7109375" customWidth="1"/>
    <col min="78" max="78" width="11.7109375" customWidth="1"/>
    <col min="79" max="79" width="12.7109375" customWidth="1"/>
    <col min="80" max="80" width="13.42578125" customWidth="1"/>
    <col min="81" max="81" width="2" customWidth="1"/>
    <col min="82" max="82" width="14.5703125" customWidth="1"/>
    <col min="83" max="83" width="12.7109375" customWidth="1"/>
    <col min="84" max="84" width="13.42578125" customWidth="1"/>
    <col min="85" max="85" width="2" customWidth="1"/>
    <col min="86" max="86" width="11.7109375" customWidth="1"/>
    <col min="87" max="87" width="12.7109375" customWidth="1"/>
    <col min="88" max="88" width="13.42578125" customWidth="1"/>
    <col min="89" max="89" width="1.7109375" customWidth="1"/>
    <col min="90" max="90" width="8.7109375" customWidth="1"/>
    <col min="91" max="91" width="12.7109375" customWidth="1"/>
    <col min="92" max="92" width="13.5703125" customWidth="1"/>
    <col min="93" max="93" width="1.7109375" customWidth="1"/>
    <col min="94" max="94" width="8.7109375" customWidth="1"/>
    <col min="95" max="95" width="12.7109375" customWidth="1"/>
    <col min="96" max="96" width="13.5703125" customWidth="1"/>
    <col min="97" max="97" width="1.7109375" customWidth="1"/>
    <col min="98" max="98" width="8.7109375" customWidth="1"/>
    <col min="99" max="99" width="12.7109375" customWidth="1"/>
    <col min="100" max="100" width="13.5703125" customWidth="1"/>
    <col min="101" max="101" width="1.7109375" customWidth="1"/>
    <col min="102" max="102" width="9.5703125" customWidth="1"/>
    <col min="103" max="103" width="12.7109375" customWidth="1"/>
    <col min="104" max="104" width="13.5703125" customWidth="1"/>
    <col min="105" max="105" width="1.7109375" customWidth="1"/>
    <col min="106" max="106" width="8.7109375" customWidth="1"/>
    <col min="107" max="107" width="12.7109375" customWidth="1"/>
    <col min="108" max="108" width="13.5703125" customWidth="1"/>
    <col min="109" max="109" width="1.7109375" customWidth="1"/>
    <col min="110" max="110" width="8.7109375" customWidth="1"/>
    <col min="111" max="111" width="12.7109375" customWidth="1"/>
    <col min="112" max="112" width="13.5703125" customWidth="1"/>
    <col min="113" max="113" width="1.7109375" customWidth="1"/>
    <col min="114" max="114" width="8.7109375" customWidth="1"/>
    <col min="115" max="115" width="12.7109375" customWidth="1"/>
    <col min="116" max="116" width="13.5703125" customWidth="1"/>
    <col min="117" max="117" width="1.7109375" customWidth="1"/>
    <col min="118" max="118" width="8.7109375" customWidth="1"/>
    <col min="119" max="119" width="12.7109375" customWidth="1"/>
    <col min="120" max="120" width="13.5703125" customWidth="1"/>
    <col min="121" max="121" width="1.7109375" customWidth="1"/>
    <col min="122" max="122" width="8.7109375" customWidth="1"/>
    <col min="123" max="123" width="12.7109375" customWidth="1"/>
    <col min="124" max="124" width="13.5703125" customWidth="1"/>
    <col min="125" max="125" width="1.7109375" customWidth="1"/>
    <col min="126" max="126" width="8.7109375" customWidth="1"/>
    <col min="127" max="127" width="12.7109375" customWidth="1"/>
    <col min="128" max="128" width="13.5703125" customWidth="1"/>
    <col min="129" max="129" width="1.7109375" customWidth="1"/>
    <col min="130" max="130" width="8.7109375" customWidth="1"/>
    <col min="131" max="131" width="12.7109375" customWidth="1"/>
    <col min="132" max="132" width="13.5703125" customWidth="1"/>
    <col min="133" max="133" width="1.7109375" customWidth="1"/>
    <col min="134" max="134" width="8.7109375" customWidth="1"/>
    <col min="135" max="135" width="12.7109375" customWidth="1"/>
    <col min="136" max="136" width="13.5703125" customWidth="1"/>
    <col min="137" max="137" width="2" customWidth="1"/>
    <col min="138" max="138" width="8.7109375" customWidth="1"/>
    <col min="139" max="139" width="12.7109375" customWidth="1"/>
    <col min="140" max="140" width="13.42578125" customWidth="1"/>
    <col min="141" max="141" width="1.7109375" customWidth="1"/>
    <col min="142" max="142" width="8.7109375" customWidth="1"/>
    <col min="143" max="143" width="12.7109375" customWidth="1"/>
    <col min="144" max="144" width="13.42578125" customWidth="1"/>
    <col min="145" max="145" width="1.7109375" customWidth="1"/>
    <col min="146" max="146" width="8.7109375" customWidth="1"/>
    <col min="147" max="147" width="12.7109375" customWidth="1"/>
    <col min="148" max="148" width="13.42578125" customWidth="1"/>
    <col min="149" max="149" width="1.7109375" customWidth="1"/>
    <col min="150" max="150" width="8.7109375" customWidth="1"/>
    <col min="151" max="151" width="12.7109375" customWidth="1"/>
    <col min="152" max="152" width="13.42578125" customWidth="1"/>
    <col min="153" max="153" width="1.7109375" customWidth="1"/>
    <col min="154" max="154" width="8.7109375" customWidth="1"/>
    <col min="155" max="155" width="12.7109375" customWidth="1"/>
    <col min="156" max="156" width="13.42578125" customWidth="1"/>
    <col min="157" max="157" width="1.7109375" customWidth="1"/>
    <col min="158" max="158" width="8.7109375" customWidth="1"/>
    <col min="159" max="159" width="12.7109375" customWidth="1"/>
    <col min="160" max="160" width="13.42578125" customWidth="1"/>
    <col min="161" max="161" width="1.7109375" customWidth="1"/>
    <col min="162" max="162" width="8.7109375" customWidth="1"/>
    <col min="163" max="163" width="12.7109375" customWidth="1"/>
    <col min="164" max="164" width="13.42578125" customWidth="1"/>
    <col min="165" max="165" width="1.7109375" customWidth="1"/>
    <col min="166" max="166" width="8.7109375" customWidth="1"/>
    <col min="167" max="167" width="12.7109375" customWidth="1"/>
    <col min="168" max="168" width="13.42578125" customWidth="1"/>
    <col min="169" max="169" width="1.7109375" customWidth="1"/>
    <col min="170" max="170" width="8.7109375" customWidth="1"/>
    <col min="171" max="171" width="12.7109375" customWidth="1"/>
    <col min="172" max="172" width="13.42578125" customWidth="1"/>
    <col min="173" max="173" width="1.7109375" customWidth="1"/>
    <col min="174" max="174" width="8.7109375" customWidth="1"/>
    <col min="175" max="175" width="12.7109375" customWidth="1"/>
    <col min="176" max="176" width="13.42578125" customWidth="1"/>
    <col min="177" max="177" width="1.7109375" customWidth="1"/>
    <col min="178" max="178" width="9.5703125" customWidth="1"/>
    <col min="179" max="179" width="12.7109375" customWidth="1"/>
    <col min="180" max="180" width="13.42578125" customWidth="1"/>
    <col min="181" max="181" width="1.7109375" customWidth="1"/>
    <col min="182" max="182" width="8.7109375" customWidth="1"/>
    <col min="183" max="183" width="12.7109375" customWidth="1"/>
    <col min="184" max="184" width="13.42578125" customWidth="1"/>
    <col min="185" max="185" width="1.5703125" customWidth="1"/>
    <col min="186" max="186" width="8.7109375" customWidth="1"/>
    <col min="187" max="187" width="12.7109375" customWidth="1"/>
    <col min="188" max="188" width="13.42578125" customWidth="1"/>
    <col min="189" max="189" width="1.7109375" customWidth="1"/>
    <col min="190" max="190" width="8.7109375" customWidth="1"/>
    <col min="191" max="191" width="12.7109375" customWidth="1"/>
    <col min="192" max="192" width="13.42578125" customWidth="1"/>
    <col min="193" max="193" width="1.7109375" customWidth="1"/>
    <col min="194" max="194" width="8.7109375" customWidth="1"/>
    <col min="195" max="195" width="12.7109375" customWidth="1"/>
    <col min="196" max="196" width="13.42578125" customWidth="1"/>
    <col min="197" max="197" width="1.7109375" customWidth="1"/>
    <col min="198" max="198" width="8.7109375" customWidth="1"/>
    <col min="199" max="199" width="12.7109375" customWidth="1"/>
    <col min="200" max="200" width="13.42578125" customWidth="1"/>
    <col min="201" max="201" width="1.7109375" customWidth="1"/>
    <col min="202" max="202" width="8.7109375" customWidth="1"/>
    <col min="203" max="203" width="12.7109375" customWidth="1"/>
    <col min="204" max="204" width="13.42578125" customWidth="1"/>
    <col min="205" max="205" width="1.7109375" customWidth="1"/>
    <col min="206" max="206" width="8.7109375" customWidth="1"/>
    <col min="207" max="207" width="12.7109375" customWidth="1"/>
    <col min="208" max="208" width="13.42578125" customWidth="1"/>
    <col min="209" max="209" width="1.7109375" customWidth="1"/>
    <col min="210" max="210" width="8.7109375" customWidth="1"/>
    <col min="211" max="211" width="12.7109375" customWidth="1"/>
    <col min="212" max="212" width="13.42578125" customWidth="1"/>
    <col min="213" max="213" width="1.7109375" customWidth="1"/>
    <col min="214" max="214" width="8.7109375" customWidth="1"/>
    <col min="215" max="215" width="12.7109375" customWidth="1"/>
    <col min="216" max="216" width="13.42578125" customWidth="1"/>
    <col min="217" max="217" width="1.7109375" customWidth="1"/>
    <col min="218" max="218" width="8.7109375" customWidth="1"/>
    <col min="219" max="219" width="12.7109375" customWidth="1"/>
    <col min="220" max="220" width="13.42578125" customWidth="1"/>
    <col min="221" max="221" width="1.7109375" customWidth="1"/>
    <col min="222" max="222" width="8.7109375" customWidth="1"/>
    <col min="223" max="223" width="12.7109375" customWidth="1"/>
    <col min="224" max="224" width="13.42578125" customWidth="1"/>
    <col min="225" max="225" width="1.7109375" customWidth="1"/>
    <col min="226" max="226" width="8.7109375" customWidth="1"/>
    <col min="227" max="227" width="12.7109375" customWidth="1"/>
    <col min="228" max="228" width="13.42578125" customWidth="1"/>
    <col min="229" max="229" width="1.7109375" customWidth="1"/>
    <col min="230" max="230" width="8.7109375" customWidth="1"/>
    <col min="231" max="231" width="12.7109375" customWidth="1"/>
    <col min="232" max="232" width="13.42578125" customWidth="1"/>
    <col min="233" max="233" width="1.7109375" customWidth="1"/>
    <col min="234" max="234" width="8.7109375" customWidth="1"/>
    <col min="235" max="235" width="12.7109375" customWidth="1"/>
    <col min="236" max="236" width="13.42578125" customWidth="1"/>
    <col min="237" max="237" width="1.7109375" customWidth="1"/>
    <col min="238" max="238" width="8.7109375" customWidth="1"/>
    <col min="239" max="239" width="12.7109375" customWidth="1"/>
    <col min="240" max="240" width="13.42578125" customWidth="1"/>
    <col min="241" max="241" width="1.7109375" customWidth="1"/>
    <col min="242" max="242" width="9.5703125" customWidth="1"/>
    <col min="243" max="243" width="12.7109375" customWidth="1"/>
    <col min="244" max="244" width="13.42578125" customWidth="1"/>
    <col min="245" max="245" width="1.7109375" customWidth="1"/>
    <col min="246" max="246" width="11.28515625" customWidth="1"/>
    <col min="248" max="248" width="14" customWidth="1"/>
    <col min="249" max="249" width="2.7109375" customWidth="1"/>
    <col min="250" max="250" width="11.28515625" customWidth="1"/>
    <col min="252" max="252" width="13" customWidth="1"/>
    <col min="253" max="253" width="2.7109375" customWidth="1"/>
    <col min="254" max="254" width="11.28515625" customWidth="1"/>
    <col min="256" max="256" width="15.7109375" customWidth="1"/>
    <col min="257" max="257" width="2.7109375" customWidth="1"/>
    <col min="258" max="258" width="13" customWidth="1"/>
    <col min="260" max="260" width="15.7109375" customWidth="1"/>
    <col min="261" max="261" width="2.7109375" customWidth="1"/>
    <col min="262" max="262" width="13" customWidth="1"/>
    <col min="264" max="264" width="15.7109375" customWidth="1"/>
    <col min="265" max="265" width="2.7109375" customWidth="1"/>
    <col min="266" max="266" width="14" customWidth="1"/>
    <col min="268" max="268" width="15.7109375" customWidth="1"/>
    <col min="269" max="269" width="2.7109375" customWidth="1"/>
  </cols>
  <sheetData>
    <row r="1" ht="15" customHeight="1" spans="102:102" x14ac:dyDescent="0.25">
      <c r="CX1" s="54"/>
    </row>
    <row r="2" ht="18.75" customHeight="1" spans="2:41" x14ac:dyDescent="0.25">
      <c r="B2" s="9" t="s">
        <v>201</v>
      </c>
      <c r="C2" s="17" t="s">
        <v>202</v>
      </c>
      <c r="G2" s="54"/>
      <c r="H2" s="54"/>
      <c r="I2" s="54"/>
      <c r="K2" s="54"/>
      <c r="L2" s="54"/>
      <c r="M2" s="54"/>
      <c r="O2" s="54"/>
      <c r="P2" s="54"/>
      <c r="Q2" s="54"/>
      <c r="S2" s="54"/>
      <c r="T2" s="54"/>
      <c r="U2" s="54"/>
      <c r="W2" s="54"/>
      <c r="X2" s="54"/>
      <c r="Y2" s="54"/>
      <c r="AA2" s="54"/>
      <c r="AB2" s="54"/>
      <c r="AC2" s="54"/>
      <c r="AE2" s="54"/>
      <c r="AF2" s="54"/>
      <c r="AG2" s="54"/>
      <c r="AH2" s="60"/>
      <c r="AI2" s="54"/>
      <c r="AJ2" s="54"/>
      <c r="AK2" s="54"/>
      <c r="AM2" s="54"/>
      <c r="AN2" s="54"/>
      <c r="AO2" s="54"/>
    </row>
    <row r="3" ht="18.75" customHeight="1" spans="2:244" x14ac:dyDescent="0.25">
      <c r="B3" s="9"/>
      <c r="C3" s="17"/>
      <c r="F3" s="54" t="str">
        <f>H3</f>
        <v>2026-27</v>
      </c>
      <c r="G3" s="54"/>
      <c r="H3" s="54" t="str">
        <f>IF(MONTH(F5)&lt;=3,TEXT(F5,"yyyy")-1 &amp; "-" &amp; TEXT(F5,"yy"),IF(MONTH(F5)&gt;3,TEXT(F5,"yyyy") &amp; "-" &amp; TEXT(F5,"yy")+1))</f>
        <v>2026-27</v>
      </c>
      <c r="I3" s="54"/>
      <c r="J3" s="54" t="str">
        <f>L3</f>
        <v>2026-27</v>
      </c>
      <c r="K3" s="54"/>
      <c r="L3" s="54" t="str">
        <f>IF(MONTH(J5)&lt;=3,TEXT(J5,"yyyy")-1 &amp; "-" &amp; TEXT(J5,"yy"),IF(MONTH(J5)&gt;3,TEXT(J5,"yyyy") &amp; "-" &amp; TEXT(J5,"yy")+1))</f>
        <v>2026-27</v>
      </c>
      <c r="M3" s="54"/>
      <c r="N3" s="54" t="str">
        <f>P3</f>
        <v>2026-27</v>
      </c>
      <c r="O3" s="54"/>
      <c r="P3" s="54" t="str">
        <f>IF(MONTH(N5)&lt;=3,TEXT(N5,"yyyy")-1 &amp; "-" &amp; TEXT(N5,"yy"),IF(MONTH(N5)&gt;3,TEXT(N5,"yyyy") &amp; "-" &amp; TEXT(N5,"yy")+1))</f>
        <v>2026-27</v>
      </c>
      <c r="Q3" s="54"/>
      <c r="R3" s="54" t="str">
        <f>T3</f>
        <v>2026-27</v>
      </c>
      <c r="S3" s="54"/>
      <c r="T3" s="54" t="str">
        <f>IF(MONTH(R5)&lt;=3,TEXT(R5,"yyyy")-1 &amp; "-" &amp; TEXT(R5,"yy"),IF(MONTH(R5)&gt;3,TEXT(R5,"yyyy") &amp; "-" &amp; TEXT(R5,"yy")+1))</f>
        <v>2026-27</v>
      </c>
      <c r="U3" s="54"/>
      <c r="V3" s="54" t="str">
        <f>X3</f>
        <v>2026-27</v>
      </c>
      <c r="W3" s="54"/>
      <c r="X3" s="54" t="str">
        <f>IF(MONTH(V5)&lt;=3,TEXT(V5,"yyyy")-1 &amp; "-" &amp; TEXT(V5,"yy"),IF(MONTH(V5)&gt;3,TEXT(V5,"yyyy") &amp; "-" &amp; TEXT(V5,"yy")+1))</f>
        <v>2026-27</v>
      </c>
      <c r="Y3" s="54"/>
      <c r="Z3" s="54" t="str">
        <f>AB3</f>
        <v>2026-27</v>
      </c>
      <c r="AA3" s="54"/>
      <c r="AB3" s="54" t="str">
        <f>IF(MONTH(Z5)&lt;=3,TEXT(Z5,"yyyy")-1 &amp; "-" &amp; TEXT(Z5,"yy"),IF(MONTH(Z5)&gt;3,TEXT(Z5,"yyyy") &amp; "-" &amp; TEXT(Z5,"yy")+1))</f>
        <v>2026-27</v>
      </c>
      <c r="AC3" s="54"/>
      <c r="AD3" s="54" t="str">
        <f>AF3</f>
        <v>2026-27</v>
      </c>
      <c r="AE3" s="54"/>
      <c r="AF3" s="54" t="str">
        <f>IF(MONTH(AD5)&lt;=3,TEXT(AD5,"yyyy")-1 &amp; "-" &amp; TEXT(AD5,"yy"),IF(MONTH(AD5)&gt;3,TEXT(AD5,"yyyy") &amp; "-" &amp; TEXT(AD5,"yy")+1))</f>
        <v>2026-27</v>
      </c>
      <c r="AG3" s="54"/>
      <c r="AH3" s="54" t="str">
        <f>AJ3</f>
        <v>2026-27</v>
      </c>
      <c r="AI3" s="54"/>
      <c r="AJ3" s="54" t="str">
        <f>IF(MONTH(AH5)&lt;=3,TEXT(AH5,"yyyy")-1 &amp; "-" &amp; TEXT(AH5,"yy"),IF(MONTH(AH5)&gt;3,TEXT(AH5,"yyyy") &amp; "-" &amp; TEXT(AH5,"yy")+1))</f>
        <v>2026-27</v>
      </c>
      <c r="AK3" s="54"/>
      <c r="AL3" s="54" t="str">
        <f>AN3</f>
        <v>2026-27</v>
      </c>
      <c r="AM3" s="54"/>
      <c r="AN3" s="54" t="str">
        <f>IF(MONTH(AL5)&lt;=3,TEXT(AL5,"yyyy")-1 &amp; "-" &amp; TEXT(AL5,"yy"),IF(MONTH(AL5)&gt;3,TEXT(AL5,"yyyy") &amp; "-" &amp; TEXT(AL5,"yy")+1))</f>
        <v>2026-27</v>
      </c>
      <c r="AO3" s="54"/>
      <c r="AP3" s="54" t="str">
        <f>AR3</f>
        <v>2026-27</v>
      </c>
      <c r="AQ3" s="61"/>
      <c r="AR3" s="54" t="str">
        <f>IF(MONTH(AP5)&lt;=3,TEXT(AP5,"yyyy")-1 &amp; "-" &amp; TEXT(AP5,"yy"),IF(MONTH(AP5)&gt;3,TEXT(AP5,"yyyy") &amp; "-" &amp; TEXT(AP5,"yy")+1))</f>
        <v>2026-27</v>
      </c>
      <c r="AT3" s="54" t="str">
        <f>AV3</f>
        <v>2026-27</v>
      </c>
      <c r="AU3" s="61"/>
      <c r="AV3" s="54" t="str">
        <f>IF(MONTH(AT5)&lt;=3,TEXT(AT5,"yyyy")-1 &amp; "-" &amp; TEXT(AT5,"yy"),IF(MONTH(AT5)&gt;3,TEXT(AT5,"yyyy") &amp; "-" &amp; TEXT(AT5,"yy")+1))</f>
        <v>2026-27</v>
      </c>
      <c r="AX3" s="54" t="str">
        <f>AZ3</f>
        <v>2026-27</v>
      </c>
      <c r="AY3" s="61"/>
      <c r="AZ3" s="54" t="str">
        <f>IF(MONTH(AX5)&lt;=3,TEXT(AX5,"yyyy")-1 &amp; "-" &amp; TEXT(AX5,"yy"),IF(MONTH(AX5)&gt;3,TEXT(AX5,"yyyy") &amp; "-" &amp; TEXT(AX5,"yy")+1))</f>
        <v>2026-27</v>
      </c>
      <c r="BB3" s="54" t="str">
        <f>BD3</f>
        <v>2027-28</v>
      </c>
      <c r="BC3" s="61"/>
      <c r="BD3" s="54" t="str">
        <f>IF(MONTH(BB5)&lt;=3,TEXT(BB5,"yyyy")-1 &amp; "-" &amp; TEXT(BB5,"yy"),IF(MONTH(BB5)&gt;3,TEXT(BB5,"yyyy") &amp; "-" &amp; TEXT(BB5,"yy")+1))</f>
        <v>2027-28</v>
      </c>
      <c r="BF3" s="54" t="str">
        <f>BH3</f>
        <v>2027-28</v>
      </c>
      <c r="BH3" s="54" t="str">
        <f>IF(MONTH(BF5)&lt;=3,TEXT(BF5,"yyyy")-1 &amp; "-" &amp; TEXT(BF5,"yy"),IF(MONTH(BF5)&gt;3,TEXT(BF5,"yyyy") &amp; "-" &amp; TEXT(BF5,"yy")+1))</f>
        <v>2027-28</v>
      </c>
      <c r="BJ3" s="54" t="str">
        <f>BL3</f>
        <v>2027-28</v>
      </c>
      <c r="BL3" s="54" t="str">
        <f>IF(MONTH(BJ5)&lt;=3,TEXT(BJ5,"yyyy")-1 &amp; "-" &amp; TEXT(BJ5,"yy"),IF(MONTH(BJ5)&gt;3,TEXT(BJ5,"yyyy") &amp; "-" &amp; TEXT(BJ5,"yy")+1))</f>
        <v>2027-28</v>
      </c>
      <c r="BN3" s="54" t="str">
        <f>BP3</f>
        <v>2027-28</v>
      </c>
      <c r="BP3" s="54" t="str">
        <f>IF(MONTH(BN5)&lt;=3,TEXT(BN5,"yyyy")-1 &amp; "-" &amp; TEXT(BN5,"yy"),IF(MONTH(BN5)&gt;3,TEXT(BN5,"yyyy") &amp; "-" &amp; TEXT(BN5,"yy")+1))</f>
        <v>2027-28</v>
      </c>
      <c r="BR3" s="54" t="str">
        <f>BT3</f>
        <v>2027-28</v>
      </c>
      <c r="BT3" s="54" t="str">
        <f>IF(MONTH(BR5)&lt;=3,TEXT(BR5,"yyyy")-1 &amp; "-" &amp; TEXT(BR5,"yy"),IF(MONTH(BR5)&gt;3,TEXT(BR5,"yyyy") &amp; "-" &amp; TEXT(BR5,"yy")+1))</f>
        <v>2027-28</v>
      </c>
      <c r="BV3" s="54" t="str">
        <f>BX3</f>
        <v>2027-28</v>
      </c>
      <c r="BX3" s="54" t="str">
        <f>IF(MONTH(BV5)&lt;=3,TEXT(BV5,"yyyy")-1 &amp; "-" &amp; TEXT(BV5,"yy"),IF(MONTH(BV5)&gt;3,TEXT(BV5,"yyyy") &amp; "-" &amp; TEXT(BV5,"yy")+1))</f>
        <v>2027-28</v>
      </c>
      <c r="BZ3" s="54" t="str">
        <f>CB3</f>
        <v>2027-28</v>
      </c>
      <c r="CB3" s="54" t="str">
        <f>IF(MONTH(BZ5)&lt;=3,TEXT(BZ5,"yyyy")-1 &amp; "-" &amp; TEXT(BZ5,"yy"),IF(MONTH(BZ5)&gt;3,TEXT(BZ5,"yyyy") &amp; "-" &amp; TEXT(BZ5,"yy")+1))</f>
        <v>2027-28</v>
      </c>
      <c r="CD3" s="54" t="str">
        <f>CF3</f>
        <v>2027-28</v>
      </c>
      <c r="CF3" s="54" t="str">
        <f>IF(MONTH(CD5)&lt;=3,TEXT(CD5,"yyyy")-1 &amp; "-" &amp; TEXT(CD5,"yy"),IF(MONTH(CD5)&gt;3,TEXT(CD5,"yyyy") &amp; "-" &amp; TEXT(CD5,"yy")+1))</f>
        <v>2027-28</v>
      </c>
      <c r="CH3" s="54" t="str">
        <f>CJ3</f>
        <v>2027-28</v>
      </c>
      <c r="CJ3" s="54" t="str">
        <f>IF(MONTH(CH5)&lt;=3,TEXT(CH5,"yyyy")-1 &amp; "-" &amp; TEXT(CH5,"yy"),IF(MONTH(CH5)&gt;3,TEXT(CH5,"yyyy") &amp; "-" &amp; TEXT(CH5,"yy")+1))</f>
        <v>2027-28</v>
      </c>
      <c r="CL3" s="54" t="str">
        <f>CN3</f>
        <v>2027-28</v>
      </c>
      <c r="CN3" s="54" t="str">
        <f>IF(MONTH(CL5)&lt;=3,TEXT(CL5,"yyyy")-1 &amp; "-" &amp; TEXT(CL5,"yy"),IF(MONTH(CL5)&gt;3,TEXT(CL5,"yyyy") &amp; "-" &amp; TEXT(CL5,"yy")+1))</f>
        <v>2027-28</v>
      </c>
      <c r="CP3" s="54" t="str">
        <f>CR3</f>
        <v>2027-28</v>
      </c>
      <c r="CR3" s="54" t="str">
        <f>IF(MONTH(CP5)&lt;=3,TEXT(CP5,"yyyy")-1 &amp; "-" &amp; TEXT(CP5,"yy"),IF(MONTH(CP5)&gt;3,TEXT(CP5,"yyyy") &amp; "-" &amp; TEXT(CP5,"yy")+1))</f>
        <v>2027-28</v>
      </c>
      <c r="CT3" s="54" t="str">
        <f>CV3</f>
        <v>2027-28</v>
      </c>
      <c r="CV3" s="54" t="str">
        <f>IF(MONTH(CT5)&lt;=3,TEXT(CT5,"yyyy")-1 &amp; "-" &amp; TEXT(CT5,"yy"),IF(MONTH(CT5)&gt;3,TEXT(CT5,"yyyy") &amp; "-" &amp; TEXT(CT5,"yy")+1))</f>
        <v>2027-28</v>
      </c>
      <c r="CX3" s="54" t="str">
        <f>CZ3</f>
        <v>2028-29</v>
      </c>
      <c r="CZ3" s="54" t="str">
        <f>IF(MONTH(CX5)&lt;=3,TEXT(CX5,"yyyy")-1 &amp; "-" &amp; TEXT(CX5,"yy"),IF(MONTH(CX5)&gt;3,TEXT(CX5,"yyyy") &amp; "-" &amp; TEXT(CX5,"yy")+1))</f>
        <v>2028-29</v>
      </c>
      <c r="DB3" s="54" t="str">
        <f>DD3</f>
        <v>2028-29</v>
      </c>
      <c r="DD3" s="54" t="str">
        <f>IF(MONTH(DB5)&lt;=3,TEXT(DB5,"yyyy")-1 &amp; "-" &amp; TEXT(DB5,"yy"),IF(MONTH(DB5)&gt;3,TEXT(DB5,"yyyy") &amp; "-" &amp; TEXT(DB5,"yy")+1))</f>
        <v>2028-29</v>
      </c>
      <c r="DF3" s="54" t="str">
        <f>DH3</f>
        <v>2028-29</v>
      </c>
      <c r="DH3" s="54" t="str">
        <f>IF(MONTH(DF5)&lt;=3,TEXT(DF5,"yyyy")-1 &amp; "-" &amp; TEXT(DF5,"yy"),IF(MONTH(DF5)&gt;3,TEXT(DF5,"yyyy") &amp; "-" &amp; TEXT(DF5,"yy")+1))</f>
        <v>2028-29</v>
      </c>
      <c r="DJ3" s="54" t="str">
        <f>DL3</f>
        <v>2028-29</v>
      </c>
      <c r="DL3" s="54" t="str">
        <f>IF(MONTH(DJ5)&lt;=3,TEXT(DJ5,"yyyy")-1 &amp; "-" &amp; TEXT(DJ5,"yy"),IF(MONTH(DJ5)&gt;3,TEXT(DJ5,"yyyy") &amp; "-" &amp; TEXT(DJ5,"yy")+1))</f>
        <v>2028-29</v>
      </c>
      <c r="DN3" s="54" t="str">
        <f>DP3</f>
        <v>2028-29</v>
      </c>
      <c r="DP3" s="54" t="str">
        <f>IF(MONTH(DN5)&lt;=3,TEXT(DN5,"yyyy")-1 &amp; "-" &amp; TEXT(DN5,"yy"),IF(MONTH(DN5)&gt;3,TEXT(DN5,"yyyy") &amp; "-" &amp; TEXT(DN5,"yy")+1))</f>
        <v>2028-29</v>
      </c>
      <c r="DR3" s="54" t="str">
        <f>DT3</f>
        <v>2028-29</v>
      </c>
      <c r="DT3" s="54" t="str">
        <f>IF(MONTH(DR5)&lt;=3,TEXT(DR5,"yyyy")-1 &amp; "-" &amp; TEXT(DR5,"yy"),IF(MONTH(DR5)&gt;3,TEXT(DR5,"yyyy") &amp; "-" &amp; TEXT(DR5,"yy")+1))</f>
        <v>2028-29</v>
      </c>
      <c r="DV3" s="54" t="str">
        <f>DX3</f>
        <v>2028-29</v>
      </c>
      <c r="DX3" s="54" t="str">
        <f>IF(MONTH(DV5)&lt;=3,TEXT(DV5,"yyyy")-1 &amp; "-" &amp; TEXT(DV5,"yy"),IF(MONTH(DV5)&gt;3,TEXT(DV5,"yyyy") &amp; "-" &amp; TEXT(DV5,"yy")+1))</f>
        <v>2028-29</v>
      </c>
      <c r="DZ3" s="54" t="str">
        <f>EB3</f>
        <v>2028-29</v>
      </c>
      <c r="EB3" s="54" t="str">
        <f>IF(MONTH(DZ5)&lt;=3,TEXT(DZ5,"yyyy")-1 &amp; "-" &amp; TEXT(DZ5,"yy"),IF(MONTH(DZ5)&gt;3,TEXT(DZ5,"yyyy") &amp; "-" &amp; TEXT(DZ5,"yy")+1))</f>
        <v>2028-29</v>
      </c>
      <c r="ED3" s="54" t="str">
        <f>EF3</f>
        <v>2028-29</v>
      </c>
      <c r="EF3" s="54" t="str">
        <f>IF(MONTH(ED5)&lt;=3,TEXT(ED5,"yyyy")-1 &amp; "-" &amp; TEXT(ED5,"yy"),IF(MONTH(ED5)&gt;3,TEXT(ED5,"yyyy") &amp; "-" &amp; TEXT(ED5,"yy")+1))</f>
        <v>2028-29</v>
      </c>
      <c r="EH3" s="54" t="str">
        <f>EJ3</f>
        <v>2028-29</v>
      </c>
      <c r="EJ3" s="54" t="str">
        <f>IF(MONTH(EH5)&lt;=3,TEXT(EH5,"yyyy")-1 &amp; "-" &amp; TEXT(EH5,"yy"),IF(MONTH(EH5)&gt;3,TEXT(EH5,"yyyy") &amp; "-" &amp; TEXT(EH5,"yy")+1))</f>
        <v>2028-29</v>
      </c>
      <c r="EL3" s="54" t="str">
        <f>EN3</f>
        <v>2028-29</v>
      </c>
      <c r="EN3" s="54" t="str">
        <f>IF(MONTH(EL5)&lt;=3,TEXT(EL5,"yyyy")-1 &amp; "-" &amp; TEXT(EL5,"yy"),IF(MONTH(EL5)&gt;3,TEXT(EL5,"yyyy") &amp; "-" &amp; TEXT(EL5,"yy")+1))</f>
        <v>2028-29</v>
      </c>
      <c r="EP3" s="54" t="str">
        <f>ER3</f>
        <v>2028-29</v>
      </c>
      <c r="ER3" s="54" t="str">
        <f>IF(MONTH(EP5)&lt;=3,TEXT(EP5,"yyyy")-1 &amp; "-" &amp; TEXT(EP5,"yy"),IF(MONTH(EP5)&gt;3,TEXT(EP5,"yyyy") &amp; "-" &amp; TEXT(EP5,"yy")+1))</f>
        <v>2028-29</v>
      </c>
      <c r="ET3" s="54" t="str">
        <f>EV3</f>
        <v>2029-30</v>
      </c>
      <c r="EV3" s="54" t="str">
        <f>IF(MONTH(ET5)&lt;=3,TEXT(ET5,"yyyy")-1 &amp; "-" &amp; TEXT(ET5,"yy"),IF(MONTH(ET5)&gt;3,TEXT(ET5,"yyyy") &amp; "-" &amp; TEXT(ET5,"yy")+1))</f>
        <v>2029-30</v>
      </c>
      <c r="EX3" s="54" t="str">
        <f>EZ3</f>
        <v>2029-30</v>
      </c>
      <c r="EZ3" s="54" t="str">
        <f>IF(MONTH(EX5)&lt;=3,TEXT(EX5,"yyyy")-1 &amp; "-" &amp; TEXT(EX5,"yy"),IF(MONTH(EX5)&gt;3,TEXT(EX5,"yyyy") &amp; "-" &amp; TEXT(EX5,"yy")+1))</f>
        <v>2029-30</v>
      </c>
      <c r="FB3" s="54" t="str">
        <f>FD3</f>
        <v>2029-30</v>
      </c>
      <c r="FD3" s="54" t="str">
        <f>IF(MONTH(FB5)&lt;=3,TEXT(FB5,"yyyy")-1 &amp; "-" &amp; TEXT(FB5,"yy"),IF(MONTH(FB5)&gt;3,TEXT(FB5,"yyyy") &amp; "-" &amp; TEXT(FB5,"yy")+1))</f>
        <v>2029-30</v>
      </c>
      <c r="FF3" s="54" t="str">
        <f>FH3</f>
        <v>2029-30</v>
      </c>
      <c r="FH3" s="54" t="str">
        <f>IF(MONTH(FF5)&lt;=3,TEXT(FF5,"yyyy")-1 &amp; "-" &amp; TEXT(FF5,"yy"),IF(MONTH(FF5)&gt;3,TEXT(FF5,"yyyy") &amp; "-" &amp; TEXT(FF5,"yy")+1))</f>
        <v>2029-30</v>
      </c>
      <c r="FJ3" s="54" t="str">
        <f>FL3</f>
        <v>2029-30</v>
      </c>
      <c r="FL3" s="54" t="str">
        <f>IF(MONTH(FJ5)&lt;=3,TEXT(FJ5,"yyyy")-1 &amp; "-" &amp; TEXT(FJ5,"yy"),IF(MONTH(FJ5)&gt;3,TEXT(FJ5,"yyyy") &amp; "-" &amp; TEXT(FJ5,"yy")+1))</f>
        <v>2029-30</v>
      </c>
      <c r="FN3" s="54" t="str">
        <f>FP3</f>
        <v>2029-30</v>
      </c>
      <c r="FP3" s="54" t="str">
        <f>IF(MONTH(FN5)&lt;=3,TEXT(FN5,"yyyy")-1 &amp; "-" &amp; TEXT(FN5,"yy"),IF(MONTH(FN5)&gt;3,TEXT(FN5,"yyyy") &amp; "-" &amp; TEXT(FN5,"yy")+1))</f>
        <v>2029-30</v>
      </c>
      <c r="FR3" s="54" t="str">
        <f>FT3</f>
        <v>2029-30</v>
      </c>
      <c r="FT3" s="54" t="str">
        <f>IF(MONTH(FR5)&lt;=3,TEXT(FR5,"yyyy")-1 &amp; "-" &amp; TEXT(FR5,"yy"),IF(MONTH(FR5)&gt;3,TEXT(FR5,"yyyy") &amp; "-" &amp; TEXT(FR5,"yy")+1))</f>
        <v>2029-30</v>
      </c>
      <c r="FV3" s="54" t="str">
        <f>FX3</f>
        <v>2029-30</v>
      </c>
      <c r="FX3" s="54" t="str">
        <f>IF(MONTH(FV5)&lt;=3,TEXT(FV5,"yyyy")-1 &amp; "-" &amp; TEXT(FV5,"yy"),IF(MONTH(FV5)&gt;3,TEXT(FV5,"yyyy") &amp; "-" &amp; TEXT(FV5,"yy")+1))</f>
        <v>2029-30</v>
      </c>
      <c r="FZ3" s="54" t="str">
        <f>GB3</f>
        <v>2029-30</v>
      </c>
      <c r="GB3" s="54" t="str">
        <f>IF(MONTH(FZ5)&lt;=3,TEXT(FZ5,"yyyy")-1 &amp; "-" &amp; TEXT(FZ5,"yy"),IF(MONTH(FZ5)&gt;3,TEXT(FZ5,"yyyy") &amp; "-" &amp; TEXT(FZ5,"yy")+1))</f>
        <v>2029-30</v>
      </c>
      <c r="GD3" s="54" t="str">
        <f>GF3</f>
        <v>2029-30</v>
      </c>
      <c r="GF3" s="54" t="str">
        <f>IF(MONTH(GD5)&lt;=3,TEXT(GD5,"yyyy")-1 &amp; "-" &amp; TEXT(GD5,"yy"),IF(MONTH(GD5)&gt;3,TEXT(GD5,"yyyy") &amp; "-" &amp; TEXT(GD5,"yy")+1))</f>
        <v>2029-30</v>
      </c>
      <c r="GH3" s="54" t="str">
        <f>GJ3</f>
        <v>2029-30</v>
      </c>
      <c r="GJ3" s="54" t="str">
        <f>IF(MONTH(GH5)&lt;=3,TEXT(GH5,"yyyy")-1 &amp; "-" &amp; TEXT(GH5,"yy"),IF(MONTH(GH5)&gt;3,TEXT(GH5,"yyyy") &amp; "-" &amp; TEXT(GH5,"yy")+1))</f>
        <v>2029-30</v>
      </c>
      <c r="GL3" s="54" t="str">
        <f>GN3</f>
        <v>2029-30</v>
      </c>
      <c r="GN3" s="54" t="str">
        <f>IF(MONTH(GL5)&lt;=3,TEXT(GL5,"yyyy")-1 &amp; "-" &amp; TEXT(GL5,"yy"),IF(MONTH(GL5)&gt;3,TEXT(GL5,"yyyy") &amp; "-" &amp; TEXT(GL5,"yy")+1))</f>
        <v>2029-30</v>
      </c>
      <c r="GP3" s="54" t="str">
        <f>GR3</f>
        <v>2030-31</v>
      </c>
      <c r="GR3" s="54" t="str">
        <f>IF(MONTH(GP5)&lt;=3,TEXT(GP5,"yyyy")-1 &amp; "-" &amp; TEXT(GP5,"yy"),IF(MONTH(GP5)&gt;3,TEXT(GP5,"yyyy") &amp; "-" &amp; TEXT(GP5,"yy")+1))</f>
        <v>2030-31</v>
      </c>
      <c r="GT3" s="54" t="str">
        <f>GV3</f>
        <v>2030-31</v>
      </c>
      <c r="GV3" s="54" t="str">
        <f>IF(MONTH(GT5)&lt;=3,TEXT(GT5,"yyyy")-1 &amp; "-" &amp; TEXT(GT5,"yy"),IF(MONTH(GT5)&gt;3,TEXT(GT5,"yyyy") &amp; "-" &amp; TEXT(GT5,"yy")+1))</f>
        <v>2030-31</v>
      </c>
      <c r="GX3" s="54" t="str">
        <f>GZ3</f>
        <v>2030-31</v>
      </c>
      <c r="GZ3" s="54" t="str">
        <f>IF(MONTH(GX5)&lt;=3,TEXT(GX5,"yyyy")-1 &amp; "-" &amp; TEXT(GX5,"yy"),IF(MONTH(GX5)&gt;3,TEXT(GX5,"yyyy") &amp; "-" &amp; TEXT(GX5,"yy")+1))</f>
        <v>2030-31</v>
      </c>
      <c r="HB3" s="54" t="str">
        <f>HD3</f>
        <v>2030-31</v>
      </c>
      <c r="HD3" s="54" t="str">
        <f>IF(MONTH(HB5)&lt;=3,TEXT(HB5,"yyyy")-1 &amp; "-" &amp; TEXT(HB5,"yy"),IF(MONTH(HB5)&gt;3,TEXT(HB5,"yyyy") &amp; "-" &amp; TEXT(HB5,"yy")+1))</f>
        <v>2030-31</v>
      </c>
      <c r="HF3" s="54" t="str">
        <f>HH3</f>
        <v>2030-31</v>
      </c>
      <c r="HH3" s="54" t="str">
        <f>IF(MONTH(HF5)&lt;=3,TEXT(HF5,"yyyy")-1 &amp; "-" &amp; TEXT(HF5,"yy"),IF(MONTH(HF5)&gt;3,TEXT(HF5,"yyyy") &amp; "-" &amp; TEXT(HF5,"yy")+1))</f>
        <v>2030-31</v>
      </c>
      <c r="HJ3" s="54" t="str">
        <f>HL3</f>
        <v>2030-31</v>
      </c>
      <c r="HL3" s="54" t="str">
        <f>IF(MONTH(HJ5)&lt;=3,TEXT(HJ5,"yyyy")-1 &amp; "-" &amp; TEXT(HJ5,"yy"),IF(MONTH(HJ5)&gt;3,TEXT(HJ5,"yyyy") &amp; "-" &amp; TEXT(HJ5,"yy")+1))</f>
        <v>2030-31</v>
      </c>
      <c r="HN3" s="54" t="str">
        <f>HP3</f>
        <v>2030-31</v>
      </c>
      <c r="HP3" s="54" t="str">
        <f>IF(MONTH(HN5)&lt;=3,TEXT(HN5,"yyyy")-1 &amp; "-" &amp; TEXT(HN5,"yy"),IF(MONTH(HN5)&gt;3,TEXT(HN5,"yyyy") &amp; "-" &amp; TEXT(HN5,"yy")+1))</f>
        <v>2030-31</v>
      </c>
      <c r="HR3" s="54" t="str">
        <f>HT3</f>
        <v>2030-31</v>
      </c>
      <c r="HT3" s="54" t="str">
        <f>IF(MONTH(HR5)&lt;=3,TEXT(HR5,"yyyy")-1 &amp; "-" &amp; TEXT(HR5,"yy"),IF(MONTH(HR5)&gt;3,TEXT(HR5,"yyyy") &amp; "-" &amp; TEXT(HR5,"yy")+1))</f>
        <v>2030-31</v>
      </c>
      <c r="HV3" s="54" t="str">
        <f>HX3</f>
        <v>2030-31</v>
      </c>
      <c r="HX3" s="54" t="str">
        <f>IF(MONTH(HV5)&lt;=3,TEXT(HV5,"yyyy")-1 &amp; "-" &amp; TEXT(HV5,"yy"),IF(MONTH(HV5)&gt;3,TEXT(HV5,"yyyy") &amp; "-" &amp; TEXT(HV5,"yy")+1))</f>
        <v>2030-31</v>
      </c>
      <c r="HZ3" s="54" t="str">
        <f>IB3</f>
        <v>2030-31</v>
      </c>
      <c r="IB3" s="54" t="str">
        <f>IF(MONTH(HZ5)&lt;=3,TEXT(HZ5,"yyyy")-1 &amp; "-" &amp; TEXT(HZ5,"yy"),IF(MONTH(HZ5)&gt;3,TEXT(HZ5,"yyyy") &amp; "-" &amp; TEXT(HZ5,"yy")+1))</f>
        <v>2030-31</v>
      </c>
      <c r="ID3" s="54" t="str">
        <f>IF3</f>
        <v>2030-31</v>
      </c>
      <c r="IF3" s="54" t="str">
        <f>IF(MONTH(ID5)&lt;=3,TEXT(ID5,"yyyy")-1 &amp; "-" &amp; TEXT(ID5,"yy"),IF(MONTH(ID5)&gt;3,TEXT(ID5,"yyyy") &amp; "-" &amp; TEXT(ID5,"yy")+1))</f>
        <v>2030-31</v>
      </c>
      <c r="IH3" s="54" t="str">
        <f>IJ3</f>
        <v>2030-31</v>
      </c>
      <c r="IJ3" s="54" t="str">
        <f>IF(MONTH(IH5)&lt;=3,TEXT(IH5,"yyyy")-1 &amp; "-" &amp; TEXT(IH5,"yy"),IF(MONTH(IH5)&gt;3,TEXT(IH5,"yyyy") &amp; "-" &amp; TEXT(IH5,"yy")+1))</f>
        <v>2030-31</v>
      </c>
    </row>
    <row r="4" spans="2:268" x14ac:dyDescent="0.25">
      <c r="B4" s="9"/>
      <c r="C4" s="19" t="s">
        <v>203</v>
      </c>
      <c r="D4" s="19"/>
      <c r="E4" s="20"/>
      <c r="F4" s="62"/>
      <c r="G4" s="63" t="s">
        <v>204</v>
      </c>
      <c r="H4" s="64">
        <v>1</v>
      </c>
      <c r="I4" s="65"/>
      <c r="J4" s="62"/>
      <c r="K4" s="63" t="s">
        <v>204</v>
      </c>
      <c r="L4" s="64">
        <f>H4+1</f>
        <v>2</v>
      </c>
      <c r="M4" s="65"/>
      <c r="N4" s="62"/>
      <c r="O4" s="66" t="s">
        <v>204</v>
      </c>
      <c r="P4" s="67">
        <f>L4+1</f>
        <v>3</v>
      </c>
      <c r="Q4" s="65"/>
      <c r="R4" s="62"/>
      <c r="S4" s="66" t="s">
        <v>204</v>
      </c>
      <c r="T4" s="67">
        <f>P4+1</f>
        <v>4</v>
      </c>
      <c r="U4" s="65"/>
      <c r="V4" s="62"/>
      <c r="W4" s="66" t="s">
        <v>204</v>
      </c>
      <c r="X4" s="67">
        <f>T4+1</f>
        <v>5</v>
      </c>
      <c r="Y4" s="65"/>
      <c r="Z4" s="62"/>
      <c r="AA4" s="66" t="s">
        <v>204</v>
      </c>
      <c r="AB4" s="67">
        <f>X4+1</f>
        <v>6</v>
      </c>
      <c r="AC4" s="65"/>
      <c r="AD4" s="62"/>
      <c r="AE4" s="66" t="s">
        <v>204</v>
      </c>
      <c r="AF4" s="67">
        <f>AB4+1</f>
        <v>7</v>
      </c>
      <c r="AG4" s="65"/>
      <c r="AH4" s="62"/>
      <c r="AI4" s="66" t="s">
        <v>204</v>
      </c>
      <c r="AJ4" s="67">
        <f>AF4+1</f>
        <v>8</v>
      </c>
      <c r="AK4" s="65"/>
      <c r="AL4" s="62"/>
      <c r="AM4" s="66" t="s">
        <v>204</v>
      </c>
      <c r="AN4" s="67">
        <f>AJ4+1</f>
        <v>9</v>
      </c>
      <c r="AO4" s="65"/>
      <c r="AP4" s="62"/>
      <c r="AQ4" s="63" t="s">
        <v>204</v>
      </c>
      <c r="AR4" s="64">
        <f>AN4+1</f>
        <v>10</v>
      </c>
      <c r="AS4" s="65"/>
      <c r="AT4" s="62"/>
      <c r="AU4" s="63" t="s">
        <v>204</v>
      </c>
      <c r="AV4" s="64">
        <f>AR4+1</f>
        <v>11</v>
      </c>
      <c r="AW4" s="65"/>
      <c r="AX4" s="62"/>
      <c r="AY4" s="66" t="s">
        <v>204</v>
      </c>
      <c r="AZ4" s="67">
        <f>AV4+1</f>
        <v>12</v>
      </c>
      <c r="BA4" s="65"/>
      <c r="BB4" s="62"/>
      <c r="BC4" s="66" t="s">
        <v>204</v>
      </c>
      <c r="BD4" s="67">
        <f>AZ4+1</f>
        <v>13</v>
      </c>
      <c r="BE4" s="65"/>
      <c r="BF4" s="62"/>
      <c r="BG4" s="66" t="s">
        <v>204</v>
      </c>
      <c r="BH4" s="67">
        <f>BD4+1</f>
        <v>14</v>
      </c>
      <c r="BI4" s="65"/>
      <c r="BJ4" s="62"/>
      <c r="BK4" s="66" t="s">
        <v>204</v>
      </c>
      <c r="BL4" s="67">
        <f>BH4+1</f>
        <v>15</v>
      </c>
      <c r="BM4" s="65"/>
      <c r="BN4" s="62"/>
      <c r="BO4" s="66" t="s">
        <v>204</v>
      </c>
      <c r="BP4" s="67">
        <f>BL4+1</f>
        <v>16</v>
      </c>
      <c r="BQ4" s="65"/>
      <c r="BR4" s="62"/>
      <c r="BS4" s="66" t="s">
        <v>204</v>
      </c>
      <c r="BT4" s="67">
        <f>BP4+1</f>
        <v>17</v>
      </c>
      <c r="BU4" s="65"/>
      <c r="BV4" s="62"/>
      <c r="BW4" s="66" t="s">
        <v>204</v>
      </c>
      <c r="BX4" s="67">
        <f>BT4+1</f>
        <v>18</v>
      </c>
      <c r="BY4" s="65"/>
      <c r="BZ4" s="62"/>
      <c r="CA4" s="66" t="s">
        <v>204</v>
      </c>
      <c r="CB4" s="67">
        <f>BX4+1</f>
        <v>19</v>
      </c>
      <c r="CC4" s="65"/>
      <c r="CD4" s="62"/>
      <c r="CE4" s="66" t="s">
        <v>204</v>
      </c>
      <c r="CF4" s="67">
        <f>CB4+1</f>
        <v>20</v>
      </c>
      <c r="CG4" s="65"/>
      <c r="CH4" s="62"/>
      <c r="CI4" s="66" t="s">
        <v>204</v>
      </c>
      <c r="CJ4" s="67">
        <f>CF4+1</f>
        <v>21</v>
      </c>
      <c r="CK4" s="68"/>
      <c r="CL4" s="62"/>
      <c r="CM4" s="63" t="s">
        <v>204</v>
      </c>
      <c r="CN4" s="64">
        <f>CJ4+1</f>
        <v>22</v>
      </c>
      <c r="CO4" s="65"/>
      <c r="CP4" s="62"/>
      <c r="CQ4" s="63" t="s">
        <v>204</v>
      </c>
      <c r="CR4" s="64">
        <f>CN4+1</f>
        <v>23</v>
      </c>
      <c r="CS4" s="65"/>
      <c r="CT4" s="62"/>
      <c r="CU4" s="66" t="s">
        <v>204</v>
      </c>
      <c r="CV4" s="67">
        <f>CR4+1</f>
        <v>24</v>
      </c>
      <c r="CW4" s="65"/>
      <c r="CX4" s="62"/>
      <c r="CY4" s="66" t="s">
        <v>204</v>
      </c>
      <c r="CZ4" s="67">
        <f>CV4+1</f>
        <v>25</v>
      </c>
      <c r="DA4" s="65"/>
      <c r="DB4" s="62"/>
      <c r="DC4" s="66" t="s">
        <v>204</v>
      </c>
      <c r="DD4" s="67">
        <f>CZ4+1</f>
        <v>26</v>
      </c>
      <c r="DE4" s="65"/>
      <c r="DF4" s="62"/>
      <c r="DG4" s="66" t="s">
        <v>204</v>
      </c>
      <c r="DH4" s="67">
        <f>DD4+1</f>
        <v>27</v>
      </c>
      <c r="DI4" s="65"/>
      <c r="DJ4" s="62"/>
      <c r="DK4" s="66" t="s">
        <v>204</v>
      </c>
      <c r="DL4" s="67">
        <f>DH4+1</f>
        <v>28</v>
      </c>
      <c r="DM4" s="65"/>
      <c r="DN4" s="62"/>
      <c r="DO4" s="66" t="s">
        <v>204</v>
      </c>
      <c r="DP4" s="67">
        <f>DL4+1</f>
        <v>29</v>
      </c>
      <c r="DQ4" s="65"/>
      <c r="DR4" s="62"/>
      <c r="DS4" s="66" t="s">
        <v>204</v>
      </c>
      <c r="DT4" s="67">
        <f>DP4+1</f>
        <v>30</v>
      </c>
      <c r="DU4" s="65"/>
      <c r="DV4" s="62"/>
      <c r="DW4" s="66" t="s">
        <v>204</v>
      </c>
      <c r="DX4" s="67">
        <f>DT4+1</f>
        <v>31</v>
      </c>
      <c r="DY4" s="65"/>
      <c r="DZ4" s="62"/>
      <c r="EA4" s="66" t="s">
        <v>204</v>
      </c>
      <c r="EB4" s="67">
        <f>DX4+1</f>
        <v>32</v>
      </c>
      <c r="EC4" s="65"/>
      <c r="ED4" s="62"/>
      <c r="EE4" s="66" t="s">
        <v>204</v>
      </c>
      <c r="EF4" s="67">
        <f>EB4+1</f>
        <v>33</v>
      </c>
      <c r="EG4" s="68"/>
      <c r="EH4" s="62"/>
      <c r="EI4" s="63" t="s">
        <v>204</v>
      </c>
      <c r="EJ4" s="64">
        <f>EF4+1</f>
        <v>34</v>
      </c>
      <c r="EK4" s="65"/>
      <c r="EL4" s="62"/>
      <c r="EM4" s="63" t="s">
        <v>204</v>
      </c>
      <c r="EN4" s="64">
        <f>EJ4+1</f>
        <v>35</v>
      </c>
      <c r="EO4" s="65"/>
      <c r="EP4" s="62"/>
      <c r="EQ4" s="66" t="s">
        <v>204</v>
      </c>
      <c r="ER4" s="67">
        <f>EN4+1</f>
        <v>36</v>
      </c>
      <c r="ES4" s="65"/>
      <c r="ET4" s="62"/>
      <c r="EU4" s="66" t="s">
        <v>204</v>
      </c>
      <c r="EV4" s="67">
        <f>ER4+1</f>
        <v>37</v>
      </c>
      <c r="EW4" s="65"/>
      <c r="EX4" s="62"/>
      <c r="EY4" s="66" t="s">
        <v>204</v>
      </c>
      <c r="EZ4" s="67">
        <f>EV4+1</f>
        <v>38</v>
      </c>
      <c r="FA4" s="65"/>
      <c r="FB4" s="62"/>
      <c r="FC4" s="66" t="s">
        <v>204</v>
      </c>
      <c r="FD4" s="67">
        <f>EZ4+1</f>
        <v>39</v>
      </c>
      <c r="FE4" s="65"/>
      <c r="FF4" s="62"/>
      <c r="FG4" s="66" t="s">
        <v>204</v>
      </c>
      <c r="FH4" s="67">
        <f>FD4+1</f>
        <v>40</v>
      </c>
      <c r="FI4" s="65"/>
      <c r="FJ4" s="62"/>
      <c r="FK4" s="66" t="s">
        <v>204</v>
      </c>
      <c r="FL4" s="67">
        <f>FH4+1</f>
        <v>41</v>
      </c>
      <c r="FM4" s="65"/>
      <c r="FN4" s="62"/>
      <c r="FO4" s="66" t="s">
        <v>204</v>
      </c>
      <c r="FP4" s="67">
        <f>FL4+1</f>
        <v>42</v>
      </c>
      <c r="FQ4" s="65"/>
      <c r="FR4" s="62"/>
      <c r="FS4" s="66" t="s">
        <v>204</v>
      </c>
      <c r="FT4" s="67">
        <f>FP4+1</f>
        <v>43</v>
      </c>
      <c r="FU4" s="65"/>
      <c r="FV4" s="62"/>
      <c r="FW4" s="66" t="s">
        <v>204</v>
      </c>
      <c r="FX4" s="67">
        <f>FT4+1</f>
        <v>44</v>
      </c>
      <c r="FY4" s="65"/>
      <c r="FZ4" s="62"/>
      <c r="GA4" s="66" t="s">
        <v>204</v>
      </c>
      <c r="GB4" s="67">
        <f>FX4+1</f>
        <v>45</v>
      </c>
      <c r="GD4" s="62"/>
      <c r="GE4" s="63" t="s">
        <v>204</v>
      </c>
      <c r="GF4" s="64">
        <f>GB4+1</f>
        <v>46</v>
      </c>
      <c r="GG4" s="65"/>
      <c r="GH4" s="62"/>
      <c r="GI4" s="63" t="s">
        <v>204</v>
      </c>
      <c r="GJ4" s="64">
        <f>GF4+1</f>
        <v>47</v>
      </c>
      <c r="GK4" s="65"/>
      <c r="GL4" s="62"/>
      <c r="GM4" s="66" t="s">
        <v>204</v>
      </c>
      <c r="GN4" s="67">
        <f>GJ4+1</f>
        <v>48</v>
      </c>
      <c r="GO4" s="65"/>
      <c r="GP4" s="62"/>
      <c r="GQ4" s="66" t="s">
        <v>204</v>
      </c>
      <c r="GR4" s="67">
        <f>GN4+1</f>
        <v>49</v>
      </c>
      <c r="GS4" s="65"/>
      <c r="GT4" s="62"/>
      <c r="GU4" s="66" t="s">
        <v>204</v>
      </c>
      <c r="GV4" s="67">
        <f>GR4+1</f>
        <v>50</v>
      </c>
      <c r="GW4" s="65"/>
      <c r="GX4" s="62"/>
      <c r="GY4" s="66" t="s">
        <v>204</v>
      </c>
      <c r="GZ4" s="67">
        <f>GV4+1</f>
        <v>51</v>
      </c>
      <c r="HA4" s="65"/>
      <c r="HB4" s="62"/>
      <c r="HC4" s="66" t="s">
        <v>204</v>
      </c>
      <c r="HD4" s="67">
        <f>GZ4+1</f>
        <v>52</v>
      </c>
      <c r="HE4" s="65"/>
      <c r="HF4" s="62"/>
      <c r="HG4" s="66" t="s">
        <v>204</v>
      </c>
      <c r="HH4" s="67">
        <f>HD4+1</f>
        <v>53</v>
      </c>
      <c r="HI4" s="65"/>
      <c r="HJ4" s="62"/>
      <c r="HK4" s="66" t="s">
        <v>204</v>
      </c>
      <c r="HL4" s="67">
        <f>HH4+1</f>
        <v>54</v>
      </c>
      <c r="HM4" s="65"/>
      <c r="HN4" s="62"/>
      <c r="HO4" s="66" t="s">
        <v>204</v>
      </c>
      <c r="HP4" s="67">
        <f>HL4+1</f>
        <v>55</v>
      </c>
      <c r="HQ4" s="65"/>
      <c r="HR4" s="62"/>
      <c r="HS4" s="66" t="s">
        <v>204</v>
      </c>
      <c r="HT4" s="67">
        <f>HP4+1</f>
        <v>56</v>
      </c>
      <c r="HU4" s="65"/>
      <c r="HV4" s="62"/>
      <c r="HW4" s="66" t="s">
        <v>204</v>
      </c>
      <c r="HX4" s="67">
        <f>HT4+1</f>
        <v>57</v>
      </c>
      <c r="HZ4" s="62"/>
      <c r="IA4" s="63" t="s">
        <v>204</v>
      </c>
      <c r="IB4" s="64">
        <f>HX4+1</f>
        <v>58</v>
      </c>
      <c r="IC4" s="65"/>
      <c r="ID4" s="62"/>
      <c r="IE4" s="63" t="s">
        <v>204</v>
      </c>
      <c r="IF4" s="64">
        <f>IB4+1</f>
        <v>59</v>
      </c>
      <c r="IG4" s="65"/>
      <c r="IH4" s="62"/>
      <c r="II4" s="66" t="s">
        <v>204</v>
      </c>
      <c r="IJ4" s="67">
        <f>IF4+1</f>
        <v>60</v>
      </c>
      <c r="IK4" s="65"/>
      <c r="IL4" s="62" t="s">
        <v>205</v>
      </c>
      <c r="IM4" s="62"/>
      <c r="IN4" s="62"/>
      <c r="IP4" s="62" t="s">
        <v>206</v>
      </c>
      <c r="IQ4" s="62"/>
      <c r="IR4" s="62"/>
      <c r="IT4" s="62" t="s">
        <v>207</v>
      </c>
      <c r="IU4" s="62"/>
      <c r="IV4" s="62"/>
      <c r="IX4" s="62" t="s">
        <v>208</v>
      </c>
      <c r="IY4" s="62"/>
      <c r="IZ4" s="62"/>
      <c r="JB4" s="62" t="s">
        <v>209</v>
      </c>
      <c r="JC4" s="62"/>
      <c r="JD4" s="62"/>
      <c r="JF4" s="62" t="s">
        <v>210</v>
      </c>
      <c r="JG4" s="62"/>
      <c r="JH4" s="62"/>
    </row>
    <row r="5" spans="2:268" x14ac:dyDescent="0.25">
      <c r="B5" s="9"/>
      <c r="C5" s="19"/>
      <c r="D5" s="19"/>
      <c r="E5" s="20"/>
      <c r="F5" s="69">
        <f>EOMONTH('1. Basics'!$D$16,1)</f>
        <v>46142</v>
      </c>
      <c r="G5" s="69"/>
      <c r="H5" s="69"/>
      <c r="I5" s="70"/>
      <c r="J5" s="69">
        <f>EOMONTH($F$5,1)</f>
        <v>46173</v>
      </c>
      <c r="K5" s="69"/>
      <c r="L5" s="69"/>
      <c r="M5" s="70"/>
      <c r="N5" s="69">
        <f>EOMONTH($F$5,2)</f>
        <v>46203</v>
      </c>
      <c r="O5" s="69"/>
      <c r="P5" s="69"/>
      <c r="Q5" s="70"/>
      <c r="R5" s="69">
        <f>EOMONTH($F$5,3)</f>
        <v>46234</v>
      </c>
      <c r="S5" s="69"/>
      <c r="T5" s="69"/>
      <c r="U5" s="70"/>
      <c r="V5" s="69">
        <f>EOMONTH($F$5,4)</f>
        <v>46265</v>
      </c>
      <c r="W5" s="69"/>
      <c r="X5" s="69"/>
      <c r="Y5" s="70"/>
      <c r="Z5" s="69">
        <f>EOMONTH($F$5,5)</f>
        <v>46295</v>
      </c>
      <c r="AA5" s="69"/>
      <c r="AB5" s="69"/>
      <c r="AC5" s="70"/>
      <c r="AD5" s="69">
        <f>EOMONTH($F$5,6)</f>
        <v>46326</v>
      </c>
      <c r="AE5" s="69"/>
      <c r="AF5" s="69"/>
      <c r="AG5" s="70"/>
      <c r="AH5" s="69">
        <f>EOMONTH($F$5,7)</f>
        <v>46356</v>
      </c>
      <c r="AI5" s="69"/>
      <c r="AJ5" s="69"/>
      <c r="AK5" s="70"/>
      <c r="AL5" s="69">
        <f>EOMONTH($F$5,8)</f>
        <v>46387</v>
      </c>
      <c r="AM5" s="69"/>
      <c r="AN5" s="69"/>
      <c r="AO5" s="70"/>
      <c r="AP5" s="69">
        <f>EOMONTH($F$5,9)</f>
        <v>46418</v>
      </c>
      <c r="AQ5" s="69"/>
      <c r="AR5" s="69"/>
      <c r="AS5" s="70"/>
      <c r="AT5" s="69">
        <f>EOMONTH($F$5,10)</f>
        <v>46446</v>
      </c>
      <c r="AU5" s="69"/>
      <c r="AV5" s="69"/>
      <c r="AW5" s="70"/>
      <c r="AX5" s="69">
        <f>EOMONTH($F$5,11)</f>
        <v>46477</v>
      </c>
      <c r="AY5" s="69"/>
      <c r="AZ5" s="69"/>
      <c r="BA5" s="70"/>
      <c r="BB5" s="69">
        <f>EOMONTH($F$5,12)</f>
        <v>46507</v>
      </c>
      <c r="BC5" s="69"/>
      <c r="BD5" s="69"/>
      <c r="BE5" s="70"/>
      <c r="BF5" s="69">
        <f>EOMONTH($F$5,13)</f>
        <v>46538</v>
      </c>
      <c r="BG5" s="69"/>
      <c r="BH5" s="69"/>
      <c r="BI5" s="70"/>
      <c r="BJ5" s="69">
        <f>EOMONTH($F$5,14)</f>
        <v>46568</v>
      </c>
      <c r="BK5" s="69"/>
      <c r="BL5" s="69"/>
      <c r="BM5" s="70"/>
      <c r="BN5" s="69">
        <f>EOMONTH($F$5,15)</f>
        <v>46599</v>
      </c>
      <c r="BO5" s="69"/>
      <c r="BP5" s="69"/>
      <c r="BQ5" s="70"/>
      <c r="BR5" s="69">
        <f>EOMONTH($F$5,16)</f>
        <v>46630</v>
      </c>
      <c r="BS5" s="69"/>
      <c r="BT5" s="69"/>
      <c r="BU5" s="70"/>
      <c r="BV5" s="69">
        <f>EOMONTH($F$5,17)</f>
        <v>46660</v>
      </c>
      <c r="BW5" s="69"/>
      <c r="BX5" s="69"/>
      <c r="BY5" s="70"/>
      <c r="BZ5" s="69">
        <f>EOMONTH($F$5,18)</f>
        <v>46691</v>
      </c>
      <c r="CA5" s="69"/>
      <c r="CB5" s="69"/>
      <c r="CC5" s="70"/>
      <c r="CD5" s="69">
        <f>EOMONTH($F$5,19)</f>
        <v>46721</v>
      </c>
      <c r="CE5" s="69"/>
      <c r="CF5" s="69"/>
      <c r="CG5" s="70"/>
      <c r="CH5" s="69">
        <f>EOMONTH($F$5,20)</f>
        <v>46752</v>
      </c>
      <c r="CI5" s="69"/>
      <c r="CJ5" s="69"/>
      <c r="CK5" s="70"/>
      <c r="CL5" s="69">
        <f>EOMONTH($F$5,21)</f>
        <v>46783</v>
      </c>
      <c r="CM5" s="69"/>
      <c r="CN5" s="69"/>
      <c r="CO5" s="70"/>
      <c r="CP5" s="69">
        <f>EOMONTH($F$5,22)</f>
        <v>46812</v>
      </c>
      <c r="CQ5" s="69"/>
      <c r="CR5" s="69"/>
      <c r="CS5" s="70"/>
      <c r="CT5" s="69">
        <f>EOMONTH($F$5,23)</f>
        <v>46843</v>
      </c>
      <c r="CU5" s="69"/>
      <c r="CV5" s="69"/>
      <c r="CW5" s="70"/>
      <c r="CX5" s="69">
        <f>EOMONTH($F$5,24)</f>
        <v>46873</v>
      </c>
      <c r="CY5" s="69"/>
      <c r="CZ5" s="69"/>
      <c r="DA5" s="70"/>
      <c r="DB5" s="69">
        <f>EOMONTH($F$5,25)</f>
        <v>46904</v>
      </c>
      <c r="DC5" s="69"/>
      <c r="DD5" s="69"/>
      <c r="DE5" s="70"/>
      <c r="DF5" s="69">
        <f>EOMONTH($F$5,26)</f>
        <v>46934</v>
      </c>
      <c r="DG5" s="69"/>
      <c r="DH5" s="69"/>
      <c r="DI5" s="70"/>
      <c r="DJ5" s="69">
        <f>EOMONTH($F$5,27)</f>
        <v>46965</v>
      </c>
      <c r="DK5" s="69"/>
      <c r="DL5" s="69"/>
      <c r="DM5" s="70"/>
      <c r="DN5" s="69">
        <f>EOMONTH($F$5,28)</f>
        <v>46996</v>
      </c>
      <c r="DO5" s="69"/>
      <c r="DP5" s="69"/>
      <c r="DQ5" s="70"/>
      <c r="DR5" s="69">
        <f>EOMONTH($F$5,29)</f>
        <v>47026</v>
      </c>
      <c r="DS5" s="69"/>
      <c r="DT5" s="69"/>
      <c r="DU5" s="70"/>
      <c r="DV5" s="69">
        <f>EOMONTH($F$5,30)</f>
        <v>47057</v>
      </c>
      <c r="DW5" s="69"/>
      <c r="DX5" s="69"/>
      <c r="DY5" s="70"/>
      <c r="DZ5" s="69">
        <f>EOMONTH($F$5,31)</f>
        <v>47087</v>
      </c>
      <c r="EA5" s="69"/>
      <c r="EB5" s="69"/>
      <c r="EC5" s="70"/>
      <c r="ED5" s="69">
        <f>EOMONTH($F$5,32)</f>
        <v>47118</v>
      </c>
      <c r="EE5" s="69"/>
      <c r="EF5" s="69"/>
      <c r="EG5" s="70"/>
      <c r="EH5" s="69">
        <f>EOMONTH($F$5,33)</f>
        <v>47149</v>
      </c>
      <c r="EI5" s="69"/>
      <c r="EJ5" s="69"/>
      <c r="EK5" s="70"/>
      <c r="EL5" s="69">
        <f>EOMONTH($F$5,34)</f>
        <v>47177</v>
      </c>
      <c r="EM5" s="69"/>
      <c r="EN5" s="69"/>
      <c r="EO5" s="70"/>
      <c r="EP5" s="69">
        <f>EOMONTH($F$5,35)</f>
        <v>47208</v>
      </c>
      <c r="EQ5" s="69"/>
      <c r="ER5" s="69"/>
      <c r="ES5" s="70"/>
      <c r="ET5" s="69">
        <f>EOMONTH($F$5,36)</f>
        <v>47238</v>
      </c>
      <c r="EU5" s="69"/>
      <c r="EV5" s="69"/>
      <c r="EW5" s="70"/>
      <c r="EX5" s="69">
        <f>EOMONTH($F$5,37)</f>
        <v>47269</v>
      </c>
      <c r="EY5" s="69"/>
      <c r="EZ5" s="69"/>
      <c r="FA5" s="70"/>
      <c r="FB5" s="69">
        <f>EOMONTH($F$5,38)</f>
        <v>47299</v>
      </c>
      <c r="FC5" s="69"/>
      <c r="FD5" s="69"/>
      <c r="FE5" s="70"/>
      <c r="FF5" s="69">
        <f>EOMONTH($F$5,39)</f>
        <v>47330</v>
      </c>
      <c r="FG5" s="69"/>
      <c r="FH5" s="69"/>
      <c r="FI5" s="70"/>
      <c r="FJ5" s="69">
        <f>EOMONTH($F$5,40)</f>
        <v>47361</v>
      </c>
      <c r="FK5" s="69"/>
      <c r="FL5" s="69"/>
      <c r="FM5" s="70"/>
      <c r="FN5" s="69">
        <f>EOMONTH($F$5,41)</f>
        <v>47391</v>
      </c>
      <c r="FO5" s="69"/>
      <c r="FP5" s="69"/>
      <c r="FQ5" s="70"/>
      <c r="FR5" s="69">
        <f>EOMONTH($F$5,42)</f>
        <v>47422</v>
      </c>
      <c r="FS5" s="69"/>
      <c r="FT5" s="69"/>
      <c r="FU5" s="70"/>
      <c r="FV5" s="69">
        <f>EOMONTH($F$5,43)</f>
        <v>47452</v>
      </c>
      <c r="FW5" s="69"/>
      <c r="FX5" s="69"/>
      <c r="FY5" s="70"/>
      <c r="FZ5" s="69">
        <f>EOMONTH($F$5,44)</f>
        <v>47483</v>
      </c>
      <c r="GA5" s="69"/>
      <c r="GB5" s="69"/>
      <c r="GD5" s="69">
        <f>EOMONTH($F$5,45)</f>
        <v>47514</v>
      </c>
      <c r="GE5" s="69"/>
      <c r="GF5" s="69"/>
      <c r="GG5" s="70"/>
      <c r="GH5" s="69">
        <f>EOMONTH($F$5,46)</f>
        <v>47542</v>
      </c>
      <c r="GI5" s="69"/>
      <c r="GJ5" s="69"/>
      <c r="GK5" s="70"/>
      <c r="GL5" s="69">
        <f>EOMONTH($F$5,47)</f>
        <v>47573</v>
      </c>
      <c r="GM5" s="69"/>
      <c r="GN5" s="69"/>
      <c r="GO5" s="70"/>
      <c r="GP5" s="69">
        <f>EOMONTH($F$5,48)</f>
        <v>47603</v>
      </c>
      <c r="GQ5" s="69"/>
      <c r="GR5" s="69"/>
      <c r="GS5" s="70"/>
      <c r="GT5" s="69">
        <f>EOMONTH($F$5,49)</f>
        <v>47634</v>
      </c>
      <c r="GU5" s="69"/>
      <c r="GV5" s="69"/>
      <c r="GW5" s="70"/>
      <c r="GX5" s="69">
        <f>EOMONTH($F$5,50)</f>
        <v>47664</v>
      </c>
      <c r="GY5" s="69"/>
      <c r="GZ5" s="69"/>
      <c r="HA5" s="70"/>
      <c r="HB5" s="69">
        <f>EOMONTH($F$5,51)</f>
        <v>47695</v>
      </c>
      <c r="HC5" s="69"/>
      <c r="HD5" s="69"/>
      <c r="HE5" s="70"/>
      <c r="HF5" s="69">
        <f>EOMONTH($F$5,52)</f>
        <v>47726</v>
      </c>
      <c r="HG5" s="69"/>
      <c r="HH5" s="69"/>
      <c r="HI5" s="70"/>
      <c r="HJ5" s="69">
        <f>EOMONTH($F$5,53)</f>
        <v>47756</v>
      </c>
      <c r="HK5" s="69"/>
      <c r="HL5" s="69"/>
      <c r="HM5" s="70"/>
      <c r="HN5" s="69">
        <f>EOMONTH($F$5,54)</f>
        <v>47787</v>
      </c>
      <c r="HO5" s="69"/>
      <c r="HP5" s="69"/>
      <c r="HQ5" s="70"/>
      <c r="HR5" s="69">
        <f>EOMONTH($F$5,55)</f>
        <v>47817</v>
      </c>
      <c r="HS5" s="69"/>
      <c r="HT5" s="69"/>
      <c r="HU5" s="70"/>
      <c r="HV5" s="69">
        <f>EOMONTH($F$5,56)</f>
        <v>47848</v>
      </c>
      <c r="HW5" s="69"/>
      <c r="HX5" s="69"/>
      <c r="HZ5" s="69">
        <f>EOMONTH($F$5,57)</f>
        <v>47879</v>
      </c>
      <c r="IA5" s="69"/>
      <c r="IB5" s="69"/>
      <c r="IC5" s="70"/>
      <c r="ID5" s="69">
        <f>EOMONTH($F$5,58)</f>
        <v>47907</v>
      </c>
      <c r="IE5" s="69"/>
      <c r="IF5" s="69"/>
      <c r="IG5" s="70"/>
      <c r="IH5" s="69">
        <f>EOMONTH($F$5,59)</f>
        <v>47938</v>
      </c>
      <c r="II5" s="69"/>
      <c r="IJ5" s="69"/>
      <c r="IK5" s="70"/>
      <c r="IL5" s="71" t="s">
        <v>108</v>
      </c>
      <c r="IM5" s="71"/>
      <c r="IN5" s="71"/>
      <c r="IP5" s="71" t="s">
        <v>35</v>
      </c>
      <c r="IQ5" s="71"/>
      <c r="IR5" s="71"/>
      <c r="IT5" s="71" t="s">
        <v>36</v>
      </c>
      <c r="IU5" s="71"/>
      <c r="IV5" s="71"/>
      <c r="IX5" s="71" t="s">
        <v>37</v>
      </c>
      <c r="IY5" s="71"/>
      <c r="IZ5" s="71"/>
      <c r="JB5" s="71" t="s">
        <v>38</v>
      </c>
      <c r="JC5" s="71"/>
      <c r="JD5" s="71"/>
      <c r="JF5" s="71" t="s">
        <v>39</v>
      </c>
      <c r="JG5" s="71"/>
      <c r="JH5" s="71"/>
    </row>
    <row r="6" spans="2:268" s="23" customFormat="1" x14ac:dyDescent="0.25">
      <c r="B6" s="21"/>
      <c r="C6" s="72" t="s">
        <v>211</v>
      </c>
      <c r="D6" s="72"/>
      <c r="E6" s="21"/>
      <c r="F6" s="73" t="s">
        <v>212</v>
      </c>
      <c r="G6" s="74" t="s">
        <v>213</v>
      </c>
      <c r="H6" s="74" t="s">
        <v>214</v>
      </c>
      <c r="I6" s="75"/>
      <c r="J6" s="73" t="s">
        <v>212</v>
      </c>
      <c r="K6" s="74" t="s">
        <v>213</v>
      </c>
      <c r="L6" s="74" t="s">
        <v>214</v>
      </c>
      <c r="M6" s="75"/>
      <c r="N6" s="73" t="s">
        <v>212</v>
      </c>
      <c r="O6" s="74" t="s">
        <v>213</v>
      </c>
      <c r="P6" s="74" t="s">
        <v>214</v>
      </c>
      <c r="Q6" s="75"/>
      <c r="R6" s="73" t="s">
        <v>212</v>
      </c>
      <c r="S6" s="74" t="s">
        <v>213</v>
      </c>
      <c r="T6" s="74" t="s">
        <v>214</v>
      </c>
      <c r="U6" s="75"/>
      <c r="V6" s="73" t="s">
        <v>212</v>
      </c>
      <c r="W6" s="74" t="s">
        <v>213</v>
      </c>
      <c r="X6" s="74" t="s">
        <v>214</v>
      </c>
      <c r="Y6" s="75"/>
      <c r="Z6" s="73" t="s">
        <v>212</v>
      </c>
      <c r="AA6" s="74" t="s">
        <v>213</v>
      </c>
      <c r="AB6" s="74" t="s">
        <v>214</v>
      </c>
      <c r="AC6" s="75"/>
      <c r="AD6" s="73" t="s">
        <v>212</v>
      </c>
      <c r="AE6" s="74" t="s">
        <v>213</v>
      </c>
      <c r="AF6" s="74" t="s">
        <v>214</v>
      </c>
      <c r="AG6" s="75"/>
      <c r="AH6" s="73" t="s">
        <v>212</v>
      </c>
      <c r="AI6" s="74" t="s">
        <v>213</v>
      </c>
      <c r="AJ6" s="74" t="s">
        <v>214</v>
      </c>
      <c r="AK6" s="75"/>
      <c r="AL6" s="73" t="s">
        <v>212</v>
      </c>
      <c r="AM6" s="74" t="s">
        <v>213</v>
      </c>
      <c r="AN6" s="74" t="s">
        <v>214</v>
      </c>
      <c r="AO6" s="75"/>
      <c r="AP6" s="73" t="s">
        <v>212</v>
      </c>
      <c r="AQ6" s="74" t="s">
        <v>213</v>
      </c>
      <c r="AR6" s="74" t="s">
        <v>214</v>
      </c>
      <c r="AS6" s="75"/>
      <c r="AT6" s="73" t="s">
        <v>212</v>
      </c>
      <c r="AU6" s="74" t="s">
        <v>213</v>
      </c>
      <c r="AV6" s="74" t="s">
        <v>214</v>
      </c>
      <c r="AW6" s="75"/>
      <c r="AX6" s="73" t="s">
        <v>212</v>
      </c>
      <c r="AY6" s="74" t="s">
        <v>213</v>
      </c>
      <c r="AZ6" s="74" t="s">
        <v>214</v>
      </c>
      <c r="BA6" s="75"/>
      <c r="BB6" s="73" t="s">
        <v>212</v>
      </c>
      <c r="BC6" s="74" t="s">
        <v>213</v>
      </c>
      <c r="BD6" s="74" t="s">
        <v>214</v>
      </c>
      <c r="BE6" s="75"/>
      <c r="BF6" s="73" t="s">
        <v>212</v>
      </c>
      <c r="BG6" s="74" t="s">
        <v>213</v>
      </c>
      <c r="BH6" s="74" t="s">
        <v>214</v>
      </c>
      <c r="BI6" s="75"/>
      <c r="BJ6" s="73" t="s">
        <v>212</v>
      </c>
      <c r="BK6" s="74" t="s">
        <v>213</v>
      </c>
      <c r="BL6" s="74" t="s">
        <v>214</v>
      </c>
      <c r="BM6" s="75"/>
      <c r="BN6" s="73" t="s">
        <v>212</v>
      </c>
      <c r="BO6" s="74" t="s">
        <v>213</v>
      </c>
      <c r="BP6" s="74" t="s">
        <v>214</v>
      </c>
      <c r="BQ6" s="75"/>
      <c r="BR6" s="73" t="s">
        <v>212</v>
      </c>
      <c r="BS6" s="74" t="s">
        <v>213</v>
      </c>
      <c r="BT6" s="74" t="s">
        <v>214</v>
      </c>
      <c r="BU6" s="75"/>
      <c r="BV6" s="73" t="s">
        <v>212</v>
      </c>
      <c r="BW6" s="74" t="s">
        <v>213</v>
      </c>
      <c r="BX6" s="74" t="s">
        <v>214</v>
      </c>
      <c r="BY6" s="75"/>
      <c r="BZ6" s="73" t="s">
        <v>212</v>
      </c>
      <c r="CA6" s="74" t="s">
        <v>213</v>
      </c>
      <c r="CB6" s="74" t="s">
        <v>214</v>
      </c>
      <c r="CC6" s="75"/>
      <c r="CD6" s="73" t="s">
        <v>212</v>
      </c>
      <c r="CE6" s="74" t="s">
        <v>213</v>
      </c>
      <c r="CF6" s="74" t="s">
        <v>214</v>
      </c>
      <c r="CG6" s="75"/>
      <c r="CH6" s="73" t="s">
        <v>212</v>
      </c>
      <c r="CI6" s="74" t="s">
        <v>213</v>
      </c>
      <c r="CJ6" s="74" t="s">
        <v>214</v>
      </c>
      <c r="CK6" s="75"/>
      <c r="CL6" s="73" t="s">
        <v>212</v>
      </c>
      <c r="CM6" s="74" t="s">
        <v>213</v>
      </c>
      <c r="CN6" s="74" t="s">
        <v>214</v>
      </c>
      <c r="CO6" s="75"/>
      <c r="CP6" s="73" t="s">
        <v>212</v>
      </c>
      <c r="CQ6" s="74" t="s">
        <v>213</v>
      </c>
      <c r="CR6" s="74" t="s">
        <v>214</v>
      </c>
      <c r="CS6" s="75"/>
      <c r="CT6" s="73" t="s">
        <v>212</v>
      </c>
      <c r="CU6" s="74" t="s">
        <v>213</v>
      </c>
      <c r="CV6" s="74" t="s">
        <v>214</v>
      </c>
      <c r="CW6" s="75"/>
      <c r="CX6" s="73" t="s">
        <v>212</v>
      </c>
      <c r="CY6" s="74" t="s">
        <v>213</v>
      </c>
      <c r="CZ6" s="74" t="s">
        <v>214</v>
      </c>
      <c r="DA6" s="75"/>
      <c r="DB6" s="73" t="s">
        <v>212</v>
      </c>
      <c r="DC6" s="74" t="s">
        <v>213</v>
      </c>
      <c r="DD6" s="74" t="s">
        <v>214</v>
      </c>
      <c r="DE6" s="75"/>
      <c r="DF6" s="73" t="s">
        <v>212</v>
      </c>
      <c r="DG6" s="74" t="s">
        <v>213</v>
      </c>
      <c r="DH6" s="74" t="s">
        <v>214</v>
      </c>
      <c r="DI6" s="75"/>
      <c r="DJ6" s="73" t="s">
        <v>212</v>
      </c>
      <c r="DK6" s="74" t="s">
        <v>213</v>
      </c>
      <c r="DL6" s="74" t="s">
        <v>214</v>
      </c>
      <c r="DM6" s="75"/>
      <c r="DN6" s="73" t="s">
        <v>212</v>
      </c>
      <c r="DO6" s="74" t="s">
        <v>213</v>
      </c>
      <c r="DP6" s="74" t="s">
        <v>214</v>
      </c>
      <c r="DQ6" s="75"/>
      <c r="DR6" s="73" t="s">
        <v>212</v>
      </c>
      <c r="DS6" s="74" t="s">
        <v>213</v>
      </c>
      <c r="DT6" s="74" t="s">
        <v>214</v>
      </c>
      <c r="DU6" s="75"/>
      <c r="DV6" s="73" t="s">
        <v>212</v>
      </c>
      <c r="DW6" s="74" t="s">
        <v>213</v>
      </c>
      <c r="DX6" s="74" t="s">
        <v>214</v>
      </c>
      <c r="DY6" s="75"/>
      <c r="DZ6" s="73" t="s">
        <v>212</v>
      </c>
      <c r="EA6" s="74" t="s">
        <v>213</v>
      </c>
      <c r="EB6" s="74" t="s">
        <v>214</v>
      </c>
      <c r="EC6" s="75"/>
      <c r="ED6" s="73" t="s">
        <v>212</v>
      </c>
      <c r="EE6" s="74" t="s">
        <v>213</v>
      </c>
      <c r="EF6" s="74" t="s">
        <v>214</v>
      </c>
      <c r="EG6" s="75"/>
      <c r="EH6" s="73" t="s">
        <v>212</v>
      </c>
      <c r="EI6" s="74" t="s">
        <v>213</v>
      </c>
      <c r="EJ6" s="74" t="s">
        <v>214</v>
      </c>
      <c r="EK6" s="75"/>
      <c r="EL6" s="73" t="s">
        <v>212</v>
      </c>
      <c r="EM6" s="74" t="s">
        <v>213</v>
      </c>
      <c r="EN6" s="74" t="s">
        <v>214</v>
      </c>
      <c r="EO6" s="75"/>
      <c r="EP6" s="73" t="s">
        <v>212</v>
      </c>
      <c r="EQ6" s="74" t="s">
        <v>213</v>
      </c>
      <c r="ER6" s="74" t="s">
        <v>214</v>
      </c>
      <c r="ES6" s="75"/>
      <c r="ET6" s="73" t="s">
        <v>212</v>
      </c>
      <c r="EU6" s="74" t="s">
        <v>213</v>
      </c>
      <c r="EV6" s="74" t="s">
        <v>214</v>
      </c>
      <c r="EW6" s="75"/>
      <c r="EX6" s="73" t="s">
        <v>212</v>
      </c>
      <c r="EY6" s="74" t="s">
        <v>213</v>
      </c>
      <c r="EZ6" s="74" t="s">
        <v>214</v>
      </c>
      <c r="FA6" s="75"/>
      <c r="FB6" s="73" t="s">
        <v>212</v>
      </c>
      <c r="FC6" s="74" t="s">
        <v>213</v>
      </c>
      <c r="FD6" s="74" t="s">
        <v>214</v>
      </c>
      <c r="FE6" s="75"/>
      <c r="FF6" s="73" t="s">
        <v>212</v>
      </c>
      <c r="FG6" s="74" t="s">
        <v>213</v>
      </c>
      <c r="FH6" s="74" t="s">
        <v>214</v>
      </c>
      <c r="FI6" s="75"/>
      <c r="FJ6" s="73" t="s">
        <v>212</v>
      </c>
      <c r="FK6" s="74" t="s">
        <v>213</v>
      </c>
      <c r="FL6" s="74" t="s">
        <v>214</v>
      </c>
      <c r="FM6" s="75"/>
      <c r="FN6" s="73" t="s">
        <v>212</v>
      </c>
      <c r="FO6" s="74" t="s">
        <v>213</v>
      </c>
      <c r="FP6" s="74" t="s">
        <v>214</v>
      </c>
      <c r="FQ6" s="75"/>
      <c r="FR6" s="73" t="s">
        <v>212</v>
      </c>
      <c r="FS6" s="74" t="s">
        <v>213</v>
      </c>
      <c r="FT6" s="74" t="s">
        <v>214</v>
      </c>
      <c r="FU6" s="75"/>
      <c r="FV6" s="73" t="s">
        <v>212</v>
      </c>
      <c r="FW6" s="74" t="s">
        <v>213</v>
      </c>
      <c r="FX6" s="74" t="s">
        <v>214</v>
      </c>
      <c r="FY6" s="75"/>
      <c r="FZ6" s="73" t="s">
        <v>212</v>
      </c>
      <c r="GA6" s="74" t="s">
        <v>213</v>
      </c>
      <c r="GB6" s="74" t="s">
        <v>214</v>
      </c>
      <c r="GD6" s="73" t="s">
        <v>212</v>
      </c>
      <c r="GE6" s="74" t="s">
        <v>213</v>
      </c>
      <c r="GF6" s="74" t="s">
        <v>214</v>
      </c>
      <c r="GG6" s="75"/>
      <c r="GH6" s="73" t="s">
        <v>212</v>
      </c>
      <c r="GI6" s="74" t="s">
        <v>213</v>
      </c>
      <c r="GJ6" s="74" t="s">
        <v>214</v>
      </c>
      <c r="GK6" s="75"/>
      <c r="GL6" s="73" t="s">
        <v>212</v>
      </c>
      <c r="GM6" s="74" t="s">
        <v>213</v>
      </c>
      <c r="GN6" s="74" t="s">
        <v>214</v>
      </c>
      <c r="GO6" s="75"/>
      <c r="GP6" s="73" t="s">
        <v>212</v>
      </c>
      <c r="GQ6" s="74" t="s">
        <v>213</v>
      </c>
      <c r="GR6" s="74" t="s">
        <v>214</v>
      </c>
      <c r="GS6" s="75"/>
      <c r="GT6" s="73" t="s">
        <v>212</v>
      </c>
      <c r="GU6" s="74" t="s">
        <v>213</v>
      </c>
      <c r="GV6" s="74" t="s">
        <v>214</v>
      </c>
      <c r="GW6" s="75"/>
      <c r="GX6" s="73" t="s">
        <v>212</v>
      </c>
      <c r="GY6" s="74" t="s">
        <v>213</v>
      </c>
      <c r="GZ6" s="74" t="s">
        <v>214</v>
      </c>
      <c r="HA6" s="75"/>
      <c r="HB6" s="73" t="s">
        <v>212</v>
      </c>
      <c r="HC6" s="74" t="s">
        <v>213</v>
      </c>
      <c r="HD6" s="74" t="s">
        <v>214</v>
      </c>
      <c r="HE6" s="75"/>
      <c r="HF6" s="73" t="s">
        <v>212</v>
      </c>
      <c r="HG6" s="74" t="s">
        <v>213</v>
      </c>
      <c r="HH6" s="74" t="s">
        <v>214</v>
      </c>
      <c r="HI6" s="75"/>
      <c r="HJ6" s="73" t="s">
        <v>212</v>
      </c>
      <c r="HK6" s="74" t="s">
        <v>213</v>
      </c>
      <c r="HL6" s="74" t="s">
        <v>214</v>
      </c>
      <c r="HM6" s="75"/>
      <c r="HN6" s="73" t="s">
        <v>212</v>
      </c>
      <c r="HO6" s="74" t="s">
        <v>213</v>
      </c>
      <c r="HP6" s="74" t="s">
        <v>214</v>
      </c>
      <c r="HQ6" s="75"/>
      <c r="HR6" s="73" t="s">
        <v>212</v>
      </c>
      <c r="HS6" s="74" t="s">
        <v>213</v>
      </c>
      <c r="HT6" s="74" t="s">
        <v>214</v>
      </c>
      <c r="HU6" s="75"/>
      <c r="HV6" s="73" t="s">
        <v>212</v>
      </c>
      <c r="HW6" s="74" t="s">
        <v>213</v>
      </c>
      <c r="HX6" s="74" t="s">
        <v>214</v>
      </c>
      <c r="HZ6" s="73" t="s">
        <v>212</v>
      </c>
      <c r="IA6" s="74" t="s">
        <v>213</v>
      </c>
      <c r="IB6" s="74" t="s">
        <v>214</v>
      </c>
      <c r="IC6" s="75"/>
      <c r="ID6" s="73" t="s">
        <v>212</v>
      </c>
      <c r="IE6" s="74" t="s">
        <v>213</v>
      </c>
      <c r="IF6" s="74" t="s">
        <v>214</v>
      </c>
      <c r="IG6" s="75"/>
      <c r="IH6" s="73" t="s">
        <v>212</v>
      </c>
      <c r="II6" s="74" t="s">
        <v>213</v>
      </c>
      <c r="IJ6" s="74" t="s">
        <v>214</v>
      </c>
      <c r="IK6" s="75"/>
      <c r="IL6" s="73" t="s">
        <v>212</v>
      </c>
      <c r="IM6" s="74" t="s">
        <v>215</v>
      </c>
      <c r="IN6" s="74" t="s">
        <v>214</v>
      </c>
      <c r="IP6" s="73" t="s">
        <v>212</v>
      </c>
      <c r="IQ6" s="74" t="s">
        <v>215</v>
      </c>
      <c r="IR6" s="74" t="s">
        <v>214</v>
      </c>
      <c r="IT6" s="73" t="s">
        <v>212</v>
      </c>
      <c r="IU6" s="74" t="s">
        <v>215</v>
      </c>
      <c r="IV6" s="74" t="s">
        <v>214</v>
      </c>
      <c r="IX6" s="73" t="s">
        <v>212</v>
      </c>
      <c r="IY6" s="74" t="s">
        <v>215</v>
      </c>
      <c r="IZ6" s="74" t="s">
        <v>214</v>
      </c>
      <c r="JB6" s="73" t="s">
        <v>212</v>
      </c>
      <c r="JC6" s="74" t="s">
        <v>215</v>
      </c>
      <c r="JD6" s="74" t="s">
        <v>214</v>
      </c>
      <c r="JF6" s="73" t="s">
        <v>212</v>
      </c>
      <c r="JG6" s="74" t="s">
        <v>215</v>
      </c>
      <c r="JH6" s="74" t="s">
        <v>214</v>
      </c>
    </row>
    <row r="7" ht="9.75" customHeight="1" spans="2:268" s="23" customFormat="1" x14ac:dyDescent="0.25">
      <c r="B7" s="21"/>
      <c r="C7" s="72"/>
      <c r="D7" s="72"/>
      <c r="E7" s="21"/>
      <c r="F7" s="76"/>
      <c r="G7" s="75"/>
      <c r="H7" s="75"/>
      <c r="I7" s="75"/>
      <c r="J7" s="76"/>
      <c r="K7" s="75"/>
      <c r="L7" s="75"/>
      <c r="M7" s="75"/>
      <c r="N7" s="76"/>
      <c r="O7" s="75"/>
      <c r="P7" s="75"/>
      <c r="Q7" s="75"/>
      <c r="R7" s="76"/>
      <c r="S7" s="75"/>
      <c r="T7" s="75"/>
      <c r="U7" s="75"/>
      <c r="V7" s="76"/>
      <c r="W7" s="75"/>
      <c r="X7" s="75"/>
      <c r="Y7" s="75"/>
      <c r="Z7" s="76"/>
      <c r="AA7" s="75"/>
      <c r="AB7" s="75"/>
      <c r="AC7" s="75"/>
      <c r="AD7" s="76"/>
      <c r="AE7" s="75"/>
      <c r="AF7" s="75"/>
      <c r="AG7" s="75"/>
      <c r="AH7" s="76"/>
      <c r="AI7" s="75"/>
      <c r="AJ7" s="75"/>
      <c r="AK7" s="75"/>
      <c r="AL7" s="76"/>
      <c r="AM7" s="75"/>
      <c r="AN7" s="75"/>
      <c r="AO7" s="75"/>
      <c r="AP7" s="76"/>
      <c r="AQ7" s="75"/>
      <c r="AR7" s="75"/>
      <c r="AS7" s="75"/>
      <c r="AT7" s="76"/>
      <c r="AU7" s="75"/>
      <c r="AV7" s="75"/>
      <c r="AW7" s="75"/>
      <c r="AX7" s="76"/>
      <c r="AY7" s="75"/>
      <c r="AZ7" s="75"/>
      <c r="BA7" s="75"/>
      <c r="BB7" s="76"/>
      <c r="BC7" s="75"/>
      <c r="BD7" s="75"/>
      <c r="BE7" s="75"/>
      <c r="BF7" s="76"/>
      <c r="BG7" s="75"/>
      <c r="BH7" s="75"/>
      <c r="BI7" s="75"/>
      <c r="BJ7" s="76"/>
      <c r="BK7" s="75"/>
      <c r="BL7" s="75"/>
      <c r="BM7" s="75"/>
      <c r="BN7" s="76"/>
      <c r="BO7" s="75"/>
      <c r="BP7" s="75"/>
      <c r="BQ7" s="75"/>
      <c r="BR7" s="76"/>
      <c r="BS7" s="75"/>
      <c r="BT7" s="75"/>
      <c r="BU7" s="75"/>
      <c r="BV7" s="76"/>
      <c r="BW7" s="75"/>
      <c r="BX7" s="75"/>
      <c r="BY7" s="75"/>
      <c r="BZ7" s="76"/>
      <c r="CA7" s="75"/>
      <c r="CB7" s="75"/>
      <c r="CC7" s="75"/>
      <c r="CD7" s="76"/>
      <c r="CE7" s="75"/>
      <c r="CF7" s="75"/>
      <c r="CG7" s="75"/>
      <c r="CH7" s="76"/>
      <c r="CI7" s="75"/>
      <c r="CJ7" s="75"/>
      <c r="CK7" s="75"/>
      <c r="CL7" s="76"/>
      <c r="CM7" s="75"/>
      <c r="CN7" s="75"/>
      <c r="CO7" s="75"/>
      <c r="CP7" s="76"/>
      <c r="CQ7" s="75"/>
      <c r="CR7" s="75"/>
      <c r="CS7" s="75"/>
      <c r="CT7" s="76"/>
      <c r="CU7" s="75"/>
      <c r="CV7" s="75"/>
      <c r="CW7" s="75"/>
      <c r="CX7" s="76"/>
      <c r="CY7" s="75"/>
      <c r="CZ7" s="75"/>
      <c r="DA7" s="75"/>
      <c r="DB7" s="76"/>
      <c r="DC7" s="75"/>
      <c r="DD7" s="75"/>
      <c r="DE7" s="75"/>
      <c r="DF7" s="76"/>
      <c r="DG7" s="75"/>
      <c r="DH7" s="75"/>
      <c r="DI7" s="75"/>
      <c r="DJ7" s="76"/>
      <c r="DK7" s="75"/>
      <c r="DL7" s="75"/>
      <c r="DM7" s="75"/>
      <c r="DN7" s="76"/>
      <c r="DO7" s="75"/>
      <c r="DP7" s="75"/>
      <c r="DQ7" s="75"/>
      <c r="DR7" s="76"/>
      <c r="DS7" s="75"/>
      <c r="DT7" s="75"/>
      <c r="DU7" s="75"/>
      <c r="DV7" s="76"/>
      <c r="DW7" s="75"/>
      <c r="DX7" s="75"/>
      <c r="DY7" s="75"/>
      <c r="DZ7" s="76"/>
      <c r="EA7" s="75"/>
      <c r="EB7" s="75"/>
      <c r="EC7" s="75"/>
      <c r="ED7" s="76"/>
      <c r="EE7" s="75"/>
      <c r="EF7" s="75"/>
      <c r="EG7" s="75"/>
      <c r="EH7" s="76"/>
      <c r="EI7" s="75"/>
      <c r="EJ7" s="75"/>
      <c r="EK7" s="75"/>
      <c r="EL7" s="76"/>
      <c r="EM7" s="75"/>
      <c r="EN7" s="75"/>
      <c r="EO7" s="75"/>
      <c r="EP7" s="76"/>
      <c r="EQ7" s="75"/>
      <c r="ER7" s="75"/>
      <c r="ES7" s="75"/>
      <c r="ET7" s="76"/>
      <c r="EU7" s="75"/>
      <c r="EV7" s="75"/>
      <c r="EW7" s="75"/>
      <c r="EX7" s="76"/>
      <c r="EY7" s="75"/>
      <c r="EZ7" s="75"/>
      <c r="FA7" s="75"/>
      <c r="FB7" s="76"/>
      <c r="FC7" s="75"/>
      <c r="FD7" s="75"/>
      <c r="FE7" s="75"/>
      <c r="FF7" s="76"/>
      <c r="FG7" s="75"/>
      <c r="FH7" s="75"/>
      <c r="FI7" s="75"/>
      <c r="FJ7" s="76"/>
      <c r="FK7" s="75"/>
      <c r="FL7" s="75"/>
      <c r="FM7" s="75"/>
      <c r="FN7" s="76"/>
      <c r="FO7" s="75"/>
      <c r="FP7" s="75"/>
      <c r="FQ7" s="75"/>
      <c r="FR7" s="76"/>
      <c r="FS7" s="75"/>
      <c r="FT7" s="75"/>
      <c r="FU7" s="75"/>
      <c r="FV7" s="76"/>
      <c r="FW7" s="75"/>
      <c r="FX7" s="75"/>
      <c r="FY7" s="75"/>
      <c r="FZ7" s="76"/>
      <c r="GA7" s="75"/>
      <c r="GB7" s="75"/>
      <c r="GD7" s="76"/>
      <c r="GE7" s="75"/>
      <c r="GF7" s="75"/>
      <c r="GG7" s="75"/>
      <c r="GH7" s="76"/>
      <c r="GI7" s="75"/>
      <c r="GJ7" s="75"/>
      <c r="GK7" s="75"/>
      <c r="GL7" s="76"/>
      <c r="GM7" s="75"/>
      <c r="GN7" s="75"/>
      <c r="GO7" s="75"/>
      <c r="GP7" s="76"/>
      <c r="GQ7" s="75"/>
      <c r="GR7" s="75"/>
      <c r="GS7" s="75"/>
      <c r="GT7" s="76"/>
      <c r="GU7" s="75"/>
      <c r="GV7" s="75"/>
      <c r="GW7" s="75"/>
      <c r="GX7" s="76"/>
      <c r="GY7" s="75"/>
      <c r="GZ7" s="75"/>
      <c r="HA7" s="75"/>
      <c r="HB7" s="76"/>
      <c r="HC7" s="75"/>
      <c r="HD7" s="75"/>
      <c r="HE7" s="75"/>
      <c r="HF7" s="76"/>
      <c r="HG7" s="75"/>
      <c r="HH7" s="75"/>
      <c r="HI7" s="75"/>
      <c r="HJ7" s="76"/>
      <c r="HK7" s="75"/>
      <c r="HL7" s="75"/>
      <c r="HM7" s="75"/>
      <c r="HN7" s="76"/>
      <c r="HO7" s="75"/>
      <c r="HP7" s="75"/>
      <c r="HQ7" s="75"/>
      <c r="HR7" s="76"/>
      <c r="HS7" s="75"/>
      <c r="HT7" s="75"/>
      <c r="HU7" s="75"/>
      <c r="HV7" s="76"/>
      <c r="HW7" s="75"/>
      <c r="HX7" s="75"/>
      <c r="HZ7" s="76"/>
      <c r="IA7" s="75"/>
      <c r="IB7" s="75"/>
      <c r="IC7" s="75"/>
      <c r="ID7" s="76"/>
      <c r="IE7" s="75"/>
      <c r="IF7" s="75"/>
      <c r="IG7" s="75"/>
      <c r="IH7" s="76"/>
      <c r="II7" s="75"/>
      <c r="IJ7" s="75"/>
      <c r="IK7" s="75"/>
      <c r="IL7" s="76"/>
      <c r="IM7" s="75"/>
      <c r="IN7" s="75"/>
      <c r="IP7" s="76"/>
      <c r="IQ7" s="75"/>
      <c r="IR7" s="75"/>
      <c r="IT7" s="76"/>
      <c r="IU7" s="75"/>
      <c r="IV7" s="75"/>
      <c r="IX7" s="76"/>
      <c r="IY7" s="75"/>
      <c r="IZ7" s="75"/>
      <c r="JB7" s="76"/>
      <c r="JC7" s="75"/>
      <c r="JD7" s="75"/>
      <c r="JF7" s="76"/>
      <c r="JG7" s="75"/>
      <c r="JH7" s="75"/>
    </row>
    <row r="8" ht="18.75" customHeight="1" spans="2:268" s="28" customFormat="1" x14ac:dyDescent="0.25">
      <c r="B8" s="17"/>
      <c r="C8" s="17" t="s">
        <v>216</v>
      </c>
      <c r="D8" s="17" t="s">
        <v>109</v>
      </c>
      <c r="E8" s="17"/>
      <c r="F8" s="17"/>
      <c r="G8" s="77" t="s">
        <v>217</v>
      </c>
      <c r="H8" s="77"/>
      <c r="I8" s="77"/>
      <c r="J8" s="78">
        <f>'A.I Revenue Streams - P1'!K10+100%</f>
        <v>1.01</v>
      </c>
      <c r="K8" s="78">
        <v>1</v>
      </c>
      <c r="L8" s="77"/>
      <c r="M8" s="77"/>
      <c r="N8" s="78">
        <f>J8</f>
        <v>1.01</v>
      </c>
      <c r="O8" s="78">
        <v>1</v>
      </c>
      <c r="P8" s="77"/>
      <c r="Q8" s="77"/>
      <c r="R8" s="78">
        <f>N8</f>
        <v>1.01</v>
      </c>
      <c r="S8" s="78">
        <v>1</v>
      </c>
      <c r="T8" s="77"/>
      <c r="U8" s="77"/>
      <c r="V8" s="78">
        <f>R8</f>
        <v>1.01</v>
      </c>
      <c r="W8" s="78">
        <v>1</v>
      </c>
      <c r="X8" s="77"/>
      <c r="Y8" s="77"/>
      <c r="Z8" s="78">
        <f>V8</f>
        <v>1.01</v>
      </c>
      <c r="AA8" s="78">
        <v>1</v>
      </c>
      <c r="AB8" s="77"/>
      <c r="AC8" s="77"/>
      <c r="AD8" s="78">
        <f>Z8</f>
        <v>1.01</v>
      </c>
      <c r="AE8" s="78">
        <v>1</v>
      </c>
      <c r="AF8" s="77"/>
      <c r="AG8" s="77"/>
      <c r="AH8" s="78">
        <f>AD8</f>
        <v>1.01</v>
      </c>
      <c r="AI8" s="78">
        <v>1</v>
      </c>
      <c r="AJ8" s="77"/>
      <c r="AK8" s="77"/>
      <c r="AL8" s="78">
        <f>AH8</f>
        <v>1.01</v>
      </c>
      <c r="AM8" s="78">
        <v>1</v>
      </c>
      <c r="AN8" s="77"/>
      <c r="AO8" s="77"/>
      <c r="AP8" s="78">
        <v>1.1</v>
      </c>
      <c r="AQ8" s="78">
        <v>1</v>
      </c>
      <c r="AR8" s="77"/>
      <c r="AS8" s="77"/>
      <c r="AT8" s="78">
        <v>1</v>
      </c>
      <c r="AU8" s="78">
        <v>1</v>
      </c>
      <c r="AV8" s="77"/>
      <c r="AW8" s="77"/>
      <c r="AX8" s="78">
        <f>AT8</f>
        <v>1</v>
      </c>
      <c r="AY8" s="78">
        <v>1</v>
      </c>
      <c r="AZ8" s="77"/>
      <c r="BA8" s="77"/>
      <c r="BB8" s="79">
        <f>'A.I Revenue Streams - P1'!M10+100%</f>
        <v>1.8199999999999998</v>
      </c>
      <c r="BC8" s="79">
        <v>1</v>
      </c>
      <c r="BD8" s="77"/>
      <c r="BE8" s="77"/>
      <c r="BF8" s="79">
        <v>1</v>
      </c>
      <c r="BG8" s="78">
        <v>1</v>
      </c>
      <c r="BH8" s="77"/>
      <c r="BI8" s="77"/>
      <c r="BJ8" s="78">
        <v>1</v>
      </c>
      <c r="BK8" s="78">
        <v>1</v>
      </c>
      <c r="BL8" s="77"/>
      <c r="BM8" s="77"/>
      <c r="BN8" s="79">
        <f>BJ8</f>
        <v>1</v>
      </c>
      <c r="BO8" s="79">
        <v>1</v>
      </c>
      <c r="BP8" s="77"/>
      <c r="BQ8" s="77"/>
      <c r="BR8" s="78">
        <f>BN8</f>
        <v>1</v>
      </c>
      <c r="BS8" s="78">
        <v>1</v>
      </c>
      <c r="BT8" s="77"/>
      <c r="BU8" s="77"/>
      <c r="BV8" s="78">
        <f>BR8</f>
        <v>1</v>
      </c>
      <c r="BW8" s="78">
        <v>1</v>
      </c>
      <c r="BX8" s="77"/>
      <c r="BY8" s="77"/>
      <c r="BZ8" s="78">
        <f>BV8</f>
        <v>1</v>
      </c>
      <c r="CA8" s="78">
        <v>1</v>
      </c>
      <c r="CB8" s="77"/>
      <c r="CC8" s="77"/>
      <c r="CD8" s="78">
        <f>BZ8</f>
        <v>1</v>
      </c>
      <c r="CE8" s="78">
        <v>1</v>
      </c>
      <c r="CF8" s="77"/>
      <c r="CG8" s="77"/>
      <c r="CH8" s="79">
        <f>CD8</f>
        <v>1</v>
      </c>
      <c r="CI8" s="79">
        <v>1</v>
      </c>
      <c r="CJ8" s="77"/>
      <c r="CK8" s="77"/>
      <c r="CL8" s="78">
        <v>1</v>
      </c>
      <c r="CM8" s="78">
        <v>1</v>
      </c>
      <c r="CN8" s="77"/>
      <c r="CO8" s="77"/>
      <c r="CP8" s="78">
        <v>1</v>
      </c>
      <c r="CQ8" s="78">
        <v>1</v>
      </c>
      <c r="CR8" s="77"/>
      <c r="CS8" s="77"/>
      <c r="CT8" s="78">
        <f>CP8</f>
        <v>1</v>
      </c>
      <c r="CU8" s="78">
        <v>1</v>
      </c>
      <c r="CV8" s="77"/>
      <c r="CW8" s="77"/>
      <c r="CX8" s="79">
        <f>'A.I Revenue Streams - P1'!O10+100%</f>
        <v>1.7</v>
      </c>
      <c r="CY8" s="79">
        <v>1</v>
      </c>
      <c r="CZ8" s="77"/>
      <c r="DA8" s="77"/>
      <c r="DB8" s="78">
        <v>1</v>
      </c>
      <c r="DC8" s="78">
        <v>1</v>
      </c>
      <c r="DD8" s="77"/>
      <c r="DE8" s="77"/>
      <c r="DF8" s="78">
        <f>DB8</f>
        <v>1</v>
      </c>
      <c r="DG8" s="78">
        <v>1</v>
      </c>
      <c r="DH8" s="77"/>
      <c r="DI8" s="77"/>
      <c r="DJ8" s="79">
        <f>DF8</f>
        <v>1</v>
      </c>
      <c r="DK8" s="79">
        <v>1</v>
      </c>
      <c r="DL8" s="77"/>
      <c r="DM8" s="77"/>
      <c r="DN8" s="78">
        <f>DJ8</f>
        <v>1</v>
      </c>
      <c r="DO8" s="78">
        <v>1</v>
      </c>
      <c r="DP8" s="77"/>
      <c r="DQ8" s="77"/>
      <c r="DR8" s="78">
        <f>DN8</f>
        <v>1</v>
      </c>
      <c r="DS8" s="78">
        <v>1</v>
      </c>
      <c r="DT8" s="77"/>
      <c r="DU8" s="77"/>
      <c r="DV8" s="78">
        <f>DR8</f>
        <v>1</v>
      </c>
      <c r="DW8" s="78">
        <v>1</v>
      </c>
      <c r="DX8" s="77"/>
      <c r="DY8" s="77"/>
      <c r="DZ8" s="78">
        <f>DV8</f>
        <v>1</v>
      </c>
      <c r="EA8" s="78">
        <v>1</v>
      </c>
      <c r="EB8" s="77"/>
      <c r="EC8" s="77"/>
      <c r="ED8" s="79">
        <f>DZ8</f>
        <v>1</v>
      </c>
      <c r="EE8" s="79">
        <v>1</v>
      </c>
      <c r="EF8" s="77"/>
      <c r="EG8" s="77"/>
      <c r="EH8" s="78">
        <v>1</v>
      </c>
      <c r="EI8" s="78">
        <v>1</v>
      </c>
      <c r="EJ8" s="77"/>
      <c r="EK8" s="77"/>
      <c r="EL8" s="78">
        <v>1</v>
      </c>
      <c r="EM8" s="78">
        <v>1</v>
      </c>
      <c r="EN8" s="77"/>
      <c r="EO8" s="77"/>
      <c r="EP8" s="78">
        <f>EL8</f>
        <v>1</v>
      </c>
      <c r="EQ8" s="78">
        <v>1</v>
      </c>
      <c r="ER8" s="77"/>
      <c r="ES8" s="77"/>
      <c r="ET8" s="79">
        <f>'A.I Revenue Streams - P1'!Q10+100%</f>
        <v>1.55</v>
      </c>
      <c r="EU8" s="79">
        <v>1</v>
      </c>
      <c r="EV8" s="77"/>
      <c r="EW8" s="77"/>
      <c r="EX8" s="78">
        <v>1</v>
      </c>
      <c r="EY8" s="78">
        <v>1</v>
      </c>
      <c r="EZ8" s="77"/>
      <c r="FA8" s="77"/>
      <c r="FB8" s="78">
        <f>EX8</f>
        <v>1</v>
      </c>
      <c r="FC8" s="78">
        <v>1</v>
      </c>
      <c r="FD8" s="77"/>
      <c r="FE8" s="77"/>
      <c r="FF8" s="79">
        <f>FB8</f>
        <v>1</v>
      </c>
      <c r="FG8" s="79">
        <v>1</v>
      </c>
      <c r="FH8" s="77"/>
      <c r="FI8" s="77"/>
      <c r="FJ8" s="78">
        <f>FF8</f>
        <v>1</v>
      </c>
      <c r="FK8" s="78">
        <v>1</v>
      </c>
      <c r="FL8" s="77"/>
      <c r="FM8" s="77"/>
      <c r="FN8" s="78">
        <f>FJ8</f>
        <v>1</v>
      </c>
      <c r="FO8" s="78">
        <v>1</v>
      </c>
      <c r="FP8" s="77"/>
      <c r="FQ8" s="77"/>
      <c r="FR8" s="78">
        <f>FN8</f>
        <v>1</v>
      </c>
      <c r="FS8" s="78">
        <v>1</v>
      </c>
      <c r="FT8" s="77"/>
      <c r="FU8" s="77"/>
      <c r="FV8" s="78">
        <f>FR8</f>
        <v>1</v>
      </c>
      <c r="FW8" s="78">
        <v>1</v>
      </c>
      <c r="FX8" s="77"/>
      <c r="FY8" s="77"/>
      <c r="FZ8" s="79">
        <f>FV8</f>
        <v>1</v>
      </c>
      <c r="GA8" s="79">
        <v>1</v>
      </c>
      <c r="GB8" s="77"/>
      <c r="GD8" s="78">
        <v>1</v>
      </c>
      <c r="GE8" s="78">
        <v>1</v>
      </c>
      <c r="GF8" s="77"/>
      <c r="GG8" s="77"/>
      <c r="GH8" s="78">
        <v>1</v>
      </c>
      <c r="GI8" s="78">
        <v>1</v>
      </c>
      <c r="GJ8" s="77"/>
      <c r="GK8" s="77"/>
      <c r="GL8" s="78">
        <f>GH8</f>
        <v>1</v>
      </c>
      <c r="GM8" s="78">
        <v>1</v>
      </c>
      <c r="GN8" s="77"/>
      <c r="GO8" s="77"/>
      <c r="GP8" s="79">
        <f>'A.I Revenue Streams - P1'!S10+100%</f>
        <v>1.45</v>
      </c>
      <c r="GQ8" s="79">
        <v>1</v>
      </c>
      <c r="GR8" s="77"/>
      <c r="GS8" s="77"/>
      <c r="GT8" s="78">
        <v>1</v>
      </c>
      <c r="GU8" s="78">
        <v>1</v>
      </c>
      <c r="GV8" s="77"/>
      <c r="GW8" s="77"/>
      <c r="GX8" s="78">
        <f>GT8</f>
        <v>1</v>
      </c>
      <c r="GY8" s="78">
        <v>1</v>
      </c>
      <c r="GZ8" s="77"/>
      <c r="HA8" s="77"/>
      <c r="HB8" s="79">
        <f>GX8</f>
        <v>1</v>
      </c>
      <c r="HC8" s="79">
        <v>1</v>
      </c>
      <c r="HD8" s="77"/>
      <c r="HE8" s="77"/>
      <c r="HF8" s="78">
        <f>HB8</f>
        <v>1</v>
      </c>
      <c r="HG8" s="78">
        <v>1</v>
      </c>
      <c r="HH8" s="77"/>
      <c r="HI8" s="77"/>
      <c r="HJ8" s="78">
        <f>HF8</f>
        <v>1</v>
      </c>
      <c r="HK8" s="78">
        <v>1</v>
      </c>
      <c r="HL8" s="77"/>
      <c r="HM8" s="77"/>
      <c r="HN8" s="78">
        <f>HJ8</f>
        <v>1</v>
      </c>
      <c r="HO8" s="78">
        <v>1</v>
      </c>
      <c r="HP8" s="77"/>
      <c r="HQ8" s="77"/>
      <c r="HR8" s="78">
        <f>HN8</f>
        <v>1</v>
      </c>
      <c r="HS8" s="78">
        <v>1</v>
      </c>
      <c r="HT8" s="77"/>
      <c r="HU8" s="77"/>
      <c r="HV8" s="79">
        <f>HR8</f>
        <v>1</v>
      </c>
      <c r="HW8" s="79">
        <v>1</v>
      </c>
      <c r="HX8" s="77"/>
      <c r="HZ8" s="78">
        <v>1</v>
      </c>
      <c r="IA8" s="78">
        <v>1</v>
      </c>
      <c r="IB8" s="77"/>
      <c r="IC8" s="77"/>
      <c r="ID8" s="78">
        <v>1</v>
      </c>
      <c r="IE8" s="78">
        <v>1</v>
      </c>
      <c r="IF8" s="77"/>
      <c r="IG8" s="77"/>
      <c r="IH8" s="78">
        <f>ID8</f>
        <v>1</v>
      </c>
      <c r="II8" s="78">
        <v>1</v>
      </c>
      <c r="IJ8" s="77"/>
      <c r="IK8" s="77"/>
      <c r="IL8" s="78">
        <f>'A.I Revenue Streams - P2'!DI10+100%</f>
        <v>1</v>
      </c>
      <c r="IM8" s="78">
        <v>1</v>
      </c>
      <c r="IN8" s="77"/>
      <c r="IP8" s="78">
        <f>'A.I Revenue Streams - P2'!DM10+100%</f>
        <v>1</v>
      </c>
      <c r="IQ8" s="78">
        <v>1</v>
      </c>
      <c r="IR8" s="77"/>
      <c r="IT8" s="78">
        <f>'A.I Revenue Streams - P2'!DQ10+100%</f>
        <v>1</v>
      </c>
      <c r="IU8" s="78">
        <v>1</v>
      </c>
      <c r="IV8" s="77"/>
      <c r="IX8" s="78">
        <f>'A.I Revenue Streams - P2'!DU10+100%</f>
        <v>1</v>
      </c>
      <c r="IY8" s="78">
        <v>1</v>
      </c>
      <c r="IZ8" s="77"/>
      <c r="JB8" s="78">
        <f>'A.I Revenue Streams - P2'!DY10+100%</f>
        <v>1</v>
      </c>
      <c r="JC8" s="78">
        <v>1</v>
      </c>
      <c r="JD8" s="77"/>
      <c r="JF8" s="78">
        <f>'A.I Revenue Streams - P2'!EC10+100%</f>
        <v>1</v>
      </c>
      <c r="JG8" s="78">
        <v>1</v>
      </c>
      <c r="JH8" s="77"/>
    </row>
    <row r="9" ht="18.75" customHeight="1" spans="2:268" x14ac:dyDescent="0.25">
      <c r="B9" s="5">
        <v>1</v>
      </c>
      <c r="C9" s="29" t="str">
        <f>'A.I Revenue Streams - P1'!D9</f>
        <v>Doctor Consultations</v>
      </c>
      <c r="D9" s="27"/>
      <c r="E9" s="28"/>
      <c r="F9" s="51"/>
      <c r="G9" s="51"/>
      <c r="H9" s="51"/>
      <c r="I9" s="54"/>
      <c r="J9" s="51"/>
      <c r="K9" s="51"/>
      <c r="L9" s="51"/>
      <c r="M9" s="54"/>
      <c r="N9" s="51"/>
      <c r="O9" s="51"/>
      <c r="P9" s="51"/>
      <c r="Q9" s="54"/>
      <c r="R9" s="51"/>
      <c r="S9" s="51"/>
      <c r="T9" s="51"/>
      <c r="U9" s="54"/>
      <c r="V9" s="51"/>
      <c r="W9" s="51"/>
      <c r="X9" s="51"/>
      <c r="Y9" s="54"/>
      <c r="Z9" s="51"/>
      <c r="AA9" s="51"/>
      <c r="AB9" s="51"/>
      <c r="AC9" s="54"/>
      <c r="AD9" s="51"/>
      <c r="AE9" s="51"/>
      <c r="AF9" s="51"/>
      <c r="AG9" s="54"/>
      <c r="AH9" s="51"/>
      <c r="AI9" s="51"/>
      <c r="AJ9" s="51"/>
      <c r="AK9" s="54"/>
      <c r="AL9" s="51"/>
      <c r="AM9" s="51"/>
      <c r="AN9" s="51"/>
      <c r="AO9" s="54"/>
      <c r="AP9" s="51"/>
      <c r="AQ9" s="51"/>
      <c r="AR9" s="51"/>
      <c r="AS9" s="54"/>
      <c r="AT9" s="51"/>
      <c r="AU9" s="51"/>
      <c r="AV9" s="51"/>
      <c r="AW9" s="54"/>
      <c r="AX9" s="51"/>
      <c r="AY9" s="51"/>
      <c r="AZ9" s="51"/>
      <c r="BA9" s="54"/>
      <c r="BB9" s="51"/>
      <c r="BC9" s="51"/>
      <c r="BD9" s="51"/>
      <c r="BE9" s="54"/>
      <c r="BF9" s="51"/>
      <c r="BG9" s="51"/>
      <c r="BH9" s="51"/>
      <c r="BI9" s="54"/>
      <c r="BJ9" s="51"/>
      <c r="BK9" s="51"/>
      <c r="BL9" s="51"/>
      <c r="BM9" s="54"/>
      <c r="BN9" s="51"/>
      <c r="BO9" s="51"/>
      <c r="BP9" s="51"/>
      <c r="BQ9" s="54"/>
      <c r="BR9" s="51"/>
      <c r="BS9" s="51"/>
      <c r="BT9" s="51"/>
      <c r="BU9" s="54"/>
      <c r="BV9" s="51"/>
      <c r="BW9" s="51"/>
      <c r="BX9" s="51"/>
      <c r="BY9" s="54"/>
      <c r="BZ9" s="51"/>
      <c r="CA9" s="51"/>
      <c r="CB9" s="51"/>
      <c r="CC9" s="54"/>
      <c r="CD9" s="51"/>
      <c r="CE9" s="51"/>
      <c r="CF9" s="51"/>
      <c r="CG9" s="54"/>
      <c r="CH9" s="51"/>
      <c r="CI9" s="51"/>
      <c r="CJ9" s="51"/>
      <c r="CK9" s="54"/>
      <c r="CL9" s="51"/>
      <c r="CM9" s="51"/>
      <c r="CN9" s="51"/>
      <c r="CO9" s="54"/>
      <c r="CP9" s="51"/>
      <c r="CQ9" s="51"/>
      <c r="CR9" s="51"/>
      <c r="CS9" s="54"/>
      <c r="CT9" s="51"/>
      <c r="CU9" s="51"/>
      <c r="CV9" s="51"/>
      <c r="CW9" s="54"/>
      <c r="CX9" s="51"/>
      <c r="CY9" s="51"/>
      <c r="CZ9" s="51"/>
      <c r="DA9" s="54"/>
      <c r="DB9" s="51"/>
      <c r="DC9" s="51"/>
      <c r="DD9" s="51"/>
      <c r="DE9" s="54"/>
      <c r="DF9" s="51"/>
      <c r="DG9" s="51"/>
      <c r="DH9" s="51"/>
      <c r="DI9" s="54"/>
      <c r="DJ9" s="51"/>
      <c r="DK9" s="51"/>
      <c r="DL9" s="51"/>
      <c r="DM9" s="54"/>
      <c r="DN9" s="51"/>
      <c r="DO9" s="51"/>
      <c r="DP9" s="51"/>
      <c r="DQ9" s="54"/>
      <c r="DR9" s="51"/>
      <c r="DS9" s="51"/>
      <c r="DT9" s="51"/>
      <c r="DU9" s="54"/>
      <c r="DV9" s="51"/>
      <c r="DW9" s="51"/>
      <c r="DX9" s="51"/>
      <c r="DY9" s="54"/>
      <c r="DZ9" s="51"/>
      <c r="EA9" s="51"/>
      <c r="EB9" s="51"/>
      <c r="EC9" s="54"/>
      <c r="ED9" s="51"/>
      <c r="EE9" s="51"/>
      <c r="EF9" s="51"/>
      <c r="EG9" s="54"/>
      <c r="EH9" s="51"/>
      <c r="EI9" s="51"/>
      <c r="EJ9" s="51"/>
      <c r="EK9" s="54"/>
      <c r="EL9" s="51"/>
      <c r="EM9" s="51"/>
      <c r="EN9" s="51"/>
      <c r="EO9" s="54"/>
      <c r="EP9" s="51"/>
      <c r="EQ9" s="51"/>
      <c r="ER9" s="51"/>
      <c r="ES9" s="54"/>
      <c r="ET9" s="51"/>
      <c r="EU9" s="51"/>
      <c r="EV9" s="51"/>
      <c r="EW9" s="54"/>
      <c r="EX9" s="51"/>
      <c r="EY9" s="51"/>
      <c r="EZ9" s="51"/>
      <c r="FA9" s="54"/>
      <c r="FB9" s="51"/>
      <c r="FC9" s="51"/>
      <c r="FD9" s="51"/>
      <c r="FE9" s="54"/>
      <c r="FF9" s="51"/>
      <c r="FG9" s="51"/>
      <c r="FH9" s="51"/>
      <c r="FI9" s="54"/>
      <c r="FJ9" s="51"/>
      <c r="FK9" s="51"/>
      <c r="FL9" s="51"/>
      <c r="FM9" s="54"/>
      <c r="FN9" s="51"/>
      <c r="FO9" s="51"/>
      <c r="FP9" s="51"/>
      <c r="FQ9" s="54"/>
      <c r="FR9" s="51"/>
      <c r="FS9" s="51"/>
      <c r="FT9" s="51"/>
      <c r="FU9" s="54"/>
      <c r="FV9" s="51"/>
      <c r="FW9" s="51"/>
      <c r="FX9" s="51"/>
      <c r="FY9" s="54"/>
      <c r="FZ9" s="51"/>
      <c r="GA9" s="51"/>
      <c r="GB9" s="51"/>
      <c r="GD9" s="51"/>
      <c r="GE9" s="51"/>
      <c r="GF9" s="51"/>
      <c r="GG9" s="54"/>
      <c r="GH9" s="51"/>
      <c r="GI9" s="51"/>
      <c r="GJ9" s="51"/>
      <c r="GK9" s="54"/>
      <c r="GL9" s="51"/>
      <c r="GM9" s="51"/>
      <c r="GN9" s="51"/>
      <c r="GO9" s="54"/>
      <c r="GP9" s="51"/>
      <c r="GQ9" s="51"/>
      <c r="GR9" s="51"/>
      <c r="GS9" s="54"/>
      <c r="GT9" s="51"/>
      <c r="GU9" s="51"/>
      <c r="GV9" s="51"/>
      <c r="GW9" s="54"/>
      <c r="GX9" s="51"/>
      <c r="GY9" s="51"/>
      <c r="GZ9" s="51"/>
      <c r="HA9" s="54"/>
      <c r="HB9" s="51"/>
      <c r="HC9" s="51"/>
      <c r="HD9" s="51"/>
      <c r="HE9" s="54"/>
      <c r="HF9" s="51"/>
      <c r="HG9" s="51"/>
      <c r="HH9" s="51"/>
      <c r="HI9" s="54"/>
      <c r="HJ9" s="51"/>
      <c r="HK9" s="51"/>
      <c r="HL9" s="51"/>
      <c r="HM9" s="54"/>
      <c r="HN9" s="51"/>
      <c r="HO9" s="51"/>
      <c r="HP9" s="51"/>
      <c r="HQ9" s="54"/>
      <c r="HR9" s="51"/>
      <c r="HS9" s="51"/>
      <c r="HT9" s="51"/>
      <c r="HU9" s="54"/>
      <c r="HV9" s="51"/>
      <c r="HW9" s="51"/>
      <c r="HX9" s="51"/>
      <c r="HZ9" s="51"/>
      <c r="IA9" s="51"/>
      <c r="IB9" s="51"/>
      <c r="IC9" s="54"/>
      <c r="ID9" s="51"/>
      <c r="IE9" s="51"/>
      <c r="IF9" s="51"/>
      <c r="IG9" s="54"/>
      <c r="IH9" s="51"/>
      <c r="II9" s="51"/>
      <c r="IJ9" s="51"/>
      <c r="IK9" s="54"/>
      <c r="IL9" s="80"/>
      <c r="IM9" s="80"/>
      <c r="IN9" s="80"/>
      <c r="IP9" s="80"/>
      <c r="IQ9" s="80"/>
      <c r="IR9" s="80"/>
      <c r="IT9" s="80"/>
      <c r="IU9" s="80"/>
      <c r="IV9" s="80"/>
      <c r="IX9" s="80"/>
      <c r="IY9" s="80"/>
      <c r="IZ9" s="80"/>
      <c r="JB9" s="80"/>
      <c r="JC9" s="80"/>
      <c r="JD9" s="80"/>
      <c r="JF9" s="80"/>
      <c r="JG9" s="80"/>
      <c r="JH9" s="80"/>
    </row>
    <row r="10" ht="21" customHeight="1" spans="2:271" x14ac:dyDescent="0.25">
      <c r="B10" s="5" t="s">
        <v>52</v>
      </c>
      <c r="C10" s="29"/>
      <c r="D10" s="29" t="str">
        <f>'A.I Revenue Streams - P1'!E10</f>
        <v>Platform Access Fees</v>
      </c>
      <c r="E10" s="30"/>
      <c r="F10" s="51">
        <f>'A.I Revenue Streams - P1'!G10</f>
        <v>28000</v>
      </c>
      <c r="G10" s="51">
        <f>'A.I Revenue Streams - P1'!I10</f>
        <v>30</v>
      </c>
      <c r="H10" s="51">
        <f>F10*G10</f>
        <v>840000</v>
      </c>
      <c r="I10" s="54"/>
      <c r="J10" s="51">
        <f>F10*$J$8</f>
        <v>28280</v>
      </c>
      <c r="K10" s="51">
        <f>G10*$K$8</f>
        <v>30</v>
      </c>
      <c r="L10" s="51">
        <f>J10*K10</f>
        <v>848400</v>
      </c>
      <c r="M10" s="54"/>
      <c r="N10" s="51">
        <f>J10*$N$8</f>
        <v>28562.8</v>
      </c>
      <c r="O10" s="51">
        <f>K10*$O$8</f>
        <v>30</v>
      </c>
      <c r="P10" s="51">
        <f>N10*O10</f>
        <v>856884</v>
      </c>
      <c r="Q10" s="54"/>
      <c r="R10" s="51">
        <f>N10*$R$8</f>
        <v>28848.428</v>
      </c>
      <c r="S10" s="51">
        <f>O10*$S$8</f>
        <v>30</v>
      </c>
      <c r="T10" s="51">
        <f>R10*S10</f>
        <v>865452.84</v>
      </c>
      <c r="U10" s="54"/>
      <c r="V10" s="51">
        <f>R10*$V$8</f>
        <v>29136.91228</v>
      </c>
      <c r="W10" s="51">
        <f>S10*$W$8</f>
        <v>30</v>
      </c>
      <c r="X10" s="51">
        <f>V10*W10</f>
        <v>874107.3684</v>
      </c>
      <c r="Y10" s="54"/>
      <c r="Z10" s="51">
        <f>V10*$Z$8</f>
        <v>29428.2814028</v>
      </c>
      <c r="AA10" s="51">
        <f>W10*$AA$8</f>
        <v>30</v>
      </c>
      <c r="AB10" s="51">
        <f>Z10*AA10</f>
        <v>882848.442084</v>
      </c>
      <c r="AC10" s="54"/>
      <c r="AD10" s="51">
        <f>Z10*$AD$8</f>
        <v>29722.564216828</v>
      </c>
      <c r="AE10" s="51">
        <f>AA10*$AE$8</f>
        <v>30</v>
      </c>
      <c r="AF10" s="51">
        <f>AD10*AE10</f>
        <v>891676.92650484</v>
      </c>
      <c r="AG10" s="54"/>
      <c r="AH10" s="51">
        <f>AD10*$AH$8</f>
        <v>30019.78985899628</v>
      </c>
      <c r="AI10" s="51">
        <f>AE10*$AI$8</f>
        <v>30</v>
      </c>
      <c r="AJ10" s="51">
        <f>AH10*AI10</f>
        <v>900593.6957698883</v>
      </c>
      <c r="AK10" s="54"/>
      <c r="AL10" s="51">
        <f>AH10*$AL$8</f>
        <v>30319.98775758624</v>
      </c>
      <c r="AM10" s="51">
        <f>AI10*$AM$8</f>
        <v>30</v>
      </c>
      <c r="AN10" s="51">
        <f>AL10*AM10</f>
        <v>909599.6327275872</v>
      </c>
      <c r="AO10" s="54"/>
      <c r="AP10" s="51">
        <f>AL10*$AP$8</f>
        <v>33351.98653334487</v>
      </c>
      <c r="AQ10" s="51">
        <f>AM10*$AQ$8</f>
        <v>30</v>
      </c>
      <c r="AR10" s="51">
        <f>AP10*AQ10</f>
        <v>1000559.5960003461</v>
      </c>
      <c r="AS10" s="54"/>
      <c r="AT10" s="51">
        <f>AP10*$AT$8</f>
        <v>33351.98653334487</v>
      </c>
      <c r="AU10" s="51">
        <f>AQ10*$AU$8</f>
        <v>30</v>
      </c>
      <c r="AV10" s="51">
        <f>AT10*AU10</f>
        <v>1000559.5960003461</v>
      </c>
      <c r="AW10" s="54"/>
      <c r="AX10" s="51">
        <f>AT10*$AX$8</f>
        <v>33351.98653334487</v>
      </c>
      <c r="AY10" s="51">
        <f>AU10*$AY$8</f>
        <v>30</v>
      </c>
      <c r="AZ10" s="51">
        <f>AX10*AY10</f>
        <v>1000559.5960003461</v>
      </c>
      <c r="BA10" s="54"/>
      <c r="BB10" s="51">
        <f>AX10*$BB$8</f>
        <v>60700.615490687655</v>
      </c>
      <c r="BC10" s="51">
        <f>AY10*$BC$8</f>
        <v>30</v>
      </c>
      <c r="BD10" s="51">
        <f>BB10*BC10</f>
        <v>1821018.4647206296</v>
      </c>
      <c r="BE10" s="54"/>
      <c r="BF10" s="51">
        <f>BB10*$BF$8</f>
        <v>60700.615490687655</v>
      </c>
      <c r="BG10" s="51">
        <f>BC10*$BG$8</f>
        <v>30</v>
      </c>
      <c r="BH10" s="51">
        <f>BF10*BG10</f>
        <v>1821018.4647206296</v>
      </c>
      <c r="BI10" s="54"/>
      <c r="BJ10" s="51">
        <f>BF10*$BJ$8</f>
        <v>60700.615490687655</v>
      </c>
      <c r="BK10" s="51">
        <f>BG10*$BK$8</f>
        <v>30</v>
      </c>
      <c r="BL10" s="51">
        <f>BJ10*BK10</f>
        <v>1821018.4647206296</v>
      </c>
      <c r="BM10" s="54"/>
      <c r="BN10" s="51">
        <f>BJ10*$BN$8</f>
        <v>60700.615490687655</v>
      </c>
      <c r="BO10" s="51">
        <f>BK10*$BO$8</f>
        <v>30</v>
      </c>
      <c r="BP10" s="51">
        <f>BN10*BO10</f>
        <v>1821018.4647206296</v>
      </c>
      <c r="BQ10" s="54"/>
      <c r="BR10" s="51">
        <f>BN10*$BR$8</f>
        <v>60700.615490687655</v>
      </c>
      <c r="BS10" s="51">
        <f>BO10*$BS$8</f>
        <v>30</v>
      </c>
      <c r="BT10" s="51">
        <f>BR10*BS10</f>
        <v>1821018.4647206296</v>
      </c>
      <c r="BU10" s="54"/>
      <c r="BV10" s="51">
        <f>BR10*$BV$8</f>
        <v>60700.615490687655</v>
      </c>
      <c r="BW10" s="51">
        <f>BS10*$BW$8</f>
        <v>30</v>
      </c>
      <c r="BX10" s="51">
        <f>BV10*BW10</f>
        <v>1821018.4647206296</v>
      </c>
      <c r="BY10" s="54"/>
      <c r="BZ10" s="51">
        <f>BV10*$BZ$8</f>
        <v>60700.615490687655</v>
      </c>
      <c r="CA10" s="51">
        <f>BW10*$CA$8</f>
        <v>30</v>
      </c>
      <c r="CB10" s="51">
        <f>BZ10*CA10</f>
        <v>1821018.4647206296</v>
      </c>
      <c r="CC10" s="54"/>
      <c r="CD10" s="51">
        <f>BZ10*$CD$8</f>
        <v>60700.615490687655</v>
      </c>
      <c r="CE10" s="51">
        <f>CA10*$CE$8</f>
        <v>30</v>
      </c>
      <c r="CF10" s="51">
        <f>CD10*CE10</f>
        <v>1821018.4647206296</v>
      </c>
      <c r="CG10" s="54"/>
      <c r="CH10" s="51">
        <f>CD10*$CH$8</f>
        <v>60700.615490687655</v>
      </c>
      <c r="CI10" s="51">
        <f>CE10*$CI$8</f>
        <v>30</v>
      </c>
      <c r="CJ10" s="51">
        <f>CH10*CI10</f>
        <v>1821018.4647206296</v>
      </c>
      <c r="CK10" s="54"/>
      <c r="CL10" s="51">
        <f>CH10*$CL$8</f>
        <v>60700.615490687655</v>
      </c>
      <c r="CM10" s="51">
        <f>CI10*$CM$8</f>
        <v>30</v>
      </c>
      <c r="CN10" s="51">
        <f>CL10*CM10</f>
        <v>1821018.4647206296</v>
      </c>
      <c r="CO10" s="54"/>
      <c r="CP10" s="51">
        <f>CL10*$CP$8</f>
        <v>60700.615490687655</v>
      </c>
      <c r="CQ10" s="51">
        <f>CM10*$CQ$8</f>
        <v>30</v>
      </c>
      <c r="CR10" s="51">
        <f>CP10*CQ10</f>
        <v>1821018.4647206296</v>
      </c>
      <c r="CS10" s="54"/>
      <c r="CT10" s="51">
        <f>CP10*$CT$8</f>
        <v>60700.615490687655</v>
      </c>
      <c r="CU10" s="51">
        <f>CQ10*$CU$8</f>
        <v>30</v>
      </c>
      <c r="CV10" s="51">
        <f>CT10*CU10</f>
        <v>1821018.4647206296</v>
      </c>
      <c r="CW10" s="54"/>
      <c r="CX10" s="51">
        <f>CT10*$CX$8</f>
        <v>103191.046334169</v>
      </c>
      <c r="CY10" s="51">
        <f>CU10*$CY$8</f>
        <v>30</v>
      </c>
      <c r="CZ10" s="51">
        <f>CX10*CY10</f>
        <v>3095731.39002507</v>
      </c>
      <c r="DA10" s="54"/>
      <c r="DB10" s="51">
        <f>CX10*$DB$8</f>
        <v>103191.046334169</v>
      </c>
      <c r="DC10" s="51">
        <f>CY10*$DC$8</f>
        <v>30</v>
      </c>
      <c r="DD10" s="51">
        <f>DB10*DC10</f>
        <v>3095731.39002507</v>
      </c>
      <c r="DE10" s="54"/>
      <c r="DF10" s="51">
        <f>DB10*$DF$8</f>
        <v>103191.046334169</v>
      </c>
      <c r="DG10" s="51">
        <f>DC10*$DG$8</f>
        <v>30</v>
      </c>
      <c r="DH10" s="51">
        <f>DF10*DG10</f>
        <v>3095731.39002507</v>
      </c>
      <c r="DI10" s="54"/>
      <c r="DJ10" s="51">
        <f>DF10*$DJ$8</f>
        <v>103191.046334169</v>
      </c>
      <c r="DK10" s="51">
        <f>DG10*$DK$8</f>
        <v>30</v>
      </c>
      <c r="DL10" s="51">
        <f>DJ10*DK10</f>
        <v>3095731.39002507</v>
      </c>
      <c r="DM10" s="54"/>
      <c r="DN10" s="51">
        <f>DJ10*$DN$8</f>
        <v>103191.046334169</v>
      </c>
      <c r="DO10" s="51">
        <f>DK10*$DO$8</f>
        <v>30</v>
      </c>
      <c r="DP10" s="51">
        <f>DN10*DO10</f>
        <v>3095731.39002507</v>
      </c>
      <c r="DQ10" s="54"/>
      <c r="DR10" s="51">
        <f>DN10*$DR$8</f>
        <v>103191.046334169</v>
      </c>
      <c r="DS10" s="51">
        <f>DO10*$DS$8</f>
        <v>30</v>
      </c>
      <c r="DT10" s="51">
        <f>DR10*DS10</f>
        <v>3095731.39002507</v>
      </c>
      <c r="DU10" s="54"/>
      <c r="DV10" s="51">
        <f>DR10*$DV$8</f>
        <v>103191.046334169</v>
      </c>
      <c r="DW10" s="51">
        <f>DS10*$DW$8</f>
        <v>30</v>
      </c>
      <c r="DX10" s="51">
        <f>DV10*DW10</f>
        <v>3095731.39002507</v>
      </c>
      <c r="DY10" s="54"/>
      <c r="DZ10" s="51">
        <f>DV10*$DZ$8</f>
        <v>103191.046334169</v>
      </c>
      <c r="EA10" s="51">
        <f>DW10*$EA$8</f>
        <v>30</v>
      </c>
      <c r="EB10" s="51">
        <f>DZ10*EA10</f>
        <v>3095731.39002507</v>
      </c>
      <c r="EC10" s="54"/>
      <c r="ED10" s="51">
        <f>DZ10*$ED$8</f>
        <v>103191.046334169</v>
      </c>
      <c r="EE10" s="51">
        <f>EA10*$EE$8</f>
        <v>30</v>
      </c>
      <c r="EF10" s="51">
        <f>ED10*EE10</f>
        <v>3095731.39002507</v>
      </c>
      <c r="EG10" s="54"/>
      <c r="EH10" s="51">
        <f>ED10*$EH$8</f>
        <v>103191.046334169</v>
      </c>
      <c r="EI10" s="51">
        <f>EE10*$EI$8</f>
        <v>30</v>
      </c>
      <c r="EJ10" s="51">
        <f>EH10*EI10</f>
        <v>3095731.39002507</v>
      </c>
      <c r="EK10" s="54"/>
      <c r="EL10" s="51">
        <f>EH10*$EL$8</f>
        <v>103191.046334169</v>
      </c>
      <c r="EM10" s="51">
        <f>EI10*$EM$8</f>
        <v>30</v>
      </c>
      <c r="EN10" s="51">
        <f>EL10*EM10</f>
        <v>3095731.39002507</v>
      </c>
      <c r="EO10" s="54"/>
      <c r="EP10" s="51">
        <f>EL10*$EP$8</f>
        <v>103191.046334169</v>
      </c>
      <c r="EQ10" s="51">
        <f>EM10*$EQ$8</f>
        <v>30</v>
      </c>
      <c r="ER10" s="51">
        <f>EP10*EQ10</f>
        <v>3095731.39002507</v>
      </c>
      <c r="ES10" s="54"/>
      <c r="ET10" s="51">
        <f>EP10*$ET$8</f>
        <v>159946.12181796198</v>
      </c>
      <c r="EU10" s="51">
        <f>EQ10*$EU$8</f>
        <v>30</v>
      </c>
      <c r="EV10" s="51">
        <f>ET10*EU10</f>
        <v>4798383.65453886</v>
      </c>
      <c r="EW10" s="54"/>
      <c r="EX10" s="51">
        <f>ET10*$EX$8</f>
        <v>159946.12181796198</v>
      </c>
      <c r="EY10" s="51">
        <f>EU10*$EY$8</f>
        <v>30</v>
      </c>
      <c r="EZ10" s="51">
        <f>EX10*EY10</f>
        <v>4798383.65453886</v>
      </c>
      <c r="FA10" s="54"/>
      <c r="FB10" s="51">
        <f>EX10*$FB$8</f>
        <v>159946.12181796198</v>
      </c>
      <c r="FC10" s="51">
        <f>EY10*$FC$8</f>
        <v>30</v>
      </c>
      <c r="FD10" s="51">
        <f>FB10*FC10</f>
        <v>4798383.65453886</v>
      </c>
      <c r="FE10" s="54"/>
      <c r="FF10" s="51">
        <f>FB10*$FF$8</f>
        <v>159946.12181796198</v>
      </c>
      <c r="FG10" s="51">
        <f>FC10*$FG$8</f>
        <v>30</v>
      </c>
      <c r="FH10" s="51">
        <f>FF10*FG10</f>
        <v>4798383.65453886</v>
      </c>
      <c r="FI10" s="54"/>
      <c r="FJ10" s="51">
        <f>FF10*$FJ$8</f>
        <v>159946.12181796198</v>
      </c>
      <c r="FK10" s="51">
        <f>FG10*$FK$8</f>
        <v>30</v>
      </c>
      <c r="FL10" s="51">
        <f>FJ10*FK10</f>
        <v>4798383.65453886</v>
      </c>
      <c r="FM10" s="54"/>
      <c r="FN10" s="51">
        <f>FJ10*$FN$8</f>
        <v>159946.12181796198</v>
      </c>
      <c r="FO10" s="51">
        <f>FK10*$FO$8</f>
        <v>30</v>
      </c>
      <c r="FP10" s="51">
        <f>FN10*FO10</f>
        <v>4798383.65453886</v>
      </c>
      <c r="FQ10" s="54"/>
      <c r="FR10" s="51">
        <f>FN10*$FR$8</f>
        <v>159946.12181796198</v>
      </c>
      <c r="FS10" s="51">
        <f>FO10*$FS$8</f>
        <v>30</v>
      </c>
      <c r="FT10" s="51">
        <f>FR10*FS10</f>
        <v>4798383.65453886</v>
      </c>
      <c r="FU10" s="54"/>
      <c r="FV10" s="51">
        <f>FR10*$FV$8</f>
        <v>159946.12181796198</v>
      </c>
      <c r="FW10" s="51">
        <f>FS10*$FW$8</f>
        <v>30</v>
      </c>
      <c r="FX10" s="51">
        <f>FV10*FW10</f>
        <v>4798383.65453886</v>
      </c>
      <c r="FY10" s="54"/>
      <c r="FZ10" s="51">
        <f>FV10*$FZ$8</f>
        <v>159946.12181796198</v>
      </c>
      <c r="GA10" s="51">
        <f>FW10*$GA$8</f>
        <v>30</v>
      </c>
      <c r="GB10" s="51">
        <f>FZ10*GA10</f>
        <v>4798383.65453886</v>
      </c>
      <c r="GD10" s="51">
        <f>FZ10*$GD$8</f>
        <v>159946.12181796198</v>
      </c>
      <c r="GE10" s="51">
        <f>GA10*$GE$8</f>
        <v>30</v>
      </c>
      <c r="GF10" s="51">
        <f>GD10*GE10</f>
        <v>4798383.65453886</v>
      </c>
      <c r="GG10" s="54"/>
      <c r="GH10" s="51">
        <f>GD10*$GH$8</f>
        <v>159946.12181796198</v>
      </c>
      <c r="GI10" s="51">
        <f>GE10*$GI$8</f>
        <v>30</v>
      </c>
      <c r="GJ10" s="51">
        <f>GH10*GI10</f>
        <v>4798383.65453886</v>
      </c>
      <c r="GK10" s="54"/>
      <c r="GL10" s="51">
        <f>GH10*$GL$8</f>
        <v>159946.12181796198</v>
      </c>
      <c r="GM10" s="51">
        <f>GI10*$GM$8</f>
        <v>30</v>
      </c>
      <c r="GN10" s="51">
        <f>GL10*GM10</f>
        <v>4798383.65453886</v>
      </c>
      <c r="GO10" s="54"/>
      <c r="GP10" s="51">
        <f>GL10*$GP$8</f>
        <v>231921.87663604485</v>
      </c>
      <c r="GQ10" s="51">
        <f>GM10*$GQ$8</f>
        <v>30</v>
      </c>
      <c r="GR10" s="51">
        <f>GP10*GQ10</f>
        <v>6957656.299081345</v>
      </c>
      <c r="GS10" s="54"/>
      <c r="GT10" s="51">
        <f>GP10*$GT$8</f>
        <v>231921.87663604485</v>
      </c>
      <c r="GU10" s="51">
        <f>GQ10*$GU$8</f>
        <v>30</v>
      </c>
      <c r="GV10" s="51">
        <f>GT10*GU10</f>
        <v>6957656.299081345</v>
      </c>
      <c r="GW10" s="54"/>
      <c r="GX10" s="51">
        <f>GT10*$GX$8</f>
        <v>231921.87663604485</v>
      </c>
      <c r="GY10" s="51">
        <f>GU10*$GY$8</f>
        <v>30</v>
      </c>
      <c r="GZ10" s="51">
        <f>GX10*GY10</f>
        <v>6957656.299081345</v>
      </c>
      <c r="HA10" s="54"/>
      <c r="HB10" s="51">
        <f>GX10*$HB$8</f>
        <v>231921.87663604485</v>
      </c>
      <c r="HC10" s="51">
        <f>GY10*$HC$8</f>
        <v>30</v>
      </c>
      <c r="HD10" s="51">
        <f>HB10*HC10</f>
        <v>6957656.299081345</v>
      </c>
      <c r="HE10" s="54"/>
      <c r="HF10" s="51">
        <f>HB10*$HF$8</f>
        <v>231921.87663604485</v>
      </c>
      <c r="HG10" s="51">
        <f>HC10*$HG$8</f>
        <v>30</v>
      </c>
      <c r="HH10" s="51">
        <f>HF10*HG10</f>
        <v>6957656.299081345</v>
      </c>
      <c r="HI10" s="54"/>
      <c r="HJ10" s="51">
        <f>HF10*$HJ$8</f>
        <v>231921.87663604485</v>
      </c>
      <c r="HK10" s="51">
        <f>HG10*$HK$8</f>
        <v>30</v>
      </c>
      <c r="HL10" s="51">
        <f>HJ10*HK10</f>
        <v>6957656.299081345</v>
      </c>
      <c r="HM10" s="54"/>
      <c r="HN10" s="51">
        <f>HJ10*$HN$8</f>
        <v>231921.87663604485</v>
      </c>
      <c r="HO10" s="51">
        <f>HK10*$HO$8</f>
        <v>30</v>
      </c>
      <c r="HP10" s="51">
        <f>HN10*HO10</f>
        <v>6957656.299081345</v>
      </c>
      <c r="HQ10" s="54"/>
      <c r="HR10" s="51">
        <f>HN10*$HR$8</f>
        <v>231921.87663604485</v>
      </c>
      <c r="HS10" s="51">
        <f>HO10*$HS$8</f>
        <v>30</v>
      </c>
      <c r="HT10" s="51">
        <f>HR10*HS10</f>
        <v>6957656.299081345</v>
      </c>
      <c r="HU10" s="54"/>
      <c r="HV10" s="51">
        <f>HR10*$HV$8</f>
        <v>231921.87663604485</v>
      </c>
      <c r="HW10" s="51">
        <f>HS10*$HW$8</f>
        <v>30</v>
      </c>
      <c r="HX10" s="51">
        <f>HV10*HW10</f>
        <v>6957656.299081345</v>
      </c>
      <c r="HZ10" s="51">
        <f>HV10*$HZ$8</f>
        <v>231921.87663604485</v>
      </c>
      <c r="IA10" s="51">
        <f>HW10*$IA$8</f>
        <v>30</v>
      </c>
      <c r="IB10" s="51">
        <f>HZ10*IA10</f>
        <v>6957656.299081345</v>
      </c>
      <c r="IC10" s="54"/>
      <c r="ID10" s="51">
        <f>HZ10*$ID$8</f>
        <v>231921.87663604485</v>
      </c>
      <c r="IE10" s="51">
        <f>IA10*$IE$8</f>
        <v>30</v>
      </c>
      <c r="IF10" s="51">
        <f>ID10*IE10</f>
        <v>6957656.299081345</v>
      </c>
      <c r="IG10" s="54"/>
      <c r="IH10" s="51">
        <f>ID10*$IH$8</f>
        <v>231921.87663604485</v>
      </c>
      <c r="II10" s="51">
        <f>IE10*$II$8</f>
        <v>30</v>
      </c>
      <c r="IJ10" s="51">
        <f>IH10*II10</f>
        <v>6957656.299081345</v>
      </c>
      <c r="IK10" s="54"/>
      <c r="IL10" s="80">
        <f>SUMIFS($F10:$IK10,$F$3:$IK$3,IL$5,$F$6:$IK$6,IL$6)</f>
        <v>0</v>
      </c>
      <c r="IM10" s="80">
        <v>0</v>
      </c>
      <c r="IN10" s="80">
        <f>SUMIFS($F10:$IK10,$F$3:$IK$3,IL$5,$F$6:$IK$6,IN$6)</f>
        <v>0</v>
      </c>
      <c r="IP10" s="80">
        <f>SUMIFS($F10:$IK10,$F$3:$IK$3,IP$5,$F$6:$IK$6,IP$6)</f>
        <v>362374.7231162451</v>
      </c>
      <c r="IQ10" s="80">
        <f>IR10/IP10</f>
        <v>29.999999999999996</v>
      </c>
      <c r="IR10" s="80">
        <f>SUMIFS($F10:$IK10,$F$3:$IK$3,IP$5,$F$6:$IK$6,IR$6)</f>
        <v>10871241.693487352</v>
      </c>
      <c r="IT10" s="80">
        <f>SUMIFS($F10:$IK10,$F$3:$IK$3,IT$5,$F$6:$IK$6,IT$6)</f>
        <v>728407.3858882518</v>
      </c>
      <c r="IU10" s="80">
        <f>IV10/IT10</f>
        <v>30</v>
      </c>
      <c r="IV10" s="80">
        <f>SUMIFS($F10:$IK10,$F$3:$IK$3,IT$5,$F$6:$IK$6,IV$6)</f>
        <v>21852221.576647554</v>
      </c>
      <c r="IX10" s="80">
        <f>SUMIFS($F10:$IK10,$F$3:$IK$3,IX$5,$F$6:$IK$6,IX$6)</f>
        <v>1238292.556010028</v>
      </c>
      <c r="IY10" s="80">
        <f>IZ10/IX10</f>
        <v>30.000000000000004</v>
      </c>
      <c r="IZ10" s="80">
        <f>SUMIFS($F10:$IK10,$F$3:$IK$3,IX$5,$F$6:$IK$6,IZ$6)</f>
        <v>37148776.68030085</v>
      </c>
      <c r="JB10" s="80">
        <f>SUMIFS($F10:$IK10,$F$3:$IK$3,JB$5,$F$6:$IK$6,JB$6)</f>
        <v>1919353.4618155442</v>
      </c>
      <c r="JC10" s="80">
        <f>JD10/JB10</f>
        <v>30</v>
      </c>
      <c r="JD10" s="80">
        <f>SUMIFS($F10:$IK10,$F$3:$IK$3,JB$5,$F$6:$IK$6,JD$6)</f>
        <v>57580603.85446633</v>
      </c>
      <c r="JF10" s="80">
        <f>SUMIFS($F10:$IK10,$F$3:$IK$3,JF$5,$F$6:$IK$6,JF$6)</f>
        <v>2783062.519632539</v>
      </c>
      <c r="JG10" s="80">
        <f>JH10/JF10</f>
        <v>29.999999999999993</v>
      </c>
      <c r="JH10" s="80">
        <f>SUMIFS($F10:$IK10,$F$3:$IK$3,JF$5,$F$6:$IK$6,JH$6)</f>
        <v>83491875.58897614</v>
      </c>
      <c r="JK10" s="60"/>
    </row>
    <row r="11" ht="18.75" customHeight="1" spans="2:268" x14ac:dyDescent="0.25">
      <c r="B11" s="5" t="s">
        <v>54</v>
      </c>
      <c r="C11" s="29"/>
      <c r="D11" s="29">
        <f>'A.I Revenue Streams - P1'!E11</f>
        <v>0</v>
      </c>
      <c r="E11" s="30"/>
      <c r="F11" s="51">
        <v>0</v>
      </c>
      <c r="G11" s="51">
        <f>'A.I Revenue Streams - P1'!I11</f>
        <v>0</v>
      </c>
      <c r="H11" s="51">
        <f>F11*G11</f>
        <v>0</v>
      </c>
      <c r="I11" s="54"/>
      <c r="J11" s="51">
        <f>F11*$J$8</f>
        <v>0</v>
      </c>
      <c r="K11" s="51">
        <f>G11*$K$8</f>
        <v>0</v>
      </c>
      <c r="L11" s="51">
        <f>J11*K11</f>
        <v>0</v>
      </c>
      <c r="M11" s="54"/>
      <c r="N11" s="51">
        <f>J11*$N$8</f>
        <v>0</v>
      </c>
      <c r="O11" s="51">
        <f>K11*$O$8</f>
        <v>0</v>
      </c>
      <c r="P11" s="51">
        <f>N11*O11</f>
        <v>0</v>
      </c>
      <c r="Q11" s="54"/>
      <c r="R11" s="51">
        <f>'A.I Revenue Streams - P1'!G11</f>
        <v>0</v>
      </c>
      <c r="S11" s="51">
        <f>O11*$S$8</f>
        <v>0</v>
      </c>
      <c r="T11" s="51">
        <f>R11*S11</f>
        <v>0</v>
      </c>
      <c r="U11" s="54"/>
      <c r="V11" s="51">
        <f>R11*$V$8</f>
        <v>0</v>
      </c>
      <c r="W11" s="51">
        <f>S11*$W$8</f>
        <v>0</v>
      </c>
      <c r="X11" s="51">
        <f>V11*W11</f>
        <v>0</v>
      </c>
      <c r="Y11" s="54"/>
      <c r="Z11" s="51">
        <f>V11*$Z$8</f>
        <v>0</v>
      </c>
      <c r="AA11" s="51">
        <f>W11*$AA$8</f>
        <v>0</v>
      </c>
      <c r="AB11" s="51">
        <f>Z11*AA11</f>
        <v>0</v>
      </c>
      <c r="AC11" s="54"/>
      <c r="AD11" s="51">
        <f>Z11*$AD$8</f>
        <v>0</v>
      </c>
      <c r="AE11" s="51">
        <f>AA11*$AE$8</f>
        <v>0</v>
      </c>
      <c r="AF11" s="51">
        <f>AD11*AE11</f>
        <v>0</v>
      </c>
      <c r="AG11" s="54"/>
      <c r="AH11" s="51">
        <f>AD11*$AH$8</f>
        <v>0</v>
      </c>
      <c r="AI11" s="51">
        <f>AE11*$AI$8</f>
        <v>0</v>
      </c>
      <c r="AJ11" s="51">
        <f>AH11*AI11</f>
        <v>0</v>
      </c>
      <c r="AK11" s="54"/>
      <c r="AL11" s="51">
        <f>AH11*$AL$8</f>
        <v>0</v>
      </c>
      <c r="AM11" s="51">
        <f>AI11*$AM$8</f>
        <v>0</v>
      </c>
      <c r="AN11" s="51">
        <f>AL11*AM11</f>
        <v>0</v>
      </c>
      <c r="AO11" s="54"/>
      <c r="AP11" s="51">
        <f>AL11*$AP$8</f>
        <v>0</v>
      </c>
      <c r="AQ11" s="51">
        <f>AM11*$AQ$8</f>
        <v>0</v>
      </c>
      <c r="AR11" s="51">
        <f>AP11*AQ11</f>
        <v>0</v>
      </c>
      <c r="AS11" s="54"/>
      <c r="AT11" s="51">
        <f t="shared" ref="AT11:AT13" si="0">AP11*$AT$8</f>
        <v>0</v>
      </c>
      <c r="AU11" s="51">
        <f t="shared" ref="AU11:AU13" si="1">AQ11*$AU$8</f>
        <v>0</v>
      </c>
      <c r="AV11" s="51">
        <f>AT11*AU11</f>
        <v>0</v>
      </c>
      <c r="AW11" s="54"/>
      <c r="AX11" s="51">
        <f t="shared" ref="AX11:AX13" si="2">AT11*$AX$8</f>
        <v>0</v>
      </c>
      <c r="AY11" s="51">
        <f t="shared" ref="AY11:AY13" si="3">AU11*$AY$8</f>
        <v>0</v>
      </c>
      <c r="AZ11" s="51">
        <f>AX11*AY11</f>
        <v>0</v>
      </c>
      <c r="BA11" s="54"/>
      <c r="BB11" s="51">
        <f t="shared" ref="BB11:BB13" si="4">AX11*$BB$8</f>
        <v>0</v>
      </c>
      <c r="BC11" s="51">
        <f t="shared" ref="BC11:BC13" si="5">AY11*$BC$8</f>
        <v>0</v>
      </c>
      <c r="BD11" s="51">
        <f>BB11*BC11</f>
        <v>0</v>
      </c>
      <c r="BE11" s="54"/>
      <c r="BF11" s="51">
        <f t="shared" ref="BF11:BF13" si="6">BB11*$BF$8</f>
        <v>0</v>
      </c>
      <c r="BG11" s="51">
        <f t="shared" ref="BG11:BG13" si="7">BC11*$BG$8</f>
        <v>0</v>
      </c>
      <c r="BH11" s="51">
        <f>BF11*BG11</f>
        <v>0</v>
      </c>
      <c r="BI11" s="54"/>
      <c r="BJ11" s="51">
        <f t="shared" ref="BJ11:BJ13" si="8">BF11*$BJ$8</f>
        <v>0</v>
      </c>
      <c r="BK11" s="51">
        <f t="shared" ref="BK11:BK13" si="9">BG11*$BK$8</f>
        <v>0</v>
      </c>
      <c r="BL11" s="51">
        <f>BJ11*BK11</f>
        <v>0</v>
      </c>
      <c r="BM11" s="54"/>
      <c r="BN11" s="51">
        <f t="shared" ref="BN11:BN13" si="10">BJ11*$BN$8</f>
        <v>0</v>
      </c>
      <c r="BO11" s="51">
        <f t="shared" ref="BO11:BO13" si="11">BK11*$BO$8</f>
        <v>0</v>
      </c>
      <c r="BP11" s="51">
        <f>BN11*BO11</f>
        <v>0</v>
      </c>
      <c r="BQ11" s="54"/>
      <c r="BR11" s="51">
        <f t="shared" ref="BR11:BR13" si="12">BN11*$BR$8</f>
        <v>0</v>
      </c>
      <c r="BS11" s="51">
        <f t="shared" ref="BS11:BS13" si="13">BO11*$BS$8</f>
        <v>0</v>
      </c>
      <c r="BT11" s="51">
        <f>BR11*BS11</f>
        <v>0</v>
      </c>
      <c r="BU11" s="54"/>
      <c r="BV11" s="51">
        <f t="shared" ref="BV11:BV13" si="14">BR11*$BV$8</f>
        <v>0</v>
      </c>
      <c r="BW11" s="51">
        <f t="shared" ref="BW11:BW13" si="15">BS11*$BW$8</f>
        <v>0</v>
      </c>
      <c r="BX11" s="51">
        <f>BV11*BW11</f>
        <v>0</v>
      </c>
      <c r="BY11" s="54"/>
      <c r="BZ11" s="51">
        <f t="shared" ref="BZ11:BZ13" si="16">BV11*$BZ$8</f>
        <v>0</v>
      </c>
      <c r="CA11" s="51">
        <f t="shared" ref="CA11:CA13" si="17">BW11*$CA$8</f>
        <v>0</v>
      </c>
      <c r="CB11" s="51">
        <f>BZ11*CA11</f>
        <v>0</v>
      </c>
      <c r="CC11" s="54"/>
      <c r="CD11" s="51">
        <f t="shared" ref="CD11:CD13" si="18">BZ11*$CD$8</f>
        <v>0</v>
      </c>
      <c r="CE11" s="51">
        <f t="shared" ref="CE11:CE13" si="19">CA11*$CE$8</f>
        <v>0</v>
      </c>
      <c r="CF11" s="51">
        <f>CD11*CE11</f>
        <v>0</v>
      </c>
      <c r="CG11" s="54"/>
      <c r="CH11" s="51">
        <f t="shared" ref="CH11:CH13" si="20">CD11*$CH$8</f>
        <v>0</v>
      </c>
      <c r="CI11" s="51">
        <f t="shared" ref="CI11:CI13" si="21">CE11*$CI$8</f>
        <v>0</v>
      </c>
      <c r="CJ11" s="51">
        <f>CH11*CI11</f>
        <v>0</v>
      </c>
      <c r="CK11" s="54"/>
      <c r="CL11" s="51">
        <f>CH11*$CL$8</f>
        <v>0</v>
      </c>
      <c r="CM11" s="51">
        <f>CI11*$CM$8</f>
        <v>0</v>
      </c>
      <c r="CN11" s="51">
        <f>CL11*CM11</f>
        <v>0</v>
      </c>
      <c r="CO11" s="54"/>
      <c r="CP11" s="51">
        <f t="shared" ref="CP11:CP13" si="22">CL11*$CP$8</f>
        <v>0</v>
      </c>
      <c r="CQ11" s="51">
        <f t="shared" ref="CQ11:CQ13" si="23">CM11*$CQ$8</f>
        <v>0</v>
      </c>
      <c r="CR11" s="51">
        <f>CP11*CQ11</f>
        <v>0</v>
      </c>
      <c r="CS11" s="54"/>
      <c r="CT11" s="51">
        <f t="shared" ref="CT11:CT13" si="24">CP11*$CT$8</f>
        <v>0</v>
      </c>
      <c r="CU11" s="51">
        <f t="shared" ref="CU11:CU13" si="25">CQ11*$CU$8</f>
        <v>0</v>
      </c>
      <c r="CV11" s="51">
        <f>CT11*CU11</f>
        <v>0</v>
      </c>
      <c r="CW11" s="54"/>
      <c r="CX11" s="51">
        <f t="shared" ref="CX11:CX13" si="26">CT11*$CX$8</f>
        <v>0</v>
      </c>
      <c r="CY11" s="51">
        <f t="shared" ref="CY11:CY13" si="27">CU11*$CY$8</f>
        <v>0</v>
      </c>
      <c r="CZ11" s="51">
        <f>CX11*CY11</f>
        <v>0</v>
      </c>
      <c r="DA11" s="54"/>
      <c r="DB11" s="51">
        <f t="shared" ref="DB11:DB13" si="28">CX11*$DB$8</f>
        <v>0</v>
      </c>
      <c r="DC11" s="51">
        <f t="shared" ref="DC11:DC13" si="29">CY11*$DC$8</f>
        <v>0</v>
      </c>
      <c r="DD11" s="51">
        <f>DB11*DC11</f>
        <v>0</v>
      </c>
      <c r="DE11" s="54"/>
      <c r="DF11" s="51">
        <f t="shared" ref="DF11:DF13" si="30">DB11*$DF$8</f>
        <v>0</v>
      </c>
      <c r="DG11" s="51">
        <f t="shared" ref="DG11:DG13" si="31">DC11*$DG$8</f>
        <v>0</v>
      </c>
      <c r="DH11" s="51">
        <f>DF11*DG11</f>
        <v>0</v>
      </c>
      <c r="DI11" s="54"/>
      <c r="DJ11" s="51">
        <f t="shared" ref="DJ11:DJ13" si="32">DF11*$DJ$8</f>
        <v>0</v>
      </c>
      <c r="DK11" s="51">
        <f t="shared" ref="DK11:DK13" si="33">DG11*$DK$8</f>
        <v>0</v>
      </c>
      <c r="DL11" s="51">
        <f>DJ11*DK11</f>
        <v>0</v>
      </c>
      <c r="DM11" s="54"/>
      <c r="DN11" s="51">
        <f t="shared" ref="DN11:DN13" si="34">DJ11*$DN$8</f>
        <v>0</v>
      </c>
      <c r="DO11" s="51">
        <f>DK11*$DO$8</f>
        <v>0</v>
      </c>
      <c r="DP11" s="51">
        <f>DN11*DO11</f>
        <v>0</v>
      </c>
      <c r="DQ11" s="54"/>
      <c r="DR11" s="51">
        <f t="shared" ref="DR11:DR13" si="35">DN11*$DR$8</f>
        <v>0</v>
      </c>
      <c r="DS11" s="51">
        <f t="shared" ref="DS11:DS13" si="36">DO11*$DS$8</f>
        <v>0</v>
      </c>
      <c r="DT11" s="51">
        <f>DR11*DS11</f>
        <v>0</v>
      </c>
      <c r="DU11" s="54"/>
      <c r="DV11" s="51">
        <f t="shared" ref="DV11:DV13" si="37">DR11*$DV$8</f>
        <v>0</v>
      </c>
      <c r="DW11" s="51">
        <f t="shared" ref="DW11:DW13" si="38">DS11*$DW$8</f>
        <v>0</v>
      </c>
      <c r="DX11" s="51">
        <f>DV11*DW11</f>
        <v>0</v>
      </c>
      <c r="DY11" s="54"/>
      <c r="DZ11" s="51">
        <f t="shared" ref="DZ11:DZ13" si="39">DV11*$DZ$8</f>
        <v>0</v>
      </c>
      <c r="EA11" s="51">
        <f t="shared" ref="EA11:EA13" si="40">DW11*$EA$8</f>
        <v>0</v>
      </c>
      <c r="EB11" s="51">
        <f>DZ11*EA11</f>
        <v>0</v>
      </c>
      <c r="EC11" s="54"/>
      <c r="ED11" s="51">
        <f t="shared" ref="ED11:ED13" si="41">DZ11*$ED$8</f>
        <v>0</v>
      </c>
      <c r="EE11" s="51">
        <f t="shared" ref="EE11:EE13" si="42">EA11*$EE$8</f>
        <v>0</v>
      </c>
      <c r="EF11" s="51">
        <f>ED11*EE11</f>
        <v>0</v>
      </c>
      <c r="EG11" s="54"/>
      <c r="EH11" s="51">
        <f>ED11*$EH$8</f>
        <v>0</v>
      </c>
      <c r="EI11" s="51">
        <f>EE11*$EI$8</f>
        <v>0</v>
      </c>
      <c r="EJ11" s="51">
        <f>EH11*EI11</f>
        <v>0</v>
      </c>
      <c r="EK11" s="54"/>
      <c r="EL11" s="51">
        <f t="shared" ref="EL11:EL13" si="43">EH11*$EL$8</f>
        <v>0</v>
      </c>
      <c r="EM11" s="51">
        <f t="shared" ref="EM11:EM13" si="44">EI11*$EM$8</f>
        <v>0</v>
      </c>
      <c r="EN11" s="51">
        <f>EL11*EM11</f>
        <v>0</v>
      </c>
      <c r="EO11" s="54"/>
      <c r="EP11" s="51">
        <f t="shared" ref="EP11:EP13" si="45">EL11*$EP$8</f>
        <v>0</v>
      </c>
      <c r="EQ11" s="51">
        <f t="shared" ref="EQ11:EQ13" si="46">EM11*$EQ$8</f>
        <v>0</v>
      </c>
      <c r="ER11" s="51">
        <f>EP11*EQ11</f>
        <v>0</v>
      </c>
      <c r="ES11" s="54"/>
      <c r="ET11" s="51">
        <f t="shared" ref="ET11:ET13" si="47">EP11*$ET$8</f>
        <v>0</v>
      </c>
      <c r="EU11" s="51">
        <f t="shared" ref="EU11:EU13" si="48">EQ11*$EU$8</f>
        <v>0</v>
      </c>
      <c r="EV11" s="51">
        <f>ET11*EU11</f>
        <v>0</v>
      </c>
      <c r="EW11" s="54"/>
      <c r="EX11" s="51">
        <f t="shared" ref="EX11:EX13" si="49">ET11*$EX$8</f>
        <v>0</v>
      </c>
      <c r="EY11" s="51">
        <f t="shared" ref="EY11:EY13" si="50">EU11*$EY$8</f>
        <v>0</v>
      </c>
      <c r="EZ11" s="51">
        <f>EX11*EY11</f>
        <v>0</v>
      </c>
      <c r="FA11" s="54"/>
      <c r="FB11" s="51">
        <f t="shared" ref="FB11:FB13" si="51">EX11*$FB$8</f>
        <v>0</v>
      </c>
      <c r="FC11" s="51">
        <f t="shared" ref="FC11:FC12" si="52">EY11*$FC$8</f>
        <v>0</v>
      </c>
      <c r="FD11" s="51">
        <f>FB11*FC11</f>
        <v>0</v>
      </c>
      <c r="FE11" s="54"/>
      <c r="FF11" s="51">
        <f t="shared" ref="FF11:FF12" si="53">FB11*$FF$8</f>
        <v>0</v>
      </c>
      <c r="FG11" s="51">
        <f t="shared" ref="FG11:FG13" si="54">FC11*$FG$8</f>
        <v>0</v>
      </c>
      <c r="FH11" s="51">
        <f>FF11*FG11</f>
        <v>0</v>
      </c>
      <c r="FI11" s="54"/>
      <c r="FJ11" s="51">
        <f t="shared" ref="FJ11:FJ12" si="55">FF11*$FJ$8</f>
        <v>0</v>
      </c>
      <c r="FK11" s="51">
        <f>FG11*$FK$8</f>
        <v>0</v>
      </c>
      <c r="FL11" s="51">
        <f>FJ11*FK11</f>
        <v>0</v>
      </c>
      <c r="FM11" s="54"/>
      <c r="FN11" s="51">
        <f t="shared" ref="FN11:FN13" si="56">FJ11*$FN$8</f>
        <v>0</v>
      </c>
      <c r="FO11" s="51">
        <f t="shared" ref="FO11:FO13" si="57">FK11*$FO$8</f>
        <v>0</v>
      </c>
      <c r="FP11" s="51">
        <f>FN11*FO11</f>
        <v>0</v>
      </c>
      <c r="FQ11" s="54"/>
      <c r="FR11" s="51">
        <f t="shared" ref="FR11:FR13" si="58">FN11*$FR$8</f>
        <v>0</v>
      </c>
      <c r="FS11" s="51">
        <f t="shared" ref="FS11:FS13" si="59">FO11*$FS$8</f>
        <v>0</v>
      </c>
      <c r="FT11" s="51">
        <f>FR11*FS11</f>
        <v>0</v>
      </c>
      <c r="FU11" s="54"/>
      <c r="FV11" s="51">
        <f t="shared" ref="FV11:FV13" si="60">FR11*$FV$8</f>
        <v>0</v>
      </c>
      <c r="FW11" s="51">
        <f t="shared" ref="FW11:FW13" si="61">FS11*$FW$8</f>
        <v>0</v>
      </c>
      <c r="FX11" s="51">
        <f>FV11*FW11</f>
        <v>0</v>
      </c>
      <c r="FY11" s="54"/>
      <c r="FZ11" s="51">
        <f t="shared" ref="FZ11:FZ13" si="62">FV11*$FZ$8</f>
        <v>0</v>
      </c>
      <c r="GA11" s="51">
        <f t="shared" ref="GA11:GA13" si="63">FW11*$GA$8</f>
        <v>0</v>
      </c>
      <c r="GB11" s="51">
        <f>FZ11*GA11</f>
        <v>0</v>
      </c>
      <c r="GD11" s="51">
        <f>FZ11*$GD$8</f>
        <v>0</v>
      </c>
      <c r="GE11" s="51">
        <f>GA11*$GE$8</f>
        <v>0</v>
      </c>
      <c r="GF11" s="51">
        <f>GD11*GE11</f>
        <v>0</v>
      </c>
      <c r="GG11" s="54"/>
      <c r="GH11" s="51">
        <f t="shared" ref="GH11:GH13" si="64">GD11*$GH$8</f>
        <v>0</v>
      </c>
      <c r="GI11" s="51">
        <f t="shared" ref="GI11" si="65">GE11*$GI$8</f>
        <v>0</v>
      </c>
      <c r="GJ11" s="51">
        <f>GH11*GI11</f>
        <v>0</v>
      </c>
      <c r="GK11" s="54"/>
      <c r="GL11" s="51">
        <f t="shared" ref="GL11:GL13" si="66">GH11*$GL$8</f>
        <v>0</v>
      </c>
      <c r="GM11" s="51">
        <f t="shared" ref="GM11:GM13" si="67">GI11*$GM$8</f>
        <v>0</v>
      </c>
      <c r="GN11" s="51">
        <f>GL11*GM11</f>
        <v>0</v>
      </c>
      <c r="GO11" s="54"/>
      <c r="GP11" s="51">
        <f t="shared" ref="GP11:GP13" si="68">GL11*$GP$8</f>
        <v>0</v>
      </c>
      <c r="GQ11" s="51">
        <f t="shared" ref="GQ11:GQ13" si="69">GM11*$GQ$8</f>
        <v>0</v>
      </c>
      <c r="GR11" s="51">
        <f>GP11*GQ11</f>
        <v>0</v>
      </c>
      <c r="GS11" s="54"/>
      <c r="GT11" s="51">
        <f t="shared" ref="GT11:GT13" si="70">GP11*$GT$8</f>
        <v>0</v>
      </c>
      <c r="GU11" s="51">
        <f t="shared" ref="GU11:GU13" si="71">GQ11*$GU$8</f>
        <v>0</v>
      </c>
      <c r="GV11" s="51">
        <f>GT11*GU11</f>
        <v>0</v>
      </c>
      <c r="GW11" s="54"/>
      <c r="GX11" s="51">
        <f t="shared" ref="GX11:GX13" si="72">GT11*$GX$8</f>
        <v>0</v>
      </c>
      <c r="GY11" s="51">
        <f t="shared" ref="GY11:GY13" si="73">GU11*$GY$8</f>
        <v>0</v>
      </c>
      <c r="GZ11" s="51">
        <f>GX11*GY11</f>
        <v>0</v>
      </c>
      <c r="HA11" s="54"/>
      <c r="HB11" s="51">
        <f t="shared" ref="HB11:HB13" si="74">GX11*$HB$8</f>
        <v>0</v>
      </c>
      <c r="HC11" s="51">
        <f t="shared" ref="HC11:HC13" si="75">GY11*$HC$8</f>
        <v>0</v>
      </c>
      <c r="HD11" s="51">
        <f>HB11*HC11</f>
        <v>0</v>
      </c>
      <c r="HE11" s="54"/>
      <c r="HF11" s="51">
        <f t="shared" ref="HF11:HF13" si="76">HB11*$HF$8</f>
        <v>0</v>
      </c>
      <c r="HG11" s="51">
        <f t="shared" ref="HG11:HG13" si="77">HC11*$HG$8</f>
        <v>0</v>
      </c>
      <c r="HH11" s="51">
        <f>HF11*HG11</f>
        <v>0</v>
      </c>
      <c r="HI11" s="54"/>
      <c r="HJ11" s="51">
        <f t="shared" ref="HJ11:HJ13" si="78">HF11*$HJ$8</f>
        <v>0</v>
      </c>
      <c r="HK11" s="51">
        <f t="shared" ref="HK11:HK13" si="79">HG11*$HK$8</f>
        <v>0</v>
      </c>
      <c r="HL11" s="51">
        <f>HJ11*HK11</f>
        <v>0</v>
      </c>
      <c r="HM11" s="54"/>
      <c r="HN11" s="51">
        <f t="shared" ref="HN11:HN13" si="80">HJ11*$HN$8</f>
        <v>0</v>
      </c>
      <c r="HO11" s="51">
        <f t="shared" ref="HO11:HO13" si="81">HK11*$HO$8</f>
        <v>0</v>
      </c>
      <c r="HP11" s="51">
        <f>HN11*HO11</f>
        <v>0</v>
      </c>
      <c r="HQ11" s="54"/>
      <c r="HR11" s="51">
        <f t="shared" ref="HR11:HR13" si="82">HN11*$HR$8</f>
        <v>0</v>
      </c>
      <c r="HS11" s="51">
        <f t="shared" ref="HS11:HS13" si="83">HO11*$HS$8</f>
        <v>0</v>
      </c>
      <c r="HT11" s="51">
        <f>HR11*HS11</f>
        <v>0</v>
      </c>
      <c r="HU11" s="54"/>
      <c r="HV11" s="51">
        <f t="shared" ref="HV11:HV13" si="84">HR11*$HV$8</f>
        <v>0</v>
      </c>
      <c r="HW11" s="51">
        <f t="shared" ref="HW11:HW13" si="85">HS11*$HW$8</f>
        <v>0</v>
      </c>
      <c r="HX11" s="51">
        <f>HV11*HW11</f>
        <v>0</v>
      </c>
      <c r="HZ11" s="51">
        <f>HV11*$HZ$8</f>
        <v>0</v>
      </c>
      <c r="IA11" s="51">
        <f>HW11*$IA$8</f>
        <v>0</v>
      </c>
      <c r="IB11" s="51">
        <f>HZ11*IA11</f>
        <v>0</v>
      </c>
      <c r="IC11" s="54"/>
      <c r="ID11" s="51">
        <f t="shared" ref="ID11:ID13" si="86">HZ11*$ID$8</f>
        <v>0</v>
      </c>
      <c r="IE11" s="51">
        <f t="shared" ref="IE11:IE13" si="87">IA11*$IE$8</f>
        <v>0</v>
      </c>
      <c r="IF11" s="51">
        <f>ID11*IE11</f>
        <v>0</v>
      </c>
      <c r="IG11" s="54"/>
      <c r="IH11" s="51">
        <f t="shared" ref="IH11:IH13" si="88">ID11*$IH$8</f>
        <v>0</v>
      </c>
      <c r="II11" s="51">
        <f t="shared" ref="II11:II13" si="89">IE11*$II$8</f>
        <v>0</v>
      </c>
      <c r="IJ11" s="51">
        <f>IH11*II11</f>
        <v>0</v>
      </c>
      <c r="IK11" s="54"/>
      <c r="IL11" s="80">
        <f>SUMIFS($F11:$IK11,$F$3:$IK$3,IL$5,$F$6:$IK$6,IL$6)</f>
        <v>0</v>
      </c>
      <c r="IM11" s="80">
        <v>0</v>
      </c>
      <c r="IN11" s="80">
        <f>SUMIFS($F11:$IK11,$F$3:$IK$3,IL$5,$F$6:$IK$6,IN$6)</f>
        <v>0</v>
      </c>
      <c r="IP11" s="80">
        <f>SUMIFS($F11:$IK11,$F$3:$IK$3,IP$5,$F$6:$IK$6,IP$6)</f>
        <v>0</v>
      </c>
      <c r="IQ11" s="80" t="e">
        <f>IR11/IP11</f>
        <v>#DIV/0!</v>
      </c>
      <c r="IR11" s="80">
        <f>SUMIFS($F11:$IK11,$F$3:$IK$3,IP$5,$F$6:$IK$6,IR$6)</f>
        <v>0</v>
      </c>
      <c r="IT11" s="80">
        <f>SUMIFS($F11:$IK11,$F$3:$IK$3,IT$5,$F$6:$IK$6,IT$6)</f>
        <v>0</v>
      </c>
      <c r="IU11" s="80" t="e">
        <f>IV11/IT11</f>
        <v>#DIV/0!</v>
      </c>
      <c r="IV11" s="80">
        <f>SUMIFS($F11:$IK11,$F$3:$IK$3,IT$5,$F$6:$IK$6,IV$6)</f>
        <v>0</v>
      </c>
      <c r="IX11" s="80">
        <f>SUMIFS($F11:$IK11,$F$3:$IK$3,IX$5,$F$6:$IK$6,IX$6)</f>
        <v>0</v>
      </c>
      <c r="IY11" s="80" t="e">
        <f>IZ11/IX11</f>
        <v>#DIV/0!</v>
      </c>
      <c r="IZ11" s="80">
        <f>SUMIFS($F11:$IK11,$F$3:$IK$3,IX$5,$F$6:$IK$6,IZ$6)</f>
        <v>0</v>
      </c>
      <c r="JB11" s="80">
        <f>SUMIFS($F11:$IK11,$F$3:$IK$3,JB$5,$F$6:$IK$6,JB$6)</f>
        <v>0</v>
      </c>
      <c r="JC11" s="80" t="e">
        <f>JD11/JB11</f>
        <v>#DIV/0!</v>
      </c>
      <c r="JD11" s="80">
        <f>SUMIFS($F11:$IK11,$F$3:$IK$3,JB$5,$F$6:$IK$6,JD$6)</f>
        <v>0</v>
      </c>
      <c r="JF11" s="80">
        <f>SUMIFS($F11:$IK11,$F$3:$IK$3,JF$5,$F$6:$IK$6,JF$6)</f>
        <v>0</v>
      </c>
      <c r="JG11" s="80" t="e">
        <f>JH11/JF11</f>
        <v>#DIV/0!</v>
      </c>
      <c r="JH11" s="80">
        <f>SUMIFS($F11:$IK11,$F$3:$IK$3,JF$5,$F$6:$IK$6,JH$6)</f>
        <v>0</v>
      </c>
    </row>
    <row r="12" ht="18.75" customHeight="1" spans="2:268" x14ac:dyDescent="0.25">
      <c r="B12" s="5" t="s">
        <v>55</v>
      </c>
      <c r="C12" s="29"/>
      <c r="D12" s="29">
        <f>'A.I Revenue Streams - P1'!E12</f>
        <v>0</v>
      </c>
      <c r="E12" s="30"/>
      <c r="F12" s="51">
        <f>'A.I Revenue Streams - P1'!G12</f>
        <v>0</v>
      </c>
      <c r="G12" s="51">
        <f>'A.I Revenue Streams - P1'!I12</f>
        <v>0</v>
      </c>
      <c r="H12" s="51">
        <f>F12*G12</f>
        <v>0</v>
      </c>
      <c r="I12" s="54"/>
      <c r="J12" s="51">
        <f>F12*$J$8</f>
        <v>0</v>
      </c>
      <c r="K12" s="51">
        <f>G12*$K$8</f>
        <v>0</v>
      </c>
      <c r="L12" s="51">
        <f>J12*K12</f>
        <v>0</v>
      </c>
      <c r="M12" s="54"/>
      <c r="N12" s="51">
        <f>J12*$N$8</f>
        <v>0</v>
      </c>
      <c r="O12" s="51">
        <f>K12*$O$8</f>
        <v>0</v>
      </c>
      <c r="P12" s="51">
        <f>N12*O12</f>
        <v>0</v>
      </c>
      <c r="Q12" s="54"/>
      <c r="R12" s="51">
        <f>N12*$R$8</f>
        <v>0</v>
      </c>
      <c r="S12" s="51">
        <f>O12*$S$8</f>
        <v>0</v>
      </c>
      <c r="T12" s="51">
        <f>R12*S12</f>
        <v>0</v>
      </c>
      <c r="U12" s="54"/>
      <c r="V12" s="51">
        <f>R12*$V$8</f>
        <v>0</v>
      </c>
      <c r="W12" s="51">
        <f>S12*$W$8</f>
        <v>0</v>
      </c>
      <c r="X12" s="51">
        <f>V12*W12</f>
        <v>0</v>
      </c>
      <c r="Y12" s="54"/>
      <c r="Z12" s="51">
        <f>V12*$Z$8</f>
        <v>0</v>
      </c>
      <c r="AA12" s="51">
        <f>W12*$AA$8</f>
        <v>0</v>
      </c>
      <c r="AB12" s="51">
        <f>Z12*AA12</f>
        <v>0</v>
      </c>
      <c r="AC12" s="54"/>
      <c r="AD12" s="51">
        <f>Z12*$AD$8</f>
        <v>0</v>
      </c>
      <c r="AE12" s="51">
        <f>AA12*$AE$8</f>
        <v>0</v>
      </c>
      <c r="AF12" s="51">
        <f>AD12*AE12</f>
        <v>0</v>
      </c>
      <c r="AG12" s="54"/>
      <c r="AH12" s="51">
        <f>AD12*$AH$8</f>
        <v>0</v>
      </c>
      <c r="AI12" s="51">
        <f>AE12*$AI$8</f>
        <v>0</v>
      </c>
      <c r="AJ12" s="51">
        <f>AH12*AI12</f>
        <v>0</v>
      </c>
      <c r="AK12" s="54"/>
      <c r="AL12" s="51">
        <f>AH12*$AL$8</f>
        <v>0</v>
      </c>
      <c r="AM12" s="51">
        <f>AI12*$AM$8</f>
        <v>0</v>
      </c>
      <c r="AN12" s="51">
        <f>AL12*AM12</f>
        <v>0</v>
      </c>
      <c r="AO12" s="54"/>
      <c r="AP12" s="51">
        <f>AL12*$AP$8</f>
        <v>0</v>
      </c>
      <c r="AQ12" s="51">
        <f>AM12*$AQ$8</f>
        <v>0</v>
      </c>
      <c r="AR12" s="51">
        <f>AP12*AQ12</f>
        <v>0</v>
      </c>
      <c r="AS12" s="54"/>
      <c r="AT12" s="51">
        <f t="shared" si="0"/>
        <v>0</v>
      </c>
      <c r="AU12" s="51">
        <f t="shared" si="1"/>
        <v>0</v>
      </c>
      <c r="AV12" s="51">
        <f>AT12*AU12</f>
        <v>0</v>
      </c>
      <c r="AW12" s="54"/>
      <c r="AX12" s="51">
        <f t="shared" si="2"/>
        <v>0</v>
      </c>
      <c r="AY12" s="51">
        <f t="shared" si="3"/>
        <v>0</v>
      </c>
      <c r="AZ12" s="51">
        <f>AX12*AY12</f>
        <v>0</v>
      </c>
      <c r="BA12" s="54"/>
      <c r="BB12" s="51">
        <f t="shared" si="4"/>
        <v>0</v>
      </c>
      <c r="BC12" s="51">
        <f t="shared" si="5"/>
        <v>0</v>
      </c>
      <c r="BD12" s="51">
        <f>BB12*BC12</f>
        <v>0</v>
      </c>
      <c r="BE12" s="54"/>
      <c r="BF12" s="51">
        <f t="shared" si="6"/>
        <v>0</v>
      </c>
      <c r="BG12" s="51">
        <f t="shared" si="7"/>
        <v>0</v>
      </c>
      <c r="BH12" s="51">
        <f>BF12*BG12</f>
        <v>0</v>
      </c>
      <c r="BI12" s="54"/>
      <c r="BJ12" s="51">
        <f t="shared" si="8"/>
        <v>0</v>
      </c>
      <c r="BK12" s="51">
        <f t="shared" si="9"/>
        <v>0</v>
      </c>
      <c r="BL12" s="51">
        <f>BJ12*BK12</f>
        <v>0</v>
      </c>
      <c r="BM12" s="54"/>
      <c r="BN12" s="51">
        <f t="shared" si="10"/>
        <v>0</v>
      </c>
      <c r="BO12" s="51">
        <f t="shared" si="11"/>
        <v>0</v>
      </c>
      <c r="BP12" s="51">
        <f>BN12*BO12</f>
        <v>0</v>
      </c>
      <c r="BQ12" s="54"/>
      <c r="BR12" s="51">
        <f t="shared" si="12"/>
        <v>0</v>
      </c>
      <c r="BS12" s="51">
        <f t="shared" si="13"/>
        <v>0</v>
      </c>
      <c r="BT12" s="51">
        <f>BR12*BS12</f>
        <v>0</v>
      </c>
      <c r="BU12" s="54"/>
      <c r="BV12" s="51">
        <f t="shared" si="14"/>
        <v>0</v>
      </c>
      <c r="BW12" s="51">
        <f t="shared" si="15"/>
        <v>0</v>
      </c>
      <c r="BX12" s="51">
        <f>BV12*BW12</f>
        <v>0</v>
      </c>
      <c r="BY12" s="54"/>
      <c r="BZ12" s="51">
        <f t="shared" si="16"/>
        <v>0</v>
      </c>
      <c r="CA12" s="51">
        <f t="shared" si="17"/>
        <v>0</v>
      </c>
      <c r="CB12" s="51">
        <f>BZ12*CA12</f>
        <v>0</v>
      </c>
      <c r="CC12" s="54"/>
      <c r="CD12" s="51">
        <f t="shared" si="18"/>
        <v>0</v>
      </c>
      <c r="CE12" s="51">
        <f t="shared" si="19"/>
        <v>0</v>
      </c>
      <c r="CF12" s="51">
        <f>CD12*CE12</f>
        <v>0</v>
      </c>
      <c r="CG12" s="54"/>
      <c r="CH12" s="51">
        <f t="shared" si="20"/>
        <v>0</v>
      </c>
      <c r="CI12" s="51">
        <f t="shared" si="21"/>
        <v>0</v>
      </c>
      <c r="CJ12" s="51">
        <f>CH12*CI12</f>
        <v>0</v>
      </c>
      <c r="CK12" s="54"/>
      <c r="CL12" s="51">
        <f>CH12*$CL$8</f>
        <v>0</v>
      </c>
      <c r="CM12" s="51">
        <f>CI12*$CM$8</f>
        <v>0</v>
      </c>
      <c r="CN12" s="51">
        <f>CL12*CM12</f>
        <v>0</v>
      </c>
      <c r="CO12" s="54"/>
      <c r="CP12" s="51">
        <f t="shared" si="22"/>
        <v>0</v>
      </c>
      <c r="CQ12" s="51">
        <f t="shared" si="23"/>
        <v>0</v>
      </c>
      <c r="CR12" s="51">
        <f>CP12*CQ12</f>
        <v>0</v>
      </c>
      <c r="CS12" s="54"/>
      <c r="CT12" s="51">
        <f t="shared" si="24"/>
        <v>0</v>
      </c>
      <c r="CU12" s="51">
        <f t="shared" si="25"/>
        <v>0</v>
      </c>
      <c r="CV12" s="51">
        <f>CT12*CU12</f>
        <v>0</v>
      </c>
      <c r="CW12" s="54"/>
      <c r="CX12" s="51">
        <f t="shared" si="26"/>
        <v>0</v>
      </c>
      <c r="CY12" s="51">
        <f t="shared" si="27"/>
        <v>0</v>
      </c>
      <c r="CZ12" s="51">
        <f>CX12*CY12</f>
        <v>0</v>
      </c>
      <c r="DA12" s="54"/>
      <c r="DB12" s="51">
        <f t="shared" si="28"/>
        <v>0</v>
      </c>
      <c r="DC12" s="51">
        <f t="shared" si="29"/>
        <v>0</v>
      </c>
      <c r="DD12" s="51">
        <f>DB12*DC12</f>
        <v>0</v>
      </c>
      <c r="DE12" s="54"/>
      <c r="DF12" s="51">
        <f t="shared" si="30"/>
        <v>0</v>
      </c>
      <c r="DG12" s="51">
        <f t="shared" si="31"/>
        <v>0</v>
      </c>
      <c r="DH12" s="51">
        <f>DF12*DG12</f>
        <v>0</v>
      </c>
      <c r="DI12" s="54"/>
      <c r="DJ12" s="51">
        <f t="shared" si="32"/>
        <v>0</v>
      </c>
      <c r="DK12" s="51">
        <f t="shared" si="33"/>
        <v>0</v>
      </c>
      <c r="DL12" s="51">
        <f>DJ12*DK12</f>
        <v>0</v>
      </c>
      <c r="DM12" s="54"/>
      <c r="DN12" s="51">
        <f t="shared" si="34"/>
        <v>0</v>
      </c>
      <c r="DO12" s="51">
        <f t="shared" ref="DO12:DO13" si="90">DK12*$DO$8</f>
        <v>0</v>
      </c>
      <c r="DP12" s="51">
        <f>DN12*DO12</f>
        <v>0</v>
      </c>
      <c r="DQ12" s="54"/>
      <c r="DR12" s="51">
        <f t="shared" si="35"/>
        <v>0</v>
      </c>
      <c r="DS12" s="51">
        <f t="shared" si="36"/>
        <v>0</v>
      </c>
      <c r="DT12" s="51">
        <f>DR12*DS12</f>
        <v>0</v>
      </c>
      <c r="DU12" s="54"/>
      <c r="DV12" s="51">
        <f t="shared" si="37"/>
        <v>0</v>
      </c>
      <c r="DW12" s="51">
        <f t="shared" si="38"/>
        <v>0</v>
      </c>
      <c r="DX12" s="51">
        <f>DV12*DW12</f>
        <v>0</v>
      </c>
      <c r="DY12" s="54"/>
      <c r="DZ12" s="51">
        <f t="shared" si="39"/>
        <v>0</v>
      </c>
      <c r="EA12" s="51">
        <f t="shared" si="40"/>
        <v>0</v>
      </c>
      <c r="EB12" s="51">
        <f>DZ12*EA12</f>
        <v>0</v>
      </c>
      <c r="EC12" s="54"/>
      <c r="ED12" s="51">
        <f t="shared" si="41"/>
        <v>0</v>
      </c>
      <c r="EE12" s="51">
        <f t="shared" si="42"/>
        <v>0</v>
      </c>
      <c r="EF12" s="51">
        <f>ED12*EE12</f>
        <v>0</v>
      </c>
      <c r="EG12" s="54"/>
      <c r="EH12" s="51">
        <f>ED12*$EH$8</f>
        <v>0</v>
      </c>
      <c r="EI12" s="51">
        <f>EE12*$EI$8</f>
        <v>0</v>
      </c>
      <c r="EJ12" s="51">
        <f>EH12*EI12</f>
        <v>0</v>
      </c>
      <c r="EK12" s="54"/>
      <c r="EL12" s="51">
        <f t="shared" si="43"/>
        <v>0</v>
      </c>
      <c r="EM12" s="51">
        <f t="shared" si="44"/>
        <v>0</v>
      </c>
      <c r="EN12" s="51">
        <f>EL12*EM12</f>
        <v>0</v>
      </c>
      <c r="EO12" s="54"/>
      <c r="EP12" s="51">
        <f t="shared" si="45"/>
        <v>0</v>
      </c>
      <c r="EQ12" s="51">
        <f t="shared" si="46"/>
        <v>0</v>
      </c>
      <c r="ER12" s="51">
        <f>EP12*EQ12</f>
        <v>0</v>
      </c>
      <c r="ES12" s="54"/>
      <c r="ET12" s="51">
        <f t="shared" si="47"/>
        <v>0</v>
      </c>
      <c r="EU12" s="51">
        <f t="shared" si="48"/>
        <v>0</v>
      </c>
      <c r="EV12" s="51">
        <f>ET12*EU12</f>
        <v>0</v>
      </c>
      <c r="EW12" s="54"/>
      <c r="EX12" s="51">
        <f t="shared" si="49"/>
        <v>0</v>
      </c>
      <c r="EY12" s="51">
        <f t="shared" si="50"/>
        <v>0</v>
      </c>
      <c r="EZ12" s="51">
        <f>EX12*EY12</f>
        <v>0</v>
      </c>
      <c r="FA12" s="54"/>
      <c r="FB12" s="51">
        <f t="shared" si="51"/>
        <v>0</v>
      </c>
      <c r="FC12" s="51">
        <f t="shared" si="52"/>
        <v>0</v>
      </c>
      <c r="FD12" s="51">
        <f>FB12*FC12</f>
        <v>0</v>
      </c>
      <c r="FE12" s="54"/>
      <c r="FF12" s="51">
        <f t="shared" si="53"/>
        <v>0</v>
      </c>
      <c r="FG12" s="51">
        <f t="shared" si="54"/>
        <v>0</v>
      </c>
      <c r="FH12" s="51">
        <f>FF12*FG12</f>
        <v>0</v>
      </c>
      <c r="FI12" s="54"/>
      <c r="FJ12" s="51">
        <f t="shared" si="55"/>
        <v>0</v>
      </c>
      <c r="FK12" s="51">
        <f t="shared" ref="FK12" si="91">FG12*$FK$8</f>
        <v>0</v>
      </c>
      <c r="FL12" s="51">
        <f>FJ12*FK12</f>
        <v>0</v>
      </c>
      <c r="FM12" s="54"/>
      <c r="FN12" s="51">
        <f t="shared" si="56"/>
        <v>0</v>
      </c>
      <c r="FO12" s="51">
        <f t="shared" si="57"/>
        <v>0</v>
      </c>
      <c r="FP12" s="51">
        <f>FN12*FO12</f>
        <v>0</v>
      </c>
      <c r="FQ12" s="54"/>
      <c r="FR12" s="51">
        <f t="shared" si="58"/>
        <v>0</v>
      </c>
      <c r="FS12" s="51">
        <f t="shared" si="59"/>
        <v>0</v>
      </c>
      <c r="FT12" s="51">
        <f>FR12*FS12</f>
        <v>0</v>
      </c>
      <c r="FU12" s="54"/>
      <c r="FV12" s="51">
        <f t="shared" si="60"/>
        <v>0</v>
      </c>
      <c r="FW12" s="51">
        <f t="shared" si="61"/>
        <v>0</v>
      </c>
      <c r="FX12" s="51">
        <f>FV12*FW12</f>
        <v>0</v>
      </c>
      <c r="FY12" s="54"/>
      <c r="FZ12" s="51">
        <f t="shared" si="62"/>
        <v>0</v>
      </c>
      <c r="GA12" s="51">
        <f t="shared" si="63"/>
        <v>0</v>
      </c>
      <c r="GB12" s="51">
        <f>FZ12*GA12</f>
        <v>0</v>
      </c>
      <c r="GD12" s="51">
        <f>FZ12*$GD$8</f>
        <v>0</v>
      </c>
      <c r="GE12" s="51">
        <f>GA12*$GE$8</f>
        <v>0</v>
      </c>
      <c r="GF12" s="51">
        <f>GD12*GE12</f>
        <v>0</v>
      </c>
      <c r="GG12" s="54"/>
      <c r="GH12" s="51">
        <f t="shared" si="64"/>
        <v>0</v>
      </c>
      <c r="GI12" s="51">
        <f>GE12*$GI$8</f>
        <v>0</v>
      </c>
      <c r="GJ12" s="51">
        <f>GH12*GI12</f>
        <v>0</v>
      </c>
      <c r="GK12" s="54"/>
      <c r="GL12" s="51">
        <f t="shared" si="66"/>
        <v>0</v>
      </c>
      <c r="GM12" s="51">
        <f t="shared" si="67"/>
        <v>0</v>
      </c>
      <c r="GN12" s="51">
        <f>GL12*GM12</f>
        <v>0</v>
      </c>
      <c r="GO12" s="54"/>
      <c r="GP12" s="51">
        <f t="shared" si="68"/>
        <v>0</v>
      </c>
      <c r="GQ12" s="51">
        <f t="shared" si="69"/>
        <v>0</v>
      </c>
      <c r="GR12" s="51">
        <f>GP12*GQ12</f>
        <v>0</v>
      </c>
      <c r="GS12" s="54"/>
      <c r="GT12" s="51">
        <f t="shared" si="70"/>
        <v>0</v>
      </c>
      <c r="GU12" s="51">
        <f t="shared" si="71"/>
        <v>0</v>
      </c>
      <c r="GV12" s="51">
        <f>GT12*GU12</f>
        <v>0</v>
      </c>
      <c r="GW12" s="54"/>
      <c r="GX12" s="51">
        <f t="shared" si="72"/>
        <v>0</v>
      </c>
      <c r="GY12" s="51">
        <f t="shared" si="73"/>
        <v>0</v>
      </c>
      <c r="GZ12" s="51">
        <f>GX12*GY12</f>
        <v>0</v>
      </c>
      <c r="HA12" s="54"/>
      <c r="HB12" s="51">
        <f t="shared" si="74"/>
        <v>0</v>
      </c>
      <c r="HC12" s="51">
        <f t="shared" si="75"/>
        <v>0</v>
      </c>
      <c r="HD12" s="51">
        <f>HB12*HC12</f>
        <v>0</v>
      </c>
      <c r="HE12" s="54"/>
      <c r="HF12" s="51">
        <f t="shared" si="76"/>
        <v>0</v>
      </c>
      <c r="HG12" s="51">
        <f t="shared" si="77"/>
        <v>0</v>
      </c>
      <c r="HH12" s="51">
        <f>HF12*HG12</f>
        <v>0</v>
      </c>
      <c r="HI12" s="54"/>
      <c r="HJ12" s="51">
        <f t="shared" si="78"/>
        <v>0</v>
      </c>
      <c r="HK12" s="51">
        <f t="shared" si="79"/>
        <v>0</v>
      </c>
      <c r="HL12" s="51">
        <f>HJ12*HK12</f>
        <v>0</v>
      </c>
      <c r="HM12" s="54"/>
      <c r="HN12" s="51">
        <f t="shared" si="80"/>
        <v>0</v>
      </c>
      <c r="HO12" s="51">
        <f t="shared" si="81"/>
        <v>0</v>
      </c>
      <c r="HP12" s="51">
        <f>HN12*HO12</f>
        <v>0</v>
      </c>
      <c r="HQ12" s="54"/>
      <c r="HR12" s="51">
        <f t="shared" si="82"/>
        <v>0</v>
      </c>
      <c r="HS12" s="51">
        <f t="shared" si="83"/>
        <v>0</v>
      </c>
      <c r="HT12" s="51">
        <f>HR12*HS12</f>
        <v>0</v>
      </c>
      <c r="HU12" s="54"/>
      <c r="HV12" s="51">
        <f t="shared" si="84"/>
        <v>0</v>
      </c>
      <c r="HW12" s="51">
        <f t="shared" si="85"/>
        <v>0</v>
      </c>
      <c r="HX12" s="51">
        <f>HV12*HW12</f>
        <v>0</v>
      </c>
      <c r="HZ12" s="51">
        <f>HV12*$HZ$8</f>
        <v>0</v>
      </c>
      <c r="IA12" s="51">
        <f>HW12*$IA$8</f>
        <v>0</v>
      </c>
      <c r="IB12" s="51">
        <f>HZ12*IA12</f>
        <v>0</v>
      </c>
      <c r="IC12" s="54"/>
      <c r="ID12" s="51">
        <f t="shared" si="86"/>
        <v>0</v>
      </c>
      <c r="IE12" s="51">
        <f t="shared" si="87"/>
        <v>0</v>
      </c>
      <c r="IF12" s="51">
        <f>ID12*IE12</f>
        <v>0</v>
      </c>
      <c r="IG12" s="54"/>
      <c r="IH12" s="51">
        <f t="shared" si="88"/>
        <v>0</v>
      </c>
      <c r="II12" s="51">
        <f t="shared" si="89"/>
        <v>0</v>
      </c>
      <c r="IJ12" s="51">
        <f>IH12*II12</f>
        <v>0</v>
      </c>
      <c r="IK12" s="54"/>
      <c r="IL12" s="80">
        <f>SUMIFS($F12:$IK12,$F$3:$IK$3,IL$5,$F$6:$IK$6,IL$6)</f>
        <v>0</v>
      </c>
      <c r="IM12" s="80">
        <v>0</v>
      </c>
      <c r="IN12" s="80">
        <f>SUMIFS($F12:$IK12,$F$3:$IK$3,IL$5,$F$6:$IK$6,IN$6)</f>
        <v>0</v>
      </c>
      <c r="IP12" s="80">
        <f>SUMIFS($F12:$IK12,$F$3:$IK$3,IP$5,$F$6:$IK$6,IP$6)</f>
        <v>0</v>
      </c>
      <c r="IQ12" s="80">
        <v>0</v>
      </c>
      <c r="IR12" s="80">
        <f>SUMIFS($F12:$IK12,$F$3:$IK$3,IP$5,$F$6:$IK$6,IR$6)</f>
        <v>0</v>
      </c>
      <c r="IT12" s="80">
        <f>SUMIFS($F12:$IK12,$F$3:$IK$3,IT$5,$F$6:$IK$6,IT$6)</f>
        <v>0</v>
      </c>
      <c r="IU12" s="80">
        <v>0</v>
      </c>
      <c r="IV12" s="80">
        <f>SUMIFS($F12:$IK12,$F$3:$IK$3,IT$5,$F$6:$IK$6,IV$6)</f>
        <v>0</v>
      </c>
      <c r="IX12" s="80">
        <f>SUMIFS($F12:$IK12,$F$3:$IK$3,IX$5,$F$6:$IK$6,IX$6)</f>
        <v>0</v>
      </c>
      <c r="IY12" s="80">
        <v>0</v>
      </c>
      <c r="IZ12" s="80">
        <f>SUMIFS($F12:$IK12,$F$3:$IK$3,IX$5,$F$6:$IK$6,IZ$6)</f>
        <v>0</v>
      </c>
      <c r="JB12" s="80">
        <f>SUMIFS($F12:$IK12,$F$3:$IK$3,JB$5,$F$6:$IK$6,JB$6)</f>
        <v>0</v>
      </c>
      <c r="JC12" s="80">
        <v>0</v>
      </c>
      <c r="JD12" s="80">
        <f>SUMIFS($F12:$IK12,$F$3:$IK$3,JB$5,$F$6:$IK$6,JD$6)</f>
        <v>0</v>
      </c>
      <c r="JF12" s="80">
        <f>SUMIFS($F12:$IK12,$F$3:$IK$3,JF$5,$F$6:$IK$6,JF$6)</f>
        <v>0</v>
      </c>
      <c r="JG12" s="80">
        <v>0</v>
      </c>
      <c r="JH12" s="80">
        <f>SUMIFS($F12:$IK12,$F$3:$IK$3,JF$5,$F$6:$IK$6,JH$6)</f>
        <v>0</v>
      </c>
    </row>
    <row r="13" ht="18.75" customHeight="1" spans="2:268" x14ac:dyDescent="0.25">
      <c r="B13" s="5" t="s">
        <v>56</v>
      </c>
      <c r="C13" s="29"/>
      <c r="D13" s="29">
        <f>'A.I Revenue Streams - P1'!E13</f>
        <v>0</v>
      </c>
      <c r="E13" s="30"/>
      <c r="F13" s="51">
        <f>'A.I Revenue Streams - P1'!G13</f>
        <v>0</v>
      </c>
      <c r="G13" s="51">
        <f>'A.I Revenue Streams - P1'!I13</f>
        <v>0</v>
      </c>
      <c r="H13" s="51">
        <f>F13*G13</f>
        <v>0</v>
      </c>
      <c r="I13" s="54"/>
      <c r="J13" s="51">
        <f>F13*$J$8</f>
        <v>0</v>
      </c>
      <c r="K13" s="51">
        <f>G13*$K$8</f>
        <v>0</v>
      </c>
      <c r="L13" s="51">
        <f>J13*K13</f>
        <v>0</v>
      </c>
      <c r="M13" s="54"/>
      <c r="N13" s="51">
        <f>J13*$N$8</f>
        <v>0</v>
      </c>
      <c r="O13" s="51">
        <f>K13*$O$8</f>
        <v>0</v>
      </c>
      <c r="P13" s="51">
        <f>N13*O13</f>
        <v>0</v>
      </c>
      <c r="Q13" s="54"/>
      <c r="R13" s="51">
        <f>N13*$R$8</f>
        <v>0</v>
      </c>
      <c r="S13" s="51">
        <f>O13*$S$8</f>
        <v>0</v>
      </c>
      <c r="T13" s="51">
        <f>R13*S13</f>
        <v>0</v>
      </c>
      <c r="U13" s="54"/>
      <c r="V13" s="51">
        <f>R13*$V$8</f>
        <v>0</v>
      </c>
      <c r="W13" s="51">
        <f>S13*$W$8</f>
        <v>0</v>
      </c>
      <c r="X13" s="51">
        <f>V13*W13</f>
        <v>0</v>
      </c>
      <c r="Y13" s="54"/>
      <c r="Z13" s="51">
        <f>V13*$Z$8</f>
        <v>0</v>
      </c>
      <c r="AA13" s="51">
        <f>W13*$AA$8</f>
        <v>0</v>
      </c>
      <c r="AB13" s="51">
        <f>Z13*AA13</f>
        <v>0</v>
      </c>
      <c r="AC13" s="54"/>
      <c r="AD13" s="51">
        <f>Z13*$AD$8</f>
        <v>0</v>
      </c>
      <c r="AE13" s="51">
        <f>AA13*$AE$8</f>
        <v>0</v>
      </c>
      <c r="AF13" s="51">
        <f>AD13*AE13</f>
        <v>0</v>
      </c>
      <c r="AG13" s="54"/>
      <c r="AH13" s="51">
        <f>AD13*$AH$8</f>
        <v>0</v>
      </c>
      <c r="AI13" s="51">
        <f>AE13*$AI$8</f>
        <v>0</v>
      </c>
      <c r="AJ13" s="51">
        <f>AH13*AI13</f>
        <v>0</v>
      </c>
      <c r="AK13" s="54"/>
      <c r="AL13" s="51">
        <f>AH13*$AL$8</f>
        <v>0</v>
      </c>
      <c r="AM13" s="51">
        <f>AI13*$AM$8</f>
        <v>0</v>
      </c>
      <c r="AN13" s="51">
        <f>AL13*AM13</f>
        <v>0</v>
      </c>
      <c r="AO13" s="54"/>
      <c r="AP13" s="51">
        <f>AL13*$AP$8</f>
        <v>0</v>
      </c>
      <c r="AQ13" s="51">
        <f>AM13*$AQ$8</f>
        <v>0</v>
      </c>
      <c r="AR13" s="51">
        <f>AP13*AQ13</f>
        <v>0</v>
      </c>
      <c r="AS13" s="54"/>
      <c r="AT13" s="51">
        <f t="shared" si="0"/>
        <v>0</v>
      </c>
      <c r="AU13" s="51">
        <f t="shared" si="1"/>
        <v>0</v>
      </c>
      <c r="AV13" s="51">
        <f>AT13*AU13</f>
        <v>0</v>
      </c>
      <c r="AW13" s="54"/>
      <c r="AX13" s="51">
        <f t="shared" si="2"/>
        <v>0</v>
      </c>
      <c r="AY13" s="51">
        <f t="shared" si="3"/>
        <v>0</v>
      </c>
      <c r="AZ13" s="51">
        <f>AX13*AY13</f>
        <v>0</v>
      </c>
      <c r="BA13" s="54"/>
      <c r="BB13" s="51">
        <f t="shared" si="4"/>
        <v>0</v>
      </c>
      <c r="BC13" s="51">
        <f t="shared" si="5"/>
        <v>0</v>
      </c>
      <c r="BD13" s="51">
        <f>BB13*BC13</f>
        <v>0</v>
      </c>
      <c r="BE13" s="54"/>
      <c r="BF13" s="51">
        <f t="shared" si="6"/>
        <v>0</v>
      </c>
      <c r="BG13" s="51">
        <f t="shared" si="7"/>
        <v>0</v>
      </c>
      <c r="BH13" s="51">
        <f>BF13*BG13</f>
        <v>0</v>
      </c>
      <c r="BI13" s="54"/>
      <c r="BJ13" s="51">
        <f t="shared" si="8"/>
        <v>0</v>
      </c>
      <c r="BK13" s="51">
        <f t="shared" si="9"/>
        <v>0</v>
      </c>
      <c r="BL13" s="51">
        <f>BJ13*BK13</f>
        <v>0</v>
      </c>
      <c r="BM13" s="54"/>
      <c r="BN13" s="51">
        <f t="shared" si="10"/>
        <v>0</v>
      </c>
      <c r="BO13" s="51">
        <f t="shared" si="11"/>
        <v>0</v>
      </c>
      <c r="BP13" s="51">
        <f>BN13*BO13</f>
        <v>0</v>
      </c>
      <c r="BQ13" s="54"/>
      <c r="BR13" s="51">
        <f t="shared" si="12"/>
        <v>0</v>
      </c>
      <c r="BS13" s="51">
        <f t="shared" si="13"/>
        <v>0</v>
      </c>
      <c r="BT13" s="51">
        <f>BR13*BS13</f>
        <v>0</v>
      </c>
      <c r="BU13" s="54"/>
      <c r="BV13" s="51">
        <f t="shared" si="14"/>
        <v>0</v>
      </c>
      <c r="BW13" s="51">
        <f t="shared" si="15"/>
        <v>0</v>
      </c>
      <c r="BX13" s="51">
        <f>BV13*BW13</f>
        <v>0</v>
      </c>
      <c r="BY13" s="54"/>
      <c r="BZ13" s="51">
        <f t="shared" si="16"/>
        <v>0</v>
      </c>
      <c r="CA13" s="51">
        <f t="shared" si="17"/>
        <v>0</v>
      </c>
      <c r="CB13" s="51">
        <f>BZ13*CA13</f>
        <v>0</v>
      </c>
      <c r="CC13" s="54"/>
      <c r="CD13" s="51">
        <f t="shared" si="18"/>
        <v>0</v>
      </c>
      <c r="CE13" s="51">
        <f t="shared" si="19"/>
        <v>0</v>
      </c>
      <c r="CF13" s="51">
        <f>CD13*CE13</f>
        <v>0</v>
      </c>
      <c r="CG13" s="54"/>
      <c r="CH13" s="51">
        <f t="shared" si="20"/>
        <v>0</v>
      </c>
      <c r="CI13" s="51">
        <f t="shared" si="21"/>
        <v>0</v>
      </c>
      <c r="CJ13" s="51">
        <f>CH13*CI13</f>
        <v>0</v>
      </c>
      <c r="CK13" s="54"/>
      <c r="CL13" s="51">
        <f>CH13*$CL$8</f>
        <v>0</v>
      </c>
      <c r="CM13" s="51">
        <f>CI13*$CM$8</f>
        <v>0</v>
      </c>
      <c r="CN13" s="51">
        <f>CL13*CM13</f>
        <v>0</v>
      </c>
      <c r="CO13" s="54"/>
      <c r="CP13" s="51">
        <f t="shared" si="22"/>
        <v>0</v>
      </c>
      <c r="CQ13" s="51">
        <f t="shared" si="23"/>
        <v>0</v>
      </c>
      <c r="CR13" s="51">
        <f>CP13*CQ13</f>
        <v>0</v>
      </c>
      <c r="CS13" s="54"/>
      <c r="CT13" s="51">
        <f t="shared" si="24"/>
        <v>0</v>
      </c>
      <c r="CU13" s="51">
        <f t="shared" si="25"/>
        <v>0</v>
      </c>
      <c r="CV13" s="51">
        <f>CT13*CU13</f>
        <v>0</v>
      </c>
      <c r="CW13" s="54"/>
      <c r="CX13" s="51">
        <f t="shared" si="26"/>
        <v>0</v>
      </c>
      <c r="CY13" s="51">
        <f t="shared" si="27"/>
        <v>0</v>
      </c>
      <c r="CZ13" s="51">
        <f>CX13*CY13</f>
        <v>0</v>
      </c>
      <c r="DA13" s="54"/>
      <c r="DB13" s="51">
        <f t="shared" si="28"/>
        <v>0</v>
      </c>
      <c r="DC13" s="51">
        <f t="shared" si="29"/>
        <v>0</v>
      </c>
      <c r="DD13" s="51">
        <f>DB13*DC13</f>
        <v>0</v>
      </c>
      <c r="DE13" s="54"/>
      <c r="DF13" s="51">
        <f t="shared" si="30"/>
        <v>0</v>
      </c>
      <c r="DG13" s="51">
        <f t="shared" si="31"/>
        <v>0</v>
      </c>
      <c r="DH13" s="51">
        <f>DF13*DG13</f>
        <v>0</v>
      </c>
      <c r="DI13" s="54"/>
      <c r="DJ13" s="51">
        <f t="shared" si="32"/>
        <v>0</v>
      </c>
      <c r="DK13" s="51">
        <f t="shared" si="33"/>
        <v>0</v>
      </c>
      <c r="DL13" s="51">
        <f>DJ13*DK13</f>
        <v>0</v>
      </c>
      <c r="DM13" s="54"/>
      <c r="DN13" s="51">
        <f t="shared" si="34"/>
        <v>0</v>
      </c>
      <c r="DO13" s="51">
        <f t="shared" si="90"/>
        <v>0</v>
      </c>
      <c r="DP13" s="51">
        <f>DN13*DO13</f>
        <v>0</v>
      </c>
      <c r="DQ13" s="54"/>
      <c r="DR13" s="51">
        <f t="shared" si="35"/>
        <v>0</v>
      </c>
      <c r="DS13" s="51">
        <f t="shared" si="36"/>
        <v>0</v>
      </c>
      <c r="DT13" s="51">
        <f>DR13*DS13</f>
        <v>0</v>
      </c>
      <c r="DU13" s="54"/>
      <c r="DV13" s="51">
        <f t="shared" si="37"/>
        <v>0</v>
      </c>
      <c r="DW13" s="51">
        <f t="shared" si="38"/>
        <v>0</v>
      </c>
      <c r="DX13" s="51">
        <f>DV13*DW13</f>
        <v>0</v>
      </c>
      <c r="DY13" s="54"/>
      <c r="DZ13" s="51">
        <f t="shared" si="39"/>
        <v>0</v>
      </c>
      <c r="EA13" s="51">
        <f t="shared" si="40"/>
        <v>0</v>
      </c>
      <c r="EB13" s="51">
        <f>DZ13*EA13</f>
        <v>0</v>
      </c>
      <c r="EC13" s="54"/>
      <c r="ED13" s="51">
        <f t="shared" si="41"/>
        <v>0</v>
      </c>
      <c r="EE13" s="51">
        <f t="shared" si="42"/>
        <v>0</v>
      </c>
      <c r="EF13" s="51">
        <f>ED13*EE13</f>
        <v>0</v>
      </c>
      <c r="EG13" s="54"/>
      <c r="EH13" s="51">
        <f>ED13*$EH$8</f>
        <v>0</v>
      </c>
      <c r="EI13" s="51">
        <f>EE13*$EI$8</f>
        <v>0</v>
      </c>
      <c r="EJ13" s="51">
        <f>EH13*EI13</f>
        <v>0</v>
      </c>
      <c r="EK13" s="54"/>
      <c r="EL13" s="51">
        <f t="shared" si="43"/>
        <v>0</v>
      </c>
      <c r="EM13" s="51">
        <f t="shared" si="44"/>
        <v>0</v>
      </c>
      <c r="EN13" s="51">
        <f>EL13*EM13</f>
        <v>0</v>
      </c>
      <c r="EO13" s="54"/>
      <c r="EP13" s="51">
        <f t="shared" si="45"/>
        <v>0</v>
      </c>
      <c r="EQ13" s="51">
        <f t="shared" si="46"/>
        <v>0</v>
      </c>
      <c r="ER13" s="51">
        <f>EP13*EQ13</f>
        <v>0</v>
      </c>
      <c r="ES13" s="54"/>
      <c r="ET13" s="51">
        <f t="shared" si="47"/>
        <v>0</v>
      </c>
      <c r="EU13" s="51">
        <f t="shared" si="48"/>
        <v>0</v>
      </c>
      <c r="EV13" s="51">
        <f>ET13*EU13</f>
        <v>0</v>
      </c>
      <c r="EW13" s="54"/>
      <c r="EX13" s="51">
        <f t="shared" si="49"/>
        <v>0</v>
      </c>
      <c r="EY13" s="51">
        <f t="shared" si="50"/>
        <v>0</v>
      </c>
      <c r="EZ13" s="51">
        <f>EX13*EY13</f>
        <v>0</v>
      </c>
      <c r="FA13" s="54"/>
      <c r="FB13" s="51">
        <f t="shared" si="51"/>
        <v>0</v>
      </c>
      <c r="FC13" s="51">
        <f>EY13*$FC$8</f>
        <v>0</v>
      </c>
      <c r="FD13" s="51">
        <f>FB13*FC13</f>
        <v>0</v>
      </c>
      <c r="FE13" s="54"/>
      <c r="FF13" s="51">
        <f>FB13*$FF$8</f>
        <v>0</v>
      </c>
      <c r="FG13" s="51">
        <f t="shared" si="54"/>
        <v>0</v>
      </c>
      <c r="FH13" s="51">
        <f>FF13*FG13</f>
        <v>0</v>
      </c>
      <c r="FI13" s="54"/>
      <c r="FJ13" s="51">
        <f>FF13*$FJ$8</f>
        <v>0</v>
      </c>
      <c r="FK13" s="51">
        <f>FG13*$FK$8</f>
        <v>0</v>
      </c>
      <c r="FL13" s="51">
        <f>FJ13*FK13</f>
        <v>0</v>
      </c>
      <c r="FM13" s="54"/>
      <c r="FN13" s="51">
        <f t="shared" si="56"/>
        <v>0</v>
      </c>
      <c r="FO13" s="51">
        <f t="shared" si="57"/>
        <v>0</v>
      </c>
      <c r="FP13" s="51">
        <f>FN13*FO13</f>
        <v>0</v>
      </c>
      <c r="FQ13" s="54"/>
      <c r="FR13" s="51">
        <f t="shared" si="58"/>
        <v>0</v>
      </c>
      <c r="FS13" s="51">
        <f t="shared" si="59"/>
        <v>0</v>
      </c>
      <c r="FT13" s="51">
        <f>FR13*FS13</f>
        <v>0</v>
      </c>
      <c r="FU13" s="54"/>
      <c r="FV13" s="51">
        <f t="shared" si="60"/>
        <v>0</v>
      </c>
      <c r="FW13" s="51">
        <f t="shared" si="61"/>
        <v>0</v>
      </c>
      <c r="FX13" s="51">
        <f>FV13*FW13</f>
        <v>0</v>
      </c>
      <c r="FY13" s="54"/>
      <c r="FZ13" s="51">
        <f t="shared" si="62"/>
        <v>0</v>
      </c>
      <c r="GA13" s="51">
        <f t="shared" si="63"/>
        <v>0</v>
      </c>
      <c r="GB13" s="51">
        <f>FZ13*GA13</f>
        <v>0</v>
      </c>
      <c r="GD13" s="51">
        <f>FZ13*$GD$8</f>
        <v>0</v>
      </c>
      <c r="GE13" s="51">
        <f>GA13*$GE$8</f>
        <v>0</v>
      </c>
      <c r="GF13" s="51">
        <f>GD13*GE13</f>
        <v>0</v>
      </c>
      <c r="GG13" s="54"/>
      <c r="GH13" s="51">
        <f t="shared" si="64"/>
        <v>0</v>
      </c>
      <c r="GI13" s="51">
        <f>GE13*$GI$8</f>
        <v>0</v>
      </c>
      <c r="GJ13" s="51">
        <f>GH13*GI13</f>
        <v>0</v>
      </c>
      <c r="GK13" s="54"/>
      <c r="GL13" s="51">
        <f t="shared" si="66"/>
        <v>0</v>
      </c>
      <c r="GM13" s="51">
        <f t="shared" si="67"/>
        <v>0</v>
      </c>
      <c r="GN13" s="51">
        <f>GL13*GM13</f>
        <v>0</v>
      </c>
      <c r="GO13" s="54"/>
      <c r="GP13" s="51">
        <f t="shared" si="68"/>
        <v>0</v>
      </c>
      <c r="GQ13" s="51">
        <f t="shared" si="69"/>
        <v>0</v>
      </c>
      <c r="GR13" s="51">
        <f>GP13*GQ13</f>
        <v>0</v>
      </c>
      <c r="GS13" s="54"/>
      <c r="GT13" s="51">
        <f t="shared" si="70"/>
        <v>0</v>
      </c>
      <c r="GU13" s="51">
        <f t="shared" si="71"/>
        <v>0</v>
      </c>
      <c r="GV13" s="51">
        <f>GT13*GU13</f>
        <v>0</v>
      </c>
      <c r="GW13" s="54"/>
      <c r="GX13" s="51">
        <f t="shared" si="72"/>
        <v>0</v>
      </c>
      <c r="GY13" s="51">
        <f t="shared" si="73"/>
        <v>0</v>
      </c>
      <c r="GZ13" s="51">
        <f>GX13*GY13</f>
        <v>0</v>
      </c>
      <c r="HA13" s="54"/>
      <c r="HB13" s="51">
        <f t="shared" si="74"/>
        <v>0</v>
      </c>
      <c r="HC13" s="51">
        <f t="shared" si="75"/>
        <v>0</v>
      </c>
      <c r="HD13" s="51">
        <f>HB13*HC13</f>
        <v>0</v>
      </c>
      <c r="HE13" s="54"/>
      <c r="HF13" s="51">
        <f t="shared" si="76"/>
        <v>0</v>
      </c>
      <c r="HG13" s="51">
        <f t="shared" si="77"/>
        <v>0</v>
      </c>
      <c r="HH13" s="51">
        <f>HF13*HG13</f>
        <v>0</v>
      </c>
      <c r="HI13" s="54"/>
      <c r="HJ13" s="51">
        <f t="shared" si="78"/>
        <v>0</v>
      </c>
      <c r="HK13" s="51">
        <f t="shared" si="79"/>
        <v>0</v>
      </c>
      <c r="HL13" s="51">
        <f>HJ13*HK13</f>
        <v>0</v>
      </c>
      <c r="HM13" s="54"/>
      <c r="HN13" s="51">
        <f t="shared" si="80"/>
        <v>0</v>
      </c>
      <c r="HO13" s="51">
        <f t="shared" si="81"/>
        <v>0</v>
      </c>
      <c r="HP13" s="51">
        <f>HN13*HO13</f>
        <v>0</v>
      </c>
      <c r="HQ13" s="54"/>
      <c r="HR13" s="51">
        <f t="shared" si="82"/>
        <v>0</v>
      </c>
      <c r="HS13" s="51">
        <f t="shared" si="83"/>
        <v>0</v>
      </c>
      <c r="HT13" s="51">
        <f>HR13*HS13</f>
        <v>0</v>
      </c>
      <c r="HU13" s="54"/>
      <c r="HV13" s="51">
        <f t="shared" si="84"/>
        <v>0</v>
      </c>
      <c r="HW13" s="51">
        <f t="shared" si="85"/>
        <v>0</v>
      </c>
      <c r="HX13" s="51">
        <f>HV13*HW13</f>
        <v>0</v>
      </c>
      <c r="HZ13" s="51">
        <f>HV13*$HZ$8</f>
        <v>0</v>
      </c>
      <c r="IA13" s="51">
        <f>HW13*$IA$8</f>
        <v>0</v>
      </c>
      <c r="IB13" s="51">
        <f>HZ13*IA13</f>
        <v>0</v>
      </c>
      <c r="IC13" s="54"/>
      <c r="ID13" s="51">
        <f t="shared" si="86"/>
        <v>0</v>
      </c>
      <c r="IE13" s="51">
        <f t="shared" si="87"/>
        <v>0</v>
      </c>
      <c r="IF13" s="51">
        <f>ID13*IE13</f>
        <v>0</v>
      </c>
      <c r="IG13" s="54"/>
      <c r="IH13" s="51">
        <f t="shared" si="88"/>
        <v>0</v>
      </c>
      <c r="II13" s="51">
        <f t="shared" si="89"/>
        <v>0</v>
      </c>
      <c r="IJ13" s="51">
        <f>IH13*II13</f>
        <v>0</v>
      </c>
      <c r="IK13" s="54"/>
      <c r="IL13" s="80">
        <f>SUMIFS($F13:$IK13,$F$3:$IK$3,IL$5,$F$6:$IK$6,IL$6)</f>
        <v>0</v>
      </c>
      <c r="IM13" s="80">
        <v>0</v>
      </c>
      <c r="IN13" s="80">
        <f>SUMIFS($F13:$IK13,$F$3:$IK$3,IL$5,$F$6:$IK$6,IN$6)</f>
        <v>0</v>
      </c>
      <c r="IP13" s="80">
        <f>SUMIFS($F13:$IK13,$F$3:$IK$3,IP$5,$F$6:$IK$6,IP$6)</f>
        <v>0</v>
      </c>
      <c r="IQ13" s="80">
        <v>0</v>
      </c>
      <c r="IR13" s="80">
        <f>SUMIFS($F13:$IK13,$F$3:$IK$3,IP$5,$F$6:$IK$6,IR$6)</f>
        <v>0</v>
      </c>
      <c r="IT13" s="80">
        <f>SUMIFS($F13:$IK13,$F$3:$IK$3,IT$5,$F$6:$IK$6,IT$6)</f>
        <v>0</v>
      </c>
      <c r="IU13" s="80">
        <v>0</v>
      </c>
      <c r="IV13" s="80">
        <f>SUMIFS($F13:$IK13,$F$3:$IK$3,IT$5,$F$6:$IK$6,IV$6)</f>
        <v>0</v>
      </c>
      <c r="IX13" s="80">
        <f>SUMIFS($F13:$IK13,$F$3:$IK$3,IX$5,$F$6:$IK$6,IX$6)</f>
        <v>0</v>
      </c>
      <c r="IY13" s="80">
        <v>0</v>
      </c>
      <c r="IZ13" s="80">
        <f>SUMIFS($F13:$IK13,$F$3:$IK$3,IX$5,$F$6:$IK$6,IZ$6)</f>
        <v>0</v>
      </c>
      <c r="JB13" s="80">
        <f>SUMIFS($F13:$IK13,$F$3:$IK$3,JB$5,$F$6:$IK$6,JB$6)</f>
        <v>0</v>
      </c>
      <c r="JC13" s="80">
        <v>0</v>
      </c>
      <c r="JD13" s="80">
        <f>SUMIFS($F13:$IK13,$F$3:$IK$3,JB$5,$F$6:$IK$6,JD$6)</f>
        <v>0</v>
      </c>
      <c r="JF13" s="80">
        <f>SUMIFS($F13:$IK13,$F$3:$IK$3,JF$5,$F$6:$IK$6,JF$6)</f>
        <v>0</v>
      </c>
      <c r="JG13" s="80">
        <v>0</v>
      </c>
      <c r="JH13" s="80">
        <f>SUMIFS($F13:$IK13,$F$3:$IK$3,JF$5,$F$6:$IK$6,JH$6)</f>
        <v>0</v>
      </c>
    </row>
    <row r="14" ht="18.75" customHeight="1" spans="2:268" x14ac:dyDescent="0.25">
      <c r="B14" s="5" t="s">
        <v>57</v>
      </c>
      <c r="C14" s="29"/>
      <c r="D14" s="29">
        <f>'A.I Revenue Streams - P1'!E14</f>
        <v>0</v>
      </c>
      <c r="E14" s="30"/>
      <c r="F14" s="51">
        <f>'A.I Revenue Streams - P1'!G14</f>
        <v>0</v>
      </c>
      <c r="G14" s="51">
        <f>'A.I Revenue Streams - P1'!I14</f>
        <v>0</v>
      </c>
      <c r="H14" s="51">
        <f>F14*G14</f>
        <v>0</v>
      </c>
      <c r="I14" s="54"/>
      <c r="J14" s="51">
        <f>F14*$J$8</f>
        <v>0</v>
      </c>
      <c r="K14" s="51">
        <f>G14*$K$8</f>
        <v>0</v>
      </c>
      <c r="L14" s="51">
        <f>J14*K14</f>
        <v>0</v>
      </c>
      <c r="M14" s="54"/>
      <c r="N14" s="51">
        <f>J14*$N$8</f>
        <v>0</v>
      </c>
      <c r="O14" s="51">
        <f>K14*$O$8</f>
        <v>0</v>
      </c>
      <c r="P14" s="51">
        <f>N14*O14</f>
        <v>0</v>
      </c>
      <c r="Q14" s="54"/>
      <c r="R14" s="51">
        <f>N14*$R$8</f>
        <v>0</v>
      </c>
      <c r="S14" s="51">
        <f>O14*$S$8</f>
        <v>0</v>
      </c>
      <c r="T14" s="51">
        <f>R14*S14</f>
        <v>0</v>
      </c>
      <c r="U14" s="54"/>
      <c r="V14" s="51">
        <f>R14*$V$8</f>
        <v>0</v>
      </c>
      <c r="W14" s="51">
        <f>S14*$W$8</f>
        <v>0</v>
      </c>
      <c r="X14" s="51">
        <f>V14*W14</f>
        <v>0</v>
      </c>
      <c r="Y14" s="54"/>
      <c r="Z14" s="51">
        <f>V14*$Z$8</f>
        <v>0</v>
      </c>
      <c r="AA14" s="51">
        <f>W14*$AA$8</f>
        <v>0</v>
      </c>
      <c r="AB14" s="51">
        <f>Z14*AA14</f>
        <v>0</v>
      </c>
      <c r="AC14" s="54"/>
      <c r="AD14" s="51">
        <f>Z14*$AD$8</f>
        <v>0</v>
      </c>
      <c r="AE14" s="51">
        <f>AA14*$AE$8</f>
        <v>0</v>
      </c>
      <c r="AF14" s="51">
        <f>AD14*AE14</f>
        <v>0</v>
      </c>
      <c r="AG14" s="54"/>
      <c r="AH14" s="51">
        <f>AD14*$AH$8</f>
        <v>0</v>
      </c>
      <c r="AI14" s="51">
        <f>AE14*$AI$8</f>
        <v>0</v>
      </c>
      <c r="AJ14" s="51">
        <f>AH14*AI14</f>
        <v>0</v>
      </c>
      <c r="AK14" s="54"/>
      <c r="AL14" s="51">
        <f>AH14*$AL$8</f>
        <v>0</v>
      </c>
      <c r="AM14" s="51">
        <f>AI14*$AM$8</f>
        <v>0</v>
      </c>
      <c r="AN14" s="51">
        <f>AL14*AM14</f>
        <v>0</v>
      </c>
      <c r="AO14" s="54"/>
      <c r="AP14" s="51">
        <f>AL14*$AP$8</f>
        <v>0</v>
      </c>
      <c r="AQ14" s="51">
        <f>AM14*$AQ$8</f>
        <v>0</v>
      </c>
      <c r="AR14" s="51">
        <f>AP14*AQ14</f>
        <v>0</v>
      </c>
      <c r="AS14" s="54"/>
      <c r="AT14" s="51">
        <f>AP14*$AT$8</f>
        <v>0</v>
      </c>
      <c r="AU14" s="51">
        <f>AQ14*$AU$8</f>
        <v>0</v>
      </c>
      <c r="AV14" s="51">
        <f>AT14*AU14</f>
        <v>0</v>
      </c>
      <c r="AW14" s="54"/>
      <c r="AX14" s="51">
        <f t="shared" ref="AX14" si="92">AT14*$AX$8</f>
        <v>0</v>
      </c>
      <c r="AY14" s="51">
        <f>AU14*$AY$8</f>
        <v>0</v>
      </c>
      <c r="AZ14" s="51">
        <f>AX14*AY14</f>
        <v>0</v>
      </c>
      <c r="BA14" s="54"/>
      <c r="BB14" s="51">
        <f>AX14*$BB$8</f>
        <v>0</v>
      </c>
      <c r="BC14" s="51">
        <f>AY14*$BC$8</f>
        <v>0</v>
      </c>
      <c r="BD14" s="51">
        <f>BB14*BC14</f>
        <v>0</v>
      </c>
      <c r="BE14" s="54"/>
      <c r="BF14" s="51">
        <f t="shared" ref="BF14" si="93">BB14*$BF$8</f>
        <v>0</v>
      </c>
      <c r="BG14" s="51">
        <f t="shared" ref="BG14" si="94">BC14*$BG$8</f>
        <v>0</v>
      </c>
      <c r="BH14" s="51">
        <f>BF14*BG14</f>
        <v>0</v>
      </c>
      <c r="BI14" s="54"/>
      <c r="BJ14" s="51">
        <f t="shared" ref="BJ14" si="95">BF14*$BJ$8</f>
        <v>0</v>
      </c>
      <c r="BK14" s="51">
        <f t="shared" ref="BK14" si="96">BG14*$BK$8</f>
        <v>0</v>
      </c>
      <c r="BL14" s="51">
        <f>BJ14*BK14</f>
        <v>0</v>
      </c>
      <c r="BM14" s="54"/>
      <c r="BN14" s="51">
        <f t="shared" ref="BN14" si="97">BJ14*$BN$8</f>
        <v>0</v>
      </c>
      <c r="BO14" s="51">
        <f t="shared" ref="BO14" si="98">BK14*$BO$8</f>
        <v>0</v>
      </c>
      <c r="BP14" s="51">
        <f>BN14*BO14</f>
        <v>0</v>
      </c>
      <c r="BQ14" s="54"/>
      <c r="BR14" s="51">
        <f t="shared" ref="BR14" si="99">BN14*$BR$8</f>
        <v>0</v>
      </c>
      <c r="BS14" s="51">
        <f t="shared" ref="BS14" si="100">BO14*$BS$8</f>
        <v>0</v>
      </c>
      <c r="BT14" s="51">
        <f>BR14*BS14</f>
        <v>0</v>
      </c>
      <c r="BU14" s="54"/>
      <c r="BV14" s="51">
        <f t="shared" ref="BV14" si="101">BR14*$BV$8</f>
        <v>0</v>
      </c>
      <c r="BW14" s="51">
        <f t="shared" ref="BW14" si="102">BS14*$BW$8</f>
        <v>0</v>
      </c>
      <c r="BX14" s="51">
        <f>BV14*BW14</f>
        <v>0</v>
      </c>
      <c r="BY14" s="54"/>
      <c r="BZ14" s="51">
        <f t="shared" ref="BZ14" si="103">BV14*$BZ$8</f>
        <v>0</v>
      </c>
      <c r="CA14" s="51">
        <f t="shared" ref="CA14" si="104">BW14*$CA$8</f>
        <v>0</v>
      </c>
      <c r="CB14" s="51">
        <f>BZ14*CA14</f>
        <v>0</v>
      </c>
      <c r="CC14" s="54"/>
      <c r="CD14" s="51">
        <f t="shared" ref="CD14" si="105">BZ14*$CD$8</f>
        <v>0</v>
      </c>
      <c r="CE14" s="51">
        <f t="shared" ref="CE14" si="106">CA14*$CE$8</f>
        <v>0</v>
      </c>
      <c r="CF14" s="51">
        <f>CD14*CE14</f>
        <v>0</v>
      </c>
      <c r="CG14" s="54"/>
      <c r="CH14" s="51">
        <f t="shared" ref="CH14" si="107">CD14*$CH$8</f>
        <v>0</v>
      </c>
      <c r="CI14" s="51">
        <f t="shared" ref="CI14" si="108">CE14*$CI$8</f>
        <v>0</v>
      </c>
      <c r="CJ14" s="51">
        <f>CH14*CI14</f>
        <v>0</v>
      </c>
      <c r="CK14" s="54"/>
      <c r="CL14" s="51">
        <f>CH14*$CL$8</f>
        <v>0</v>
      </c>
      <c r="CM14" s="51">
        <f>CI14*$CM$8</f>
        <v>0</v>
      </c>
      <c r="CN14" s="51">
        <f>CL14*CM14</f>
        <v>0</v>
      </c>
      <c r="CO14" s="54"/>
      <c r="CP14" s="51">
        <f t="shared" ref="CP14" si="109">CL14*$CP$8</f>
        <v>0</v>
      </c>
      <c r="CQ14" s="51">
        <f t="shared" ref="CQ14" si="110">CM14*$CQ$8</f>
        <v>0</v>
      </c>
      <c r="CR14" s="51">
        <f>CP14*CQ14</f>
        <v>0</v>
      </c>
      <c r="CS14" s="54"/>
      <c r="CT14" s="51">
        <f t="shared" ref="CT14" si="111">CP14*$CT$8</f>
        <v>0</v>
      </c>
      <c r="CU14" s="51">
        <f t="shared" ref="CU14" si="112">CQ14*$CU$8</f>
        <v>0</v>
      </c>
      <c r="CV14" s="51">
        <f>CT14*CU14</f>
        <v>0</v>
      </c>
      <c r="CW14" s="54"/>
      <c r="CX14" s="51">
        <f t="shared" ref="CX14" si="113">CT14*$CX$8</f>
        <v>0</v>
      </c>
      <c r="CY14" s="51">
        <f t="shared" ref="CY14" si="114">CU14*$CY$8</f>
        <v>0</v>
      </c>
      <c r="CZ14" s="51">
        <f>CX14*CY14</f>
        <v>0</v>
      </c>
      <c r="DA14" s="54"/>
      <c r="DB14" s="51">
        <f t="shared" ref="DB14" si="115">CX14*$DB$8</f>
        <v>0</v>
      </c>
      <c r="DC14" s="51">
        <f t="shared" ref="DC14" si="116">CY14*$DC$8</f>
        <v>0</v>
      </c>
      <c r="DD14" s="51">
        <f>DB14*DC14</f>
        <v>0</v>
      </c>
      <c r="DE14" s="54"/>
      <c r="DF14" s="51">
        <f t="shared" ref="DF14" si="117">DB14*$DF$8</f>
        <v>0</v>
      </c>
      <c r="DG14" s="51">
        <f t="shared" ref="DG14" si="118">DC14*$DG$8</f>
        <v>0</v>
      </c>
      <c r="DH14" s="51">
        <f>DF14*DG14</f>
        <v>0</v>
      </c>
      <c r="DI14" s="54"/>
      <c r="DJ14" s="51">
        <f t="shared" ref="DJ14" si="119">DF14*$DJ$8</f>
        <v>0</v>
      </c>
      <c r="DK14" s="51">
        <f t="shared" ref="DK14" si="120">DG14*$DK$8</f>
        <v>0</v>
      </c>
      <c r="DL14" s="51">
        <f>DJ14*DK14</f>
        <v>0</v>
      </c>
      <c r="DM14" s="54"/>
      <c r="DN14" s="51">
        <f t="shared" ref="DN14" si="121">DJ14*$DN$8</f>
        <v>0</v>
      </c>
      <c r="DO14" s="51">
        <f t="shared" ref="DO14" si="122">DK14*$DO$8</f>
        <v>0</v>
      </c>
      <c r="DP14" s="51">
        <f>DN14*DO14</f>
        <v>0</v>
      </c>
      <c r="DQ14" s="54"/>
      <c r="DR14" s="51">
        <f t="shared" ref="DR14" si="123">DN14*$DR$8</f>
        <v>0</v>
      </c>
      <c r="DS14" s="51">
        <f t="shared" ref="DS14" si="124">DO14*$DS$8</f>
        <v>0</v>
      </c>
      <c r="DT14" s="51">
        <f>DR14*DS14</f>
        <v>0</v>
      </c>
      <c r="DU14" s="54"/>
      <c r="DV14" s="51">
        <f t="shared" ref="DV14" si="125">DR14*$DV$8</f>
        <v>0</v>
      </c>
      <c r="DW14" s="51">
        <f t="shared" ref="DW14" si="126">DS14*$DW$8</f>
        <v>0</v>
      </c>
      <c r="DX14" s="51">
        <f>DV14*DW14</f>
        <v>0</v>
      </c>
      <c r="DY14" s="54"/>
      <c r="DZ14" s="51">
        <f t="shared" ref="DZ14" si="127">DV14*$DZ$8</f>
        <v>0</v>
      </c>
      <c r="EA14" s="51">
        <f t="shared" ref="EA14" si="128">DW14*$EA$8</f>
        <v>0</v>
      </c>
      <c r="EB14" s="51">
        <f>DZ14*EA14</f>
        <v>0</v>
      </c>
      <c r="EC14" s="54"/>
      <c r="ED14" s="51">
        <f t="shared" ref="ED14" si="129">DZ14*$ED$8</f>
        <v>0</v>
      </c>
      <c r="EE14" s="51">
        <f t="shared" ref="EE14" si="130">EA14*$EE$8</f>
        <v>0</v>
      </c>
      <c r="EF14" s="51">
        <f>ED14*EE14</f>
        <v>0</v>
      </c>
      <c r="EG14" s="54"/>
      <c r="EH14" s="51">
        <f>ED14*$EH$8</f>
        <v>0</v>
      </c>
      <c r="EI14" s="51">
        <f>EE14*$EI$8</f>
        <v>0</v>
      </c>
      <c r="EJ14" s="51">
        <f>EH14*EI14</f>
        <v>0</v>
      </c>
      <c r="EK14" s="54"/>
      <c r="EL14" s="51">
        <f t="shared" ref="EL14" si="131">EH14*$EL$8</f>
        <v>0</v>
      </c>
      <c r="EM14" s="51">
        <f t="shared" ref="EM14" si="132">EI14*$EM$8</f>
        <v>0</v>
      </c>
      <c r="EN14" s="51">
        <f>EL14*EM14</f>
        <v>0</v>
      </c>
      <c r="EO14" s="54"/>
      <c r="EP14" s="51">
        <f t="shared" ref="EP14" si="133">EL14*$EP$8</f>
        <v>0</v>
      </c>
      <c r="EQ14" s="51">
        <f t="shared" ref="EQ14" si="134">EM14*$EQ$8</f>
        <v>0</v>
      </c>
      <c r="ER14" s="51">
        <f>EP14*EQ14</f>
        <v>0</v>
      </c>
      <c r="ES14" s="54"/>
      <c r="ET14" s="51">
        <f t="shared" ref="ET14" si="135">EP14*$ET$8</f>
        <v>0</v>
      </c>
      <c r="EU14" s="51">
        <f t="shared" ref="EU14" si="136">EQ14*$EU$8</f>
        <v>0</v>
      </c>
      <c r="EV14" s="51">
        <f>ET14*EU14</f>
        <v>0</v>
      </c>
      <c r="EW14" s="54"/>
      <c r="EX14" s="51">
        <f t="shared" ref="EX14" si="137">ET14*$EX$8</f>
        <v>0</v>
      </c>
      <c r="EY14" s="51">
        <f t="shared" ref="EY14" si="138">EU14*$EY$8</f>
        <v>0</v>
      </c>
      <c r="EZ14" s="51">
        <f>EX14*EY14</f>
        <v>0</v>
      </c>
      <c r="FA14" s="54"/>
      <c r="FB14" s="51">
        <f t="shared" ref="FB14" si="139">EX14*$FB$8</f>
        <v>0</v>
      </c>
      <c r="FC14" s="51">
        <f>EY14*$FC$8</f>
        <v>0</v>
      </c>
      <c r="FD14" s="51">
        <f>FB14*FC14</f>
        <v>0</v>
      </c>
      <c r="FE14" s="54"/>
      <c r="FF14" s="51">
        <f>FB14*$FF$8</f>
        <v>0</v>
      </c>
      <c r="FG14" s="51">
        <f t="shared" ref="FG14" si="140">FC14*$FG$8</f>
        <v>0</v>
      </c>
      <c r="FH14" s="51">
        <f>FF14*FG14</f>
        <v>0</v>
      </c>
      <c r="FI14" s="54"/>
      <c r="FJ14" s="51">
        <f>FF14*$FJ$8</f>
        <v>0</v>
      </c>
      <c r="FK14" s="51">
        <f>FG14*$FK$8</f>
        <v>0</v>
      </c>
      <c r="FL14" s="51">
        <f>FJ14*FK14</f>
        <v>0</v>
      </c>
      <c r="FM14" s="54"/>
      <c r="FN14" s="51">
        <f t="shared" ref="FN14" si="141">FJ14*$FN$8</f>
        <v>0</v>
      </c>
      <c r="FO14" s="51">
        <f t="shared" ref="FO14" si="142">FK14*$FO$8</f>
        <v>0</v>
      </c>
      <c r="FP14" s="51">
        <f>FN14*FO14</f>
        <v>0</v>
      </c>
      <c r="FQ14" s="54"/>
      <c r="FR14" s="51">
        <f t="shared" ref="FR14" si="143">FN14*$FR$8</f>
        <v>0</v>
      </c>
      <c r="FS14" s="51">
        <f t="shared" ref="FS14" si="144">FO14*$FS$8</f>
        <v>0</v>
      </c>
      <c r="FT14" s="51">
        <f>FR14*FS14</f>
        <v>0</v>
      </c>
      <c r="FU14" s="54"/>
      <c r="FV14" s="51">
        <f t="shared" ref="FV14" si="145">FR14*$FV$8</f>
        <v>0</v>
      </c>
      <c r="FW14" s="51">
        <f t="shared" ref="FW14" si="146">FS14*$FW$8</f>
        <v>0</v>
      </c>
      <c r="FX14" s="51">
        <f>FV14*FW14</f>
        <v>0</v>
      </c>
      <c r="FY14" s="54"/>
      <c r="FZ14" s="51">
        <f t="shared" ref="FZ14" si="147">FV14*$FZ$8</f>
        <v>0</v>
      </c>
      <c r="GA14" s="51">
        <f t="shared" ref="GA14" si="148">FW14*$GA$8</f>
        <v>0</v>
      </c>
      <c r="GB14" s="51">
        <f>FZ14*GA14</f>
        <v>0</v>
      </c>
      <c r="GD14" s="51">
        <f>FZ14*$GD$8</f>
        <v>0</v>
      </c>
      <c r="GE14" s="51">
        <f>GA14*$GE$8</f>
        <v>0</v>
      </c>
      <c r="GF14" s="51">
        <f>GD14*GE14</f>
        <v>0</v>
      </c>
      <c r="GG14" s="54"/>
      <c r="GH14" s="51">
        <f t="shared" ref="GH14" si="149">GD14*$GH$8</f>
        <v>0</v>
      </c>
      <c r="GI14" s="51">
        <f>GE14*$GI$8</f>
        <v>0</v>
      </c>
      <c r="GJ14" s="51">
        <f>GH14*GI14</f>
        <v>0</v>
      </c>
      <c r="GK14" s="54"/>
      <c r="GL14" s="51">
        <f t="shared" ref="GL14" si="150">GH14*$GL$8</f>
        <v>0</v>
      </c>
      <c r="GM14" s="51">
        <f t="shared" ref="GM14" si="151">GI14*$GM$8</f>
        <v>0</v>
      </c>
      <c r="GN14" s="51">
        <f>GL14*GM14</f>
        <v>0</v>
      </c>
      <c r="GO14" s="54"/>
      <c r="GP14" s="51">
        <f t="shared" ref="GP14" si="152">GL14*$GP$8</f>
        <v>0</v>
      </c>
      <c r="GQ14" s="51">
        <f t="shared" ref="GQ14" si="153">GM14*$GQ$8</f>
        <v>0</v>
      </c>
      <c r="GR14" s="51">
        <f>GP14*GQ14</f>
        <v>0</v>
      </c>
      <c r="GS14" s="54"/>
      <c r="GT14" s="51">
        <f t="shared" ref="GT14" si="154">GP14*$GT$8</f>
        <v>0</v>
      </c>
      <c r="GU14" s="51">
        <f t="shared" ref="GU14" si="155">GQ14*$GU$8</f>
        <v>0</v>
      </c>
      <c r="GV14" s="51">
        <f>GT14*GU14</f>
        <v>0</v>
      </c>
      <c r="GW14" s="54"/>
      <c r="GX14" s="51">
        <f t="shared" ref="GX14" si="156">GT14*$GX$8</f>
        <v>0</v>
      </c>
      <c r="GY14" s="51">
        <f t="shared" ref="GY14" si="157">GU14*$GY$8</f>
        <v>0</v>
      </c>
      <c r="GZ14" s="51">
        <f>GX14*GY14</f>
        <v>0</v>
      </c>
      <c r="HA14" s="54"/>
      <c r="HB14" s="51">
        <f t="shared" ref="HB14" si="158">GX14*$HB$8</f>
        <v>0</v>
      </c>
      <c r="HC14" s="51">
        <f t="shared" ref="HC14" si="159">GY14*$HC$8</f>
        <v>0</v>
      </c>
      <c r="HD14" s="51">
        <f>HB14*HC14</f>
        <v>0</v>
      </c>
      <c r="HE14" s="54"/>
      <c r="HF14" s="51">
        <f t="shared" ref="HF14" si="160">HB14*$HF$8</f>
        <v>0</v>
      </c>
      <c r="HG14" s="51">
        <f t="shared" ref="HG14" si="161">HC14*$HG$8</f>
        <v>0</v>
      </c>
      <c r="HH14" s="51">
        <f>HF14*HG14</f>
        <v>0</v>
      </c>
      <c r="HI14" s="54"/>
      <c r="HJ14" s="51">
        <f t="shared" ref="HJ14" si="162">HF14*$HJ$8</f>
        <v>0</v>
      </c>
      <c r="HK14" s="51">
        <f t="shared" ref="HK14" si="163">HG14*$HK$8</f>
        <v>0</v>
      </c>
      <c r="HL14" s="51">
        <f>HJ14*HK14</f>
        <v>0</v>
      </c>
      <c r="HM14" s="54"/>
      <c r="HN14" s="51">
        <f t="shared" ref="HN14" si="164">HJ14*$HN$8</f>
        <v>0</v>
      </c>
      <c r="HO14" s="51">
        <f t="shared" ref="HO14" si="165">HK14*$HO$8</f>
        <v>0</v>
      </c>
      <c r="HP14" s="51">
        <f>HN14*HO14</f>
        <v>0</v>
      </c>
      <c r="HQ14" s="54"/>
      <c r="HR14" s="51">
        <f t="shared" ref="HR14" si="166">HN14*$HR$8</f>
        <v>0</v>
      </c>
      <c r="HS14" s="51">
        <f t="shared" ref="HS14" si="167">HO14*$HS$8</f>
        <v>0</v>
      </c>
      <c r="HT14" s="51">
        <f>HR14*HS14</f>
        <v>0</v>
      </c>
      <c r="HU14" s="54"/>
      <c r="HV14" s="51">
        <f t="shared" ref="HV14" si="168">HR14*$HV$8</f>
        <v>0</v>
      </c>
      <c r="HW14" s="51">
        <f t="shared" ref="HW14" si="169">HS14*$HW$8</f>
        <v>0</v>
      </c>
      <c r="HX14" s="51">
        <f>HV14*HW14</f>
        <v>0</v>
      </c>
      <c r="HZ14" s="51">
        <f>HV14*$HZ$8</f>
        <v>0</v>
      </c>
      <c r="IA14" s="51">
        <f>HW14*$IA$8</f>
        <v>0</v>
      </c>
      <c r="IB14" s="51">
        <f>HZ14*IA14</f>
        <v>0</v>
      </c>
      <c r="IC14" s="54"/>
      <c r="ID14" s="51">
        <f t="shared" ref="ID14" si="170">HZ14*$ID$8</f>
        <v>0</v>
      </c>
      <c r="IE14" s="51">
        <f t="shared" ref="IE14" si="171">IA14*$IE$8</f>
        <v>0</v>
      </c>
      <c r="IF14" s="51">
        <f>ID14*IE14</f>
        <v>0</v>
      </c>
      <c r="IG14" s="54"/>
      <c r="IH14" s="51">
        <f t="shared" ref="IH14" si="172">ID14*$IH$8</f>
        <v>0</v>
      </c>
      <c r="II14" s="51">
        <f t="shared" ref="II14" si="173">IE14*$II$8</f>
        <v>0</v>
      </c>
      <c r="IJ14" s="51">
        <f>IH14*II14</f>
        <v>0</v>
      </c>
      <c r="IK14" s="54"/>
      <c r="IL14" s="80">
        <f>SUMIFS($F14:$IK14,$F$3:$IK$3,IL$5,$F$6:$IK$6,IL$6)</f>
        <v>0</v>
      </c>
      <c r="IM14" s="80">
        <v>0</v>
      </c>
      <c r="IN14" s="80">
        <f>SUMIFS($F14:$IK14,$F$3:$IK$3,IL$5,$F$6:$IK$6,IN$6)</f>
        <v>0</v>
      </c>
      <c r="IP14" s="80">
        <f>SUMIFS($F14:$IK14,$F$3:$IK$3,IP$5,$F$6:$IK$6,IP$6)</f>
        <v>0</v>
      </c>
      <c r="IQ14" s="80">
        <v>0</v>
      </c>
      <c r="IR14" s="80">
        <f>SUMIFS($F14:$IK14,$F$3:$IK$3,IP$5,$F$6:$IK$6,IR$6)</f>
        <v>0</v>
      </c>
      <c r="IT14" s="80">
        <f>SUMIFS($F14:$IK14,$F$3:$IK$3,IT$5,$F$6:$IK$6,IT$6)</f>
        <v>0</v>
      </c>
      <c r="IU14" s="80">
        <v>0</v>
      </c>
      <c r="IV14" s="80">
        <f>SUMIFS($F14:$IK14,$F$3:$IK$3,IT$5,$F$6:$IK$6,IV$6)</f>
        <v>0</v>
      </c>
      <c r="IX14" s="80">
        <f>SUMIFS($F14:$IK14,$F$3:$IK$3,IX$5,$F$6:$IK$6,IX$6)</f>
        <v>0</v>
      </c>
      <c r="IY14" s="80">
        <v>0</v>
      </c>
      <c r="IZ14" s="80">
        <f>SUMIFS($F14:$IK14,$F$3:$IK$3,IX$5,$F$6:$IK$6,IZ$6)</f>
        <v>0</v>
      </c>
      <c r="JB14" s="80">
        <f>SUMIFS($F14:$IK14,$F$3:$IK$3,JB$5,$F$6:$IK$6,JB$6)</f>
        <v>0</v>
      </c>
      <c r="JC14" s="80">
        <v>0</v>
      </c>
      <c r="JD14" s="80">
        <f>SUMIFS($F14:$IK14,$F$3:$IK$3,JB$5,$F$6:$IK$6,JD$6)</f>
        <v>0</v>
      </c>
      <c r="JF14" s="80">
        <f>SUMIFS($F14:$IK14,$F$3:$IK$3,JF$5,$F$6:$IK$6,JF$6)</f>
        <v>0</v>
      </c>
      <c r="JG14" s="80">
        <v>0</v>
      </c>
      <c r="JH14" s="80">
        <f>SUMIFS($F14:$IK14,$F$3:$IK$3,JF$5,$F$6:$IK$6,JH$6)</f>
        <v>0</v>
      </c>
    </row>
    <row r="15" ht="18.75" customHeight="1" spans="2:268" s="9" customFormat="1" x14ac:dyDescent="0.25">
      <c r="B15" s="34" t="s">
        <v>58</v>
      </c>
      <c r="C15" s="34"/>
      <c r="D15" s="34"/>
      <c r="E15" s="35"/>
      <c r="F15" s="81">
        <f>SUM(F10:F14)</f>
        <v>28000</v>
      </c>
      <c r="G15" s="81"/>
      <c r="H15" s="81">
        <f>SUM(H10:H14)</f>
        <v>840000</v>
      </c>
      <c r="I15" s="81"/>
      <c r="J15" s="81">
        <f>SUM(J10:J14)</f>
        <v>28280</v>
      </c>
      <c r="K15" s="81"/>
      <c r="L15" s="81">
        <f>SUM(L10:L14)</f>
        <v>848400</v>
      </c>
      <c r="M15" s="81"/>
      <c r="N15" s="81">
        <f>SUM(N10:N14)</f>
        <v>28562.8</v>
      </c>
      <c r="O15" s="81"/>
      <c r="P15" s="81">
        <f>SUM(P10:P14)</f>
        <v>856884</v>
      </c>
      <c r="Q15" s="81"/>
      <c r="R15" s="81">
        <f>SUM(R10:R14)</f>
        <v>28848.428</v>
      </c>
      <c r="S15" s="81"/>
      <c r="T15" s="81">
        <f>SUM(T10:T14)</f>
        <v>865452.84</v>
      </c>
      <c r="U15" s="81"/>
      <c r="V15" s="81">
        <f>SUM(V10:V14)</f>
        <v>29136.91228</v>
      </c>
      <c r="W15" s="81"/>
      <c r="X15" s="81">
        <f>SUM(X10:X14)</f>
        <v>874107.3684</v>
      </c>
      <c r="Y15" s="81"/>
      <c r="Z15" s="81">
        <f>SUM(Z10:Z14)</f>
        <v>29428.2814028</v>
      </c>
      <c r="AA15" s="81"/>
      <c r="AB15" s="81">
        <f>SUM(AB10:AB14)</f>
        <v>882848.442084</v>
      </c>
      <c r="AC15" s="81"/>
      <c r="AD15" s="81">
        <f>SUM(AD10:AD14)</f>
        <v>29722.564216828</v>
      </c>
      <c r="AE15" s="81"/>
      <c r="AF15" s="81">
        <f>SUM(AF10:AF14)</f>
        <v>891676.92650484</v>
      </c>
      <c r="AG15" s="81"/>
      <c r="AH15" s="81">
        <f>SUM(AH10:AH14)</f>
        <v>30019.78985899628</v>
      </c>
      <c r="AI15" s="81"/>
      <c r="AJ15" s="81">
        <f>SUM(AJ10:AJ14)</f>
        <v>900593.6957698883</v>
      </c>
      <c r="AK15" s="81"/>
      <c r="AL15" s="81">
        <f>SUM(AL10:AL14)</f>
        <v>30319.98775758624</v>
      </c>
      <c r="AM15" s="81"/>
      <c r="AN15" s="81">
        <f>SUM(AN10:AN14)</f>
        <v>909599.6327275872</v>
      </c>
      <c r="AO15" s="81"/>
      <c r="AP15" s="81">
        <f>SUM(AP10:AP14)</f>
        <v>33351.98653334487</v>
      </c>
      <c r="AQ15" s="81"/>
      <c r="AR15" s="81">
        <f>SUM(AR10:AR14)</f>
        <v>1000559.5960003461</v>
      </c>
      <c r="AS15" s="81"/>
      <c r="AT15" s="81">
        <f>SUM(AT10:AT14)</f>
        <v>33351.98653334487</v>
      </c>
      <c r="AU15" s="81"/>
      <c r="AV15" s="81">
        <f>SUM(AV10:AV14)</f>
        <v>1000559.5960003461</v>
      </c>
      <c r="AW15" s="81"/>
      <c r="AX15" s="81">
        <f>SUM(AX10:AX14)</f>
        <v>33351.98653334487</v>
      </c>
      <c r="AY15" s="81"/>
      <c r="AZ15" s="81">
        <f>SUM(AZ10:AZ14)</f>
        <v>1000559.5960003461</v>
      </c>
      <c r="BA15" s="81"/>
      <c r="BB15" s="81">
        <f>SUM(BB10:BB14)</f>
        <v>60700.615490687655</v>
      </c>
      <c r="BC15" s="81"/>
      <c r="BD15" s="81">
        <f>SUM(BD10:BD14)</f>
        <v>1821018.4647206296</v>
      </c>
      <c r="BE15" s="81"/>
      <c r="BF15" s="81">
        <f>SUM(BF10:BF14)</f>
        <v>60700.615490687655</v>
      </c>
      <c r="BG15" s="81"/>
      <c r="BH15" s="81">
        <f>SUM(BH10:BH14)</f>
        <v>1821018.4647206296</v>
      </c>
      <c r="BI15" s="81"/>
      <c r="BJ15" s="81">
        <f>SUM(BJ10:BJ14)</f>
        <v>60700.615490687655</v>
      </c>
      <c r="BK15" s="81"/>
      <c r="BL15" s="81">
        <f>SUM(BL10:BL14)</f>
        <v>1821018.4647206296</v>
      </c>
      <c r="BM15" s="81"/>
      <c r="BN15" s="81">
        <f>SUM(BN10:BN14)</f>
        <v>60700.615490687655</v>
      </c>
      <c r="BO15" s="81"/>
      <c r="BP15" s="81">
        <f>SUM(BP10:BP14)</f>
        <v>1821018.4647206296</v>
      </c>
      <c r="BQ15" s="81"/>
      <c r="BR15" s="81">
        <f>SUM(BR10:BR14)</f>
        <v>60700.615490687655</v>
      </c>
      <c r="BS15" s="81"/>
      <c r="BT15" s="81">
        <f>SUM(BT10:BT14)</f>
        <v>1821018.4647206296</v>
      </c>
      <c r="BU15" s="81"/>
      <c r="BV15" s="81">
        <f>SUM(BV10:BV14)</f>
        <v>60700.615490687655</v>
      </c>
      <c r="BW15" s="81"/>
      <c r="BX15" s="81">
        <f>SUM(BX10:BX14)</f>
        <v>1821018.4647206296</v>
      </c>
      <c r="BY15" s="81"/>
      <c r="BZ15" s="81">
        <f>SUM(BZ10:BZ14)</f>
        <v>60700.615490687655</v>
      </c>
      <c r="CA15" s="81"/>
      <c r="CB15" s="81">
        <f>SUM(CB10:CB14)</f>
        <v>1821018.4647206296</v>
      </c>
      <c r="CC15" s="81"/>
      <c r="CD15" s="81">
        <f>SUM(CD10:CD14)</f>
        <v>60700.615490687655</v>
      </c>
      <c r="CE15" s="81"/>
      <c r="CF15" s="81">
        <f>SUM(CF10:CF14)</f>
        <v>1821018.4647206296</v>
      </c>
      <c r="CG15" s="81"/>
      <c r="CH15" s="81">
        <f>SUM(CH10:CH14)</f>
        <v>60700.615490687655</v>
      </c>
      <c r="CI15" s="81"/>
      <c r="CJ15" s="81">
        <f>SUM(CJ10:CJ14)</f>
        <v>1821018.4647206296</v>
      </c>
      <c r="CK15" s="81"/>
      <c r="CL15" s="81">
        <f>SUM(CL10:CL14)</f>
        <v>60700.615490687655</v>
      </c>
      <c r="CM15" s="81"/>
      <c r="CN15" s="81">
        <f>SUM(CN10:CN14)</f>
        <v>1821018.4647206296</v>
      </c>
      <c r="CO15" s="81"/>
      <c r="CP15" s="81">
        <f>SUM(CP10:CP14)</f>
        <v>60700.615490687655</v>
      </c>
      <c r="CQ15" s="81"/>
      <c r="CR15" s="81">
        <f>SUM(CR10:CR14)</f>
        <v>1821018.4647206296</v>
      </c>
      <c r="CS15" s="81"/>
      <c r="CT15" s="81">
        <f>SUM(CT10:CT14)</f>
        <v>60700.615490687655</v>
      </c>
      <c r="CU15" s="81"/>
      <c r="CV15" s="81">
        <f>SUM(CV10:CV14)</f>
        <v>1821018.4647206296</v>
      </c>
      <c r="CW15" s="81"/>
      <c r="CX15" s="81">
        <f>SUM(CX10:CX14)</f>
        <v>103191.046334169</v>
      </c>
      <c r="CY15" s="81"/>
      <c r="CZ15" s="81">
        <f>SUM(CZ10:CZ14)</f>
        <v>3095731.39002507</v>
      </c>
      <c r="DA15" s="81"/>
      <c r="DB15" s="81">
        <f>SUM(DB10:DB14)</f>
        <v>103191.046334169</v>
      </c>
      <c r="DC15" s="81"/>
      <c r="DD15" s="81">
        <f>SUM(DD10:DD14)</f>
        <v>3095731.39002507</v>
      </c>
      <c r="DE15" s="81"/>
      <c r="DF15" s="81">
        <f>SUM(DF10:DF14)</f>
        <v>103191.046334169</v>
      </c>
      <c r="DG15" s="81"/>
      <c r="DH15" s="81">
        <f>SUM(DH10:DH14)</f>
        <v>3095731.39002507</v>
      </c>
      <c r="DI15" s="81"/>
      <c r="DJ15" s="81">
        <f>SUM(DJ10:DJ14)</f>
        <v>103191.046334169</v>
      </c>
      <c r="DK15" s="81"/>
      <c r="DL15" s="81">
        <f>SUM(DL10:DL14)</f>
        <v>3095731.39002507</v>
      </c>
      <c r="DM15" s="81"/>
      <c r="DN15" s="81">
        <f>SUM(DN10:DN14)</f>
        <v>103191.046334169</v>
      </c>
      <c r="DO15" s="81"/>
      <c r="DP15" s="81">
        <f>SUM(DP10:DP14)</f>
        <v>3095731.39002507</v>
      </c>
      <c r="DQ15" s="81"/>
      <c r="DR15" s="81">
        <f>SUM(DR10:DR14)</f>
        <v>103191.046334169</v>
      </c>
      <c r="DS15" s="81"/>
      <c r="DT15" s="81">
        <f>SUM(DT10:DT14)</f>
        <v>3095731.39002507</v>
      </c>
      <c r="DU15" s="81"/>
      <c r="DV15" s="81">
        <f>SUM(DV10:DV14)</f>
        <v>103191.046334169</v>
      </c>
      <c r="DW15" s="81"/>
      <c r="DX15" s="81">
        <f>SUM(DX10:DX14)</f>
        <v>3095731.39002507</v>
      </c>
      <c r="DY15" s="81"/>
      <c r="DZ15" s="81">
        <f>SUM(DZ10:DZ14)</f>
        <v>103191.046334169</v>
      </c>
      <c r="EA15" s="81"/>
      <c r="EB15" s="81">
        <f>SUM(EB10:EB14)</f>
        <v>3095731.39002507</v>
      </c>
      <c r="EC15" s="81"/>
      <c r="ED15" s="81">
        <f>SUM(ED10:ED14)</f>
        <v>103191.046334169</v>
      </c>
      <c r="EE15" s="81"/>
      <c r="EF15" s="81">
        <f>SUM(EF10:EF14)</f>
        <v>3095731.39002507</v>
      </c>
      <c r="EG15" s="81"/>
      <c r="EH15" s="81">
        <f>SUM(EH10:EH14)</f>
        <v>103191.046334169</v>
      </c>
      <c r="EI15" s="81"/>
      <c r="EJ15" s="81">
        <f>SUM(EJ10:EJ14)</f>
        <v>3095731.39002507</v>
      </c>
      <c r="EK15" s="81"/>
      <c r="EL15" s="81">
        <f>SUM(EL10:EL14)</f>
        <v>103191.046334169</v>
      </c>
      <c r="EM15" s="81"/>
      <c r="EN15" s="81">
        <f>SUM(EN10:EN14)</f>
        <v>3095731.39002507</v>
      </c>
      <c r="EO15" s="81"/>
      <c r="EP15" s="81">
        <f>SUM(EP10:EP14)</f>
        <v>103191.046334169</v>
      </c>
      <c r="EQ15" s="81"/>
      <c r="ER15" s="81">
        <f>SUM(ER10:ER14)</f>
        <v>3095731.39002507</v>
      </c>
      <c r="ES15" s="81"/>
      <c r="ET15" s="81">
        <f>SUM(ET10:ET14)</f>
        <v>159946.12181796198</v>
      </c>
      <c r="EU15" s="81"/>
      <c r="EV15" s="81">
        <f>SUM(EV10:EV14)</f>
        <v>4798383.65453886</v>
      </c>
      <c r="EW15" s="81"/>
      <c r="EX15" s="81">
        <f>SUM(EX10:EX14)</f>
        <v>159946.12181796198</v>
      </c>
      <c r="EY15" s="81"/>
      <c r="EZ15" s="81">
        <f>SUM(EZ10:EZ14)</f>
        <v>4798383.65453886</v>
      </c>
      <c r="FA15" s="81"/>
      <c r="FB15" s="81">
        <f>SUM(FB10:FB14)</f>
        <v>159946.12181796198</v>
      </c>
      <c r="FC15" s="81"/>
      <c r="FD15" s="81">
        <f>SUM(FD10:FD14)</f>
        <v>4798383.65453886</v>
      </c>
      <c r="FE15" s="81"/>
      <c r="FF15" s="81">
        <f>SUM(FF10:FF14)</f>
        <v>159946.12181796198</v>
      </c>
      <c r="FG15" s="81"/>
      <c r="FH15" s="81">
        <f>SUM(FH10:FH14)</f>
        <v>4798383.65453886</v>
      </c>
      <c r="FI15" s="81"/>
      <c r="FJ15" s="81">
        <f>SUM(FJ10:FJ14)</f>
        <v>159946.12181796198</v>
      </c>
      <c r="FK15" s="81"/>
      <c r="FL15" s="81">
        <f>SUM(FL10:FL14)</f>
        <v>4798383.65453886</v>
      </c>
      <c r="FM15" s="81"/>
      <c r="FN15" s="81">
        <f>SUM(FN10:FN14)</f>
        <v>159946.12181796198</v>
      </c>
      <c r="FO15" s="81"/>
      <c r="FP15" s="81">
        <f>SUM(FP10:FP14)</f>
        <v>4798383.65453886</v>
      </c>
      <c r="FQ15" s="81"/>
      <c r="FR15" s="81">
        <f>SUM(FR10:FR14)</f>
        <v>159946.12181796198</v>
      </c>
      <c r="FS15" s="81"/>
      <c r="FT15" s="81">
        <f>SUM(FT10:FT14)</f>
        <v>4798383.65453886</v>
      </c>
      <c r="FU15" s="81"/>
      <c r="FV15" s="81">
        <f>SUM(FV10:FV14)</f>
        <v>159946.12181796198</v>
      </c>
      <c r="FW15" s="81"/>
      <c r="FX15" s="81">
        <f>SUM(FX10:FX14)</f>
        <v>4798383.65453886</v>
      </c>
      <c r="FY15" s="81"/>
      <c r="FZ15" s="81">
        <f>SUM(FZ10:FZ14)</f>
        <v>159946.12181796198</v>
      </c>
      <c r="GA15" s="81"/>
      <c r="GB15" s="81">
        <f>SUM(GB10:GB14)</f>
        <v>4798383.65453886</v>
      </c>
      <c r="GD15" s="81">
        <f>SUM(GD10:GD14)</f>
        <v>159946.12181796198</v>
      </c>
      <c r="GE15" s="81"/>
      <c r="GF15" s="81">
        <f>SUM(GF10:GF14)</f>
        <v>4798383.65453886</v>
      </c>
      <c r="GG15" s="81"/>
      <c r="GH15" s="81">
        <f>SUM(GH10:GH14)</f>
        <v>159946.12181796198</v>
      </c>
      <c r="GI15" s="81"/>
      <c r="GJ15" s="81">
        <f>SUM(GJ10:GJ14)</f>
        <v>4798383.65453886</v>
      </c>
      <c r="GK15" s="81"/>
      <c r="GL15" s="81">
        <f>SUM(GL10:GL14)</f>
        <v>159946.12181796198</v>
      </c>
      <c r="GM15" s="81"/>
      <c r="GN15" s="81">
        <f>SUM(GN10:GN14)</f>
        <v>4798383.65453886</v>
      </c>
      <c r="GO15" s="81"/>
      <c r="GP15" s="81">
        <f>SUM(GP10:GP14)</f>
        <v>231921.87663604485</v>
      </c>
      <c r="GQ15" s="81"/>
      <c r="GR15" s="81">
        <f>SUM(GR10:GR14)</f>
        <v>6957656.299081345</v>
      </c>
      <c r="GS15" s="81"/>
      <c r="GT15" s="81">
        <f>SUM(GT10:GT14)</f>
        <v>231921.87663604485</v>
      </c>
      <c r="GU15" s="81"/>
      <c r="GV15" s="81">
        <f>SUM(GV10:GV14)</f>
        <v>6957656.299081345</v>
      </c>
      <c r="GW15" s="81"/>
      <c r="GX15" s="81">
        <f>SUM(GX10:GX14)</f>
        <v>231921.87663604485</v>
      </c>
      <c r="GY15" s="81"/>
      <c r="GZ15" s="81">
        <f>SUM(GZ10:GZ14)</f>
        <v>6957656.299081345</v>
      </c>
      <c r="HA15" s="81"/>
      <c r="HB15" s="81">
        <f>SUM(HB10:HB14)</f>
        <v>231921.87663604485</v>
      </c>
      <c r="HC15" s="81"/>
      <c r="HD15" s="81">
        <f>SUM(HD10:HD14)</f>
        <v>6957656.299081345</v>
      </c>
      <c r="HE15" s="81"/>
      <c r="HF15" s="81">
        <f>SUM(HF10:HF14)</f>
        <v>231921.87663604485</v>
      </c>
      <c r="HG15" s="81"/>
      <c r="HH15" s="81">
        <f>SUM(HH10:HH14)</f>
        <v>6957656.299081345</v>
      </c>
      <c r="HI15" s="81"/>
      <c r="HJ15" s="81">
        <f>SUM(HJ10:HJ14)</f>
        <v>231921.87663604485</v>
      </c>
      <c r="HK15" s="81"/>
      <c r="HL15" s="81">
        <f>SUM(HL10:HL14)</f>
        <v>6957656.299081345</v>
      </c>
      <c r="HM15" s="81"/>
      <c r="HN15" s="81">
        <f>SUM(HN10:HN14)</f>
        <v>231921.87663604485</v>
      </c>
      <c r="HO15" s="81"/>
      <c r="HP15" s="81">
        <f>SUM(HP10:HP14)</f>
        <v>6957656.299081345</v>
      </c>
      <c r="HQ15" s="81"/>
      <c r="HR15" s="81">
        <f>SUM(HR10:HR14)</f>
        <v>231921.87663604485</v>
      </c>
      <c r="HS15" s="81"/>
      <c r="HT15" s="81">
        <f>SUM(HT10:HT14)</f>
        <v>6957656.299081345</v>
      </c>
      <c r="HU15" s="81"/>
      <c r="HV15" s="81">
        <f>SUM(HV10:HV14)</f>
        <v>231921.87663604485</v>
      </c>
      <c r="HW15" s="81"/>
      <c r="HX15" s="81">
        <f>SUM(HX10:HX14)</f>
        <v>6957656.299081345</v>
      </c>
      <c r="HZ15" s="81">
        <f>SUM(HZ10:HZ14)</f>
        <v>231921.87663604485</v>
      </c>
      <c r="IA15" s="81"/>
      <c r="IB15" s="81">
        <f>SUM(IB10:IB14)</f>
        <v>6957656.299081345</v>
      </c>
      <c r="IC15" s="81"/>
      <c r="ID15" s="81">
        <f>SUM(ID10:ID14)</f>
        <v>231921.87663604485</v>
      </c>
      <c r="IE15" s="81"/>
      <c r="IF15" s="81">
        <f>SUM(IF10:IF14)</f>
        <v>6957656.299081345</v>
      </c>
      <c r="IG15" s="81"/>
      <c r="IH15" s="81">
        <f>SUM(IH10:IH14)</f>
        <v>231921.87663604485</v>
      </c>
      <c r="II15" s="81"/>
      <c r="IJ15" s="81">
        <f>SUM(IJ10:IJ14)</f>
        <v>6957656.299081345</v>
      </c>
      <c r="IK15" s="81"/>
      <c r="IL15" s="81">
        <f>SUM(IL10:IL14)</f>
        <v>0</v>
      </c>
      <c r="IM15" s="81"/>
      <c r="IN15" s="80">
        <f>SUM(IN10:IN14)</f>
        <v>0</v>
      </c>
      <c r="IP15" s="81">
        <f>SUM(IP10:IP14)</f>
        <v>362374.7231162451</v>
      </c>
      <c r="IQ15" s="81"/>
      <c r="IR15" s="80">
        <f>SUM(IR10:IR14)</f>
        <v>10871241.693487352</v>
      </c>
      <c r="IT15" s="81">
        <f>SUM(IT10:IT14)</f>
        <v>728407.3858882518</v>
      </c>
      <c r="IU15" s="81"/>
      <c r="IV15" s="80">
        <f>SUM(IV10:IV14)</f>
        <v>21852221.576647554</v>
      </c>
      <c r="IX15" s="81">
        <f>SUM(IX10:IX14)</f>
        <v>1238292.556010028</v>
      </c>
      <c r="IY15" s="81"/>
      <c r="IZ15" s="80">
        <f>SUM(IZ10:IZ14)</f>
        <v>37148776.68030085</v>
      </c>
      <c r="JB15" s="81">
        <f>SUM(JB10:JB14)</f>
        <v>1919353.4618155442</v>
      </c>
      <c r="JC15" s="81"/>
      <c r="JD15" s="80">
        <f>SUM(JD10:JD14)</f>
        <v>57580603.85446633</v>
      </c>
      <c r="JF15" s="81">
        <f>SUM(JF10:JF14)</f>
        <v>2783062.519632539</v>
      </c>
      <c r="JG15" s="81"/>
      <c r="JH15" s="80">
        <f>SUM(JH10:JH14)</f>
        <v>83491875.58897614</v>
      </c>
    </row>
    <row r="16" ht="9.75" customHeight="1" spans="2:268" x14ac:dyDescent="0.25">
      <c r="B16" s="9"/>
      <c r="C16" s="30"/>
      <c r="D16" s="30"/>
      <c r="E16" s="30"/>
      <c r="F16" s="54"/>
      <c r="G16" s="54"/>
      <c r="H16" s="54"/>
      <c r="I16" s="54"/>
      <c r="J16" s="54"/>
      <c r="K16" s="54"/>
      <c r="L16" s="54"/>
      <c r="M16" s="54"/>
      <c r="N16" s="54"/>
      <c r="O16" s="54"/>
      <c r="P16" s="54"/>
      <c r="Q16" s="54"/>
      <c r="R16" s="54"/>
      <c r="S16" s="54"/>
      <c r="T16" s="54"/>
      <c r="U16" s="54"/>
      <c r="V16" s="54"/>
      <c r="W16" s="54"/>
      <c r="X16" s="54"/>
      <c r="Y16" s="54"/>
      <c r="Z16" s="54"/>
      <c r="AA16" s="54"/>
      <c r="AB16" s="54"/>
      <c r="AC16" s="54"/>
      <c r="AD16" s="54"/>
      <c r="AE16" s="54"/>
      <c r="AF16" s="54"/>
      <c r="AG16" s="54"/>
      <c r="AH16" s="54"/>
      <c r="AI16" s="54"/>
      <c r="AJ16" s="54"/>
      <c r="AK16" s="54"/>
      <c r="AL16" s="54"/>
      <c r="AM16" s="54"/>
      <c r="AN16" s="54"/>
      <c r="AO16" s="54"/>
      <c r="AP16" s="54"/>
      <c r="AQ16" s="54"/>
      <c r="AR16" s="54"/>
      <c r="AS16" s="54"/>
      <c r="AT16" s="54"/>
      <c r="AU16" s="54"/>
      <c r="AV16" s="54"/>
      <c r="AW16" s="54"/>
      <c r="AX16" s="54"/>
      <c r="AY16" s="54"/>
      <c r="AZ16" s="54"/>
      <c r="BA16" s="54"/>
      <c r="BB16" s="54"/>
      <c r="BC16" s="54"/>
      <c r="BD16" s="54"/>
      <c r="BE16" s="54"/>
      <c r="BF16" s="54"/>
      <c r="BG16" s="54"/>
      <c r="BH16" s="54"/>
      <c r="BI16" s="54"/>
      <c r="BJ16" s="54"/>
      <c r="BK16" s="54"/>
      <c r="BL16" s="54"/>
      <c r="BM16" s="54"/>
      <c r="BN16" s="54"/>
      <c r="BO16" s="54"/>
      <c r="BP16" s="54"/>
      <c r="BQ16" s="54"/>
      <c r="BR16" s="54"/>
      <c r="BS16" s="54"/>
      <c r="BT16" s="54"/>
      <c r="BU16" s="54"/>
      <c r="BV16" s="54"/>
      <c r="BW16" s="54"/>
      <c r="BX16" s="54"/>
      <c r="BY16" s="54"/>
      <c r="BZ16" s="54"/>
      <c r="CA16" s="54"/>
      <c r="CB16" s="54"/>
      <c r="CC16" s="54"/>
      <c r="CD16" s="54"/>
      <c r="CE16" s="54"/>
      <c r="CF16" s="54"/>
      <c r="CG16" s="54"/>
      <c r="CH16" s="54"/>
      <c r="CI16" s="54"/>
      <c r="CJ16" s="54"/>
      <c r="CK16" s="54"/>
      <c r="CL16" s="54"/>
      <c r="CM16" s="54"/>
      <c r="CN16" s="54"/>
      <c r="CO16" s="54"/>
      <c r="CP16" s="54"/>
      <c r="CQ16" s="54"/>
      <c r="CR16" s="54"/>
      <c r="CS16" s="54"/>
      <c r="CT16" s="54"/>
      <c r="CU16" s="54"/>
      <c r="CV16" s="54"/>
      <c r="CW16" s="54"/>
      <c r="CX16" s="54"/>
      <c r="CY16" s="54"/>
      <c r="CZ16" s="54"/>
      <c r="DA16" s="54"/>
      <c r="DB16" s="54"/>
      <c r="DC16" s="54"/>
      <c r="DD16" s="54"/>
      <c r="DE16" s="54"/>
      <c r="DF16" s="54"/>
      <c r="DG16" s="54"/>
      <c r="DH16" s="54"/>
      <c r="DI16" s="54"/>
      <c r="DJ16" s="54"/>
      <c r="DK16" s="54"/>
      <c r="DL16" s="54"/>
      <c r="DM16" s="54"/>
      <c r="DN16" s="54"/>
      <c r="DO16" s="54"/>
      <c r="DP16" s="54"/>
      <c r="DQ16" s="54"/>
      <c r="DR16" s="54"/>
      <c r="DS16" s="54"/>
      <c r="DT16" s="54"/>
      <c r="DU16" s="54"/>
      <c r="DV16" s="54"/>
      <c r="DW16" s="54"/>
      <c r="DX16" s="54"/>
      <c r="DY16" s="54"/>
      <c r="DZ16" s="54"/>
      <c r="EA16" s="54"/>
      <c r="EB16" s="54"/>
      <c r="EC16" s="54"/>
      <c r="ED16" s="54"/>
      <c r="EE16" s="54"/>
      <c r="EF16" s="54"/>
      <c r="EG16" s="54"/>
      <c r="EH16" s="54"/>
      <c r="EI16" s="54"/>
      <c r="EJ16" s="54"/>
      <c r="EK16" s="54"/>
      <c r="EL16" s="54"/>
      <c r="EM16" s="54"/>
      <c r="EN16" s="54"/>
      <c r="EO16" s="54"/>
      <c r="EP16" s="54"/>
      <c r="EQ16" s="54"/>
      <c r="ER16" s="54"/>
      <c r="ES16" s="54"/>
      <c r="ET16" s="54"/>
      <c r="EU16" s="54"/>
      <c r="EV16" s="54"/>
      <c r="EW16" s="54"/>
      <c r="EX16" s="54"/>
      <c r="EY16" s="54"/>
      <c r="EZ16" s="54"/>
      <c r="FA16" s="54"/>
      <c r="FB16" s="54"/>
      <c r="FC16" s="54"/>
      <c r="FD16" s="54"/>
      <c r="FE16" s="54"/>
      <c r="FF16" s="54"/>
      <c r="FG16" s="54"/>
      <c r="FH16" s="54"/>
      <c r="FI16" s="54"/>
      <c r="FJ16" s="54"/>
      <c r="FK16" s="54"/>
      <c r="FL16" s="54"/>
      <c r="FM16" s="54"/>
      <c r="FN16" s="54"/>
      <c r="FO16" s="54"/>
      <c r="FP16" s="54"/>
      <c r="FQ16" s="54"/>
      <c r="FR16" s="54"/>
      <c r="FS16" s="54"/>
      <c r="FT16" s="54"/>
      <c r="FU16" s="54"/>
      <c r="FV16" s="54"/>
      <c r="FW16" s="54"/>
      <c r="FX16" s="54"/>
      <c r="FY16" s="54"/>
      <c r="FZ16" s="54"/>
      <c r="GA16" s="54"/>
      <c r="GB16" s="54"/>
      <c r="GD16" s="54"/>
      <c r="GE16" s="54"/>
      <c r="GF16" s="54"/>
      <c r="GG16" s="54"/>
      <c r="GH16" s="54"/>
      <c r="GI16" s="54"/>
      <c r="GJ16" s="54"/>
      <c r="GK16" s="54"/>
      <c r="GL16" s="54"/>
      <c r="GM16" s="54"/>
      <c r="GN16" s="54"/>
      <c r="GO16" s="54"/>
      <c r="GP16" s="54"/>
      <c r="GQ16" s="54"/>
      <c r="GR16" s="54"/>
      <c r="GS16" s="54"/>
      <c r="GT16" s="54"/>
      <c r="GU16" s="54"/>
      <c r="GV16" s="54"/>
      <c r="GW16" s="54"/>
      <c r="GX16" s="54"/>
      <c r="GY16" s="54"/>
      <c r="GZ16" s="54"/>
      <c r="HA16" s="54"/>
      <c r="HB16" s="54"/>
      <c r="HC16" s="54"/>
      <c r="HD16" s="54"/>
      <c r="HE16" s="54"/>
      <c r="HF16" s="54"/>
      <c r="HG16" s="54"/>
      <c r="HH16" s="54"/>
      <c r="HI16" s="54"/>
      <c r="HJ16" s="54"/>
      <c r="HK16" s="54"/>
      <c r="HL16" s="54"/>
      <c r="HM16" s="54"/>
      <c r="HN16" s="54"/>
      <c r="HO16" s="54"/>
      <c r="HP16" s="54"/>
      <c r="HQ16" s="54"/>
      <c r="HR16" s="54"/>
      <c r="HS16" s="54"/>
      <c r="HT16" s="54"/>
      <c r="HU16" s="54"/>
      <c r="HV16" s="54"/>
      <c r="HW16" s="54"/>
      <c r="HX16" s="54"/>
      <c r="HZ16" s="54"/>
      <c r="IA16" s="54"/>
      <c r="IB16" s="54"/>
      <c r="IC16" s="54"/>
      <c r="ID16" s="54"/>
      <c r="IE16" s="54"/>
      <c r="IF16" s="54"/>
      <c r="IG16" s="54"/>
      <c r="IH16" s="54"/>
      <c r="II16" s="54"/>
      <c r="IJ16" s="54"/>
      <c r="IK16" s="54"/>
      <c r="IL16" s="54"/>
      <c r="IM16" s="54"/>
      <c r="IN16" s="54"/>
      <c r="IP16" s="54"/>
      <c r="IQ16" s="54"/>
      <c r="IR16" s="54"/>
      <c r="IT16" s="54"/>
      <c r="IU16" s="54"/>
      <c r="IV16" s="54"/>
      <c r="IX16" s="54"/>
      <c r="IY16" s="54"/>
      <c r="IZ16" s="54"/>
      <c r="JB16" s="54"/>
      <c r="JC16" s="54"/>
      <c r="JD16" s="54"/>
      <c r="JF16" s="54"/>
      <c r="JG16" s="54"/>
      <c r="JH16" s="54"/>
    </row>
    <row r="17" ht="18.75" customHeight="1" spans="2:268" x14ac:dyDescent="0.25">
      <c r="B17" s="9"/>
      <c r="C17" s="30"/>
      <c r="D17" s="28"/>
      <c r="E17" s="28"/>
      <c r="F17" s="28"/>
      <c r="G17" s="54"/>
      <c r="H17" s="54"/>
      <c r="I17" s="54"/>
      <c r="J17" s="78">
        <f>'A.I Revenue Streams - P1'!K19+100%</f>
        <v>1</v>
      </c>
      <c r="K17" s="78">
        <f>$K$8</f>
        <v>1</v>
      </c>
      <c r="L17" s="77"/>
      <c r="M17" s="77"/>
      <c r="N17" s="78">
        <v>1</v>
      </c>
      <c r="O17" s="78">
        <v>1</v>
      </c>
      <c r="P17" s="77"/>
      <c r="Q17" s="77"/>
      <c r="R17" s="78">
        <f>N17</f>
        <v>1</v>
      </c>
      <c r="S17" s="78">
        <v>1</v>
      </c>
      <c r="T17" s="77"/>
      <c r="U17" s="77"/>
      <c r="V17" s="78">
        <f>R17</f>
        <v>1</v>
      </c>
      <c r="W17" s="78">
        <v>1</v>
      </c>
      <c r="X17" s="77"/>
      <c r="Y17" s="77"/>
      <c r="Z17" s="78">
        <f>V17</f>
        <v>1</v>
      </c>
      <c r="AA17" s="78">
        <v>1</v>
      </c>
      <c r="AB17" s="77"/>
      <c r="AC17" s="77"/>
      <c r="AD17" s="78">
        <f>Z17</f>
        <v>1</v>
      </c>
      <c r="AE17" s="78">
        <v>1</v>
      </c>
      <c r="AF17" s="77"/>
      <c r="AG17" s="77"/>
      <c r="AH17" s="78">
        <f>AD17</f>
        <v>1</v>
      </c>
      <c r="AI17" s="78">
        <v>1</v>
      </c>
      <c r="AJ17" s="77"/>
      <c r="AK17" s="77"/>
      <c r="AL17" s="78">
        <f>AH17</f>
        <v>1</v>
      </c>
      <c r="AM17" s="78">
        <v>1</v>
      </c>
      <c r="AN17" s="77"/>
      <c r="AO17" s="54"/>
      <c r="AP17" s="78">
        <v>1</v>
      </c>
      <c r="AQ17" s="78">
        <v>1</v>
      </c>
      <c r="AR17" s="77"/>
      <c r="AS17" s="54"/>
      <c r="AT17" s="78">
        <f>AP17</f>
        <v>1</v>
      </c>
      <c r="AU17" s="78">
        <v>1</v>
      </c>
      <c r="AV17" s="77"/>
      <c r="AW17" s="77"/>
      <c r="AX17" s="78">
        <f>AT17</f>
        <v>1</v>
      </c>
      <c r="AY17" s="78">
        <v>1</v>
      </c>
      <c r="AZ17" s="77"/>
      <c r="BA17" s="77"/>
      <c r="BB17" s="79">
        <f>'A.I Revenue Streams - P1'!M19+100%</f>
        <v>1</v>
      </c>
      <c r="BC17" s="79">
        <v>1</v>
      </c>
      <c r="BD17" s="77"/>
      <c r="BE17" s="77"/>
      <c r="BF17" s="78">
        <v>1</v>
      </c>
      <c r="BG17" s="78">
        <v>1</v>
      </c>
      <c r="BH17" s="77"/>
      <c r="BI17" s="77"/>
      <c r="BJ17" s="78">
        <f>BF17</f>
        <v>1</v>
      </c>
      <c r="BK17" s="78">
        <v>1</v>
      </c>
      <c r="BL17" s="77"/>
      <c r="BM17" s="77"/>
      <c r="BN17" s="79">
        <f>BJ17</f>
        <v>1</v>
      </c>
      <c r="BO17" s="79">
        <v>1</v>
      </c>
      <c r="BP17" s="77"/>
      <c r="BQ17" s="77"/>
      <c r="BR17" s="78">
        <f>BN17</f>
        <v>1</v>
      </c>
      <c r="BS17" s="78">
        <v>1</v>
      </c>
      <c r="BT17" s="77"/>
      <c r="BU17" s="77"/>
      <c r="BV17" s="78">
        <f>BR17</f>
        <v>1</v>
      </c>
      <c r="BW17" s="78">
        <v>1</v>
      </c>
      <c r="BX17" s="77"/>
      <c r="BY17" s="77"/>
      <c r="BZ17" s="78">
        <f>BV17</f>
        <v>1</v>
      </c>
      <c r="CA17" s="78">
        <v>1</v>
      </c>
      <c r="CB17" s="77"/>
      <c r="CC17" s="77"/>
      <c r="CD17" s="78">
        <f>BZ17</f>
        <v>1</v>
      </c>
      <c r="CE17" s="78">
        <v>1</v>
      </c>
      <c r="CF17" s="77"/>
      <c r="CG17" s="77"/>
      <c r="CH17" s="79">
        <f>CD17</f>
        <v>1</v>
      </c>
      <c r="CI17" s="79">
        <v>1</v>
      </c>
      <c r="CJ17" s="77"/>
      <c r="CK17" s="77"/>
      <c r="CL17" s="78">
        <v>1</v>
      </c>
      <c r="CM17" s="78">
        <v>1</v>
      </c>
      <c r="CN17" s="77"/>
      <c r="CO17" s="54"/>
      <c r="CP17" s="78">
        <v>1</v>
      </c>
      <c r="CQ17" s="78">
        <v>1</v>
      </c>
      <c r="CR17" s="77"/>
      <c r="CS17" s="77"/>
      <c r="CT17" s="78">
        <f>CP17</f>
        <v>1</v>
      </c>
      <c r="CU17" s="78">
        <v>1</v>
      </c>
      <c r="CV17" s="77"/>
      <c r="CW17" s="77"/>
      <c r="CX17" s="79">
        <f>'A.I Revenue Streams - P1'!O19+100%</f>
        <v>1</v>
      </c>
      <c r="CY17" s="79">
        <v>1</v>
      </c>
      <c r="CZ17" s="77"/>
      <c r="DA17" s="77"/>
      <c r="DB17" s="78">
        <v>1</v>
      </c>
      <c r="DC17" s="78">
        <v>1</v>
      </c>
      <c r="DD17" s="77"/>
      <c r="DE17" s="77"/>
      <c r="DF17" s="78">
        <f>DB17</f>
        <v>1</v>
      </c>
      <c r="DG17" s="78">
        <v>1</v>
      </c>
      <c r="DH17" s="77"/>
      <c r="DI17" s="77"/>
      <c r="DJ17" s="79">
        <f>DF17</f>
        <v>1</v>
      </c>
      <c r="DK17" s="79">
        <v>1</v>
      </c>
      <c r="DL17" s="77"/>
      <c r="DM17" s="77"/>
      <c r="DN17" s="78">
        <f>DJ17</f>
        <v>1</v>
      </c>
      <c r="DO17" s="78">
        <v>1</v>
      </c>
      <c r="DP17" s="77"/>
      <c r="DQ17" s="77"/>
      <c r="DR17" s="78">
        <f>DN17</f>
        <v>1</v>
      </c>
      <c r="DS17" s="78">
        <v>1</v>
      </c>
      <c r="DT17" s="77"/>
      <c r="DU17" s="77"/>
      <c r="DV17" s="78">
        <f>DR17</f>
        <v>1</v>
      </c>
      <c r="DW17" s="78">
        <v>1</v>
      </c>
      <c r="DX17" s="77"/>
      <c r="DY17" s="77"/>
      <c r="DZ17" s="78">
        <f>DV17</f>
        <v>1</v>
      </c>
      <c r="EA17" s="78">
        <v>1</v>
      </c>
      <c r="EB17" s="77"/>
      <c r="EC17" s="77"/>
      <c r="ED17" s="79">
        <f>DZ17</f>
        <v>1</v>
      </c>
      <c r="EE17" s="79">
        <v>1</v>
      </c>
      <c r="EF17" s="77"/>
      <c r="EG17" s="77"/>
      <c r="EH17" s="78">
        <v>1</v>
      </c>
      <c r="EI17" s="78">
        <v>1</v>
      </c>
      <c r="EJ17" s="77"/>
      <c r="EK17" s="54"/>
      <c r="EL17" s="78">
        <v>1</v>
      </c>
      <c r="EM17" s="78">
        <v>1</v>
      </c>
      <c r="EN17" s="77"/>
      <c r="EO17" s="77"/>
      <c r="EP17" s="78">
        <f>EL17</f>
        <v>1</v>
      </c>
      <c r="EQ17" s="78">
        <v>1</v>
      </c>
      <c r="ER17" s="77"/>
      <c r="ES17" s="77"/>
      <c r="ET17" s="79">
        <f>'A.I Revenue Streams - P1'!Q19+100%</f>
        <v>1</v>
      </c>
      <c r="EU17" s="79">
        <v>1</v>
      </c>
      <c r="EV17" s="77"/>
      <c r="EW17" s="77"/>
      <c r="EX17" s="78">
        <v>1</v>
      </c>
      <c r="EY17" s="78">
        <v>1</v>
      </c>
      <c r="EZ17" s="77"/>
      <c r="FA17" s="77"/>
      <c r="FB17" s="78">
        <f>EX17</f>
        <v>1</v>
      </c>
      <c r="FC17" s="78">
        <v>1</v>
      </c>
      <c r="FD17" s="77"/>
      <c r="FE17" s="77"/>
      <c r="FF17" s="79">
        <f>FB17</f>
        <v>1</v>
      </c>
      <c r="FG17" s="79">
        <v>1</v>
      </c>
      <c r="FH17" s="77"/>
      <c r="FI17" s="77"/>
      <c r="FJ17" s="78">
        <f>FF17</f>
        <v>1</v>
      </c>
      <c r="FK17" s="78">
        <v>1</v>
      </c>
      <c r="FL17" s="77"/>
      <c r="FM17" s="77"/>
      <c r="FN17" s="78">
        <f>FJ17</f>
        <v>1</v>
      </c>
      <c r="FO17" s="78">
        <v>1</v>
      </c>
      <c r="FP17" s="77"/>
      <c r="FQ17" s="77"/>
      <c r="FR17" s="78">
        <f>FN17</f>
        <v>1</v>
      </c>
      <c r="FS17" s="78">
        <v>1</v>
      </c>
      <c r="FT17" s="77"/>
      <c r="FU17" s="77"/>
      <c r="FV17" s="78">
        <f>FR17</f>
        <v>1</v>
      </c>
      <c r="FW17" s="78">
        <v>1</v>
      </c>
      <c r="FX17" s="77"/>
      <c r="FY17" s="77"/>
      <c r="FZ17" s="79">
        <f>FV17</f>
        <v>1</v>
      </c>
      <c r="GA17" s="79">
        <v>1</v>
      </c>
      <c r="GB17" s="77"/>
      <c r="GC17" s="28"/>
      <c r="GD17" s="78">
        <v>1</v>
      </c>
      <c r="GE17" s="78">
        <v>1</v>
      </c>
      <c r="GF17" s="77"/>
      <c r="GG17" s="54"/>
      <c r="GH17" s="78">
        <v>1</v>
      </c>
      <c r="GI17" s="78">
        <v>1</v>
      </c>
      <c r="GJ17" s="77"/>
      <c r="GK17" s="77"/>
      <c r="GL17" s="78">
        <f>GH17</f>
        <v>1</v>
      </c>
      <c r="GM17" s="78">
        <v>1</v>
      </c>
      <c r="GN17" s="77"/>
      <c r="GO17" s="77"/>
      <c r="GP17" s="79">
        <f>'A.I Revenue Streams - P1'!S19+100%</f>
        <v>1</v>
      </c>
      <c r="GQ17" s="79">
        <v>1</v>
      </c>
      <c r="GR17" s="77"/>
      <c r="GS17" s="77"/>
      <c r="GT17" s="78">
        <v>1</v>
      </c>
      <c r="GU17" s="78">
        <v>1</v>
      </c>
      <c r="GV17" s="77"/>
      <c r="GW17" s="77"/>
      <c r="GX17" s="78">
        <f>GT17</f>
        <v>1</v>
      </c>
      <c r="GY17" s="78">
        <v>1</v>
      </c>
      <c r="GZ17" s="77"/>
      <c r="HA17" s="77"/>
      <c r="HB17" s="79">
        <f>GX17</f>
        <v>1</v>
      </c>
      <c r="HC17" s="79">
        <v>1</v>
      </c>
      <c r="HD17" s="77"/>
      <c r="HE17" s="77"/>
      <c r="HF17" s="78">
        <f>HB17</f>
        <v>1</v>
      </c>
      <c r="HG17" s="78">
        <v>1</v>
      </c>
      <c r="HH17" s="77"/>
      <c r="HI17" s="77"/>
      <c r="HJ17" s="78">
        <f>HF17</f>
        <v>1</v>
      </c>
      <c r="HK17" s="78">
        <v>1</v>
      </c>
      <c r="HL17" s="77"/>
      <c r="HM17" s="77"/>
      <c r="HN17" s="78">
        <f>HJ17</f>
        <v>1</v>
      </c>
      <c r="HO17" s="78">
        <v>1</v>
      </c>
      <c r="HP17" s="77"/>
      <c r="HQ17" s="77"/>
      <c r="HR17" s="78">
        <f>HN17</f>
        <v>1</v>
      </c>
      <c r="HS17" s="78">
        <v>1</v>
      </c>
      <c r="HT17" s="77"/>
      <c r="HU17" s="77"/>
      <c r="HV17" s="79">
        <f>HR17</f>
        <v>1</v>
      </c>
      <c r="HW17" s="79">
        <v>1</v>
      </c>
      <c r="HX17" s="77"/>
      <c r="HY17" s="28"/>
      <c r="HZ17" s="78">
        <v>1</v>
      </c>
      <c r="IA17" s="78">
        <v>1</v>
      </c>
      <c r="IB17" s="77"/>
      <c r="IC17" s="54"/>
      <c r="ID17" s="78">
        <v>1</v>
      </c>
      <c r="IE17" s="78">
        <v>1</v>
      </c>
      <c r="IF17" s="77"/>
      <c r="IG17" s="77"/>
      <c r="IH17" s="78">
        <f>ID17</f>
        <v>1</v>
      </c>
      <c r="II17" s="78">
        <v>1</v>
      </c>
      <c r="IJ17" s="77"/>
      <c r="IK17" s="77"/>
      <c r="IL17" s="78">
        <f>'A.I Revenue Streams - P2'!DI19+100%</f>
        <v>1</v>
      </c>
      <c r="IM17" s="78">
        <v>1</v>
      </c>
      <c r="IN17" s="54"/>
      <c r="IP17" s="78">
        <f>'A.I Revenue Streams - P2'!DM19+100%</f>
        <v>1</v>
      </c>
      <c r="IQ17" s="78">
        <v>1</v>
      </c>
      <c r="IR17" s="54"/>
      <c r="IT17" s="78">
        <f>'A.I Revenue Streams - P2'!DQ19+100%</f>
        <v>1</v>
      </c>
      <c r="IU17" s="78">
        <v>1</v>
      </c>
      <c r="IV17" s="54"/>
      <c r="IX17" s="78">
        <f>'A.I Revenue Streams - P2'!DU19+100%</f>
        <v>1</v>
      </c>
      <c r="IY17" s="78">
        <v>1</v>
      </c>
      <c r="IZ17" s="54"/>
      <c r="JB17" s="78">
        <f>'A.I Revenue Streams - P2'!DY19+100%</f>
        <v>1</v>
      </c>
      <c r="JC17" s="78">
        <v>1</v>
      </c>
      <c r="JD17" s="54"/>
      <c r="JF17" s="78">
        <f>'A.I Revenue Streams - P2'!EC19+100%</f>
        <v>1</v>
      </c>
      <c r="JG17" s="78">
        <v>1</v>
      </c>
      <c r="JH17" s="54"/>
    </row>
    <row r="18" ht="18.75" customHeight="1" spans="2:268" x14ac:dyDescent="0.25">
      <c r="B18" s="5">
        <v>2</v>
      </c>
      <c r="C18" s="29" t="str">
        <f>'A.I Revenue Streams - P1'!D18</f>
        <v>Advertisement</v>
      </c>
      <c r="D18" s="27"/>
      <c r="E18" s="28"/>
      <c r="F18" s="51"/>
      <c r="G18" s="51"/>
      <c r="H18" s="51"/>
      <c r="I18" s="54"/>
      <c r="J18" s="51"/>
      <c r="K18" s="51"/>
      <c r="L18" s="51"/>
      <c r="M18" s="54"/>
      <c r="N18" s="51"/>
      <c r="O18" s="51"/>
      <c r="P18" s="51"/>
      <c r="Q18" s="54"/>
      <c r="R18" s="51"/>
      <c r="S18" s="51"/>
      <c r="T18" s="51"/>
      <c r="U18" s="54"/>
      <c r="V18" s="51"/>
      <c r="W18" s="51"/>
      <c r="X18" s="51"/>
      <c r="Y18" s="54"/>
      <c r="Z18" s="51"/>
      <c r="AA18" s="51"/>
      <c r="AB18" s="51"/>
      <c r="AC18" s="54"/>
      <c r="AD18" s="51"/>
      <c r="AE18" s="51"/>
      <c r="AF18" s="51"/>
      <c r="AG18" s="54"/>
      <c r="AH18" s="51"/>
      <c r="AI18" s="51"/>
      <c r="AJ18" s="51"/>
      <c r="AK18" s="54"/>
      <c r="AL18" s="51"/>
      <c r="AM18" s="51"/>
      <c r="AN18" s="51"/>
      <c r="AO18" s="54"/>
      <c r="AP18" s="51"/>
      <c r="AQ18" s="51"/>
      <c r="AR18" s="51"/>
      <c r="AS18" s="54"/>
      <c r="AT18" s="51"/>
      <c r="AU18" s="51"/>
      <c r="AV18" s="51"/>
      <c r="AW18" s="54"/>
      <c r="AX18" s="51"/>
      <c r="AY18" s="51"/>
      <c r="AZ18" s="51"/>
      <c r="BA18" s="54"/>
      <c r="BB18" s="51"/>
      <c r="BC18" s="51"/>
      <c r="BD18" s="51"/>
      <c r="BE18" s="54"/>
      <c r="BF18" s="51"/>
      <c r="BG18" s="51"/>
      <c r="BH18" s="51"/>
      <c r="BI18" s="54"/>
      <c r="BJ18" s="51"/>
      <c r="BK18" s="51"/>
      <c r="BL18" s="51"/>
      <c r="BM18" s="54"/>
      <c r="BN18" s="51"/>
      <c r="BO18" s="51"/>
      <c r="BP18" s="51"/>
      <c r="BQ18" s="54"/>
      <c r="BR18" s="51"/>
      <c r="BS18" s="51"/>
      <c r="BT18" s="51"/>
      <c r="BU18" s="54"/>
      <c r="BV18" s="51"/>
      <c r="BW18" s="51"/>
      <c r="BX18" s="51"/>
      <c r="BY18" s="54"/>
      <c r="BZ18" s="51"/>
      <c r="CA18" s="51"/>
      <c r="CB18" s="51"/>
      <c r="CC18" s="54"/>
      <c r="CD18" s="51"/>
      <c r="CE18" s="51"/>
      <c r="CF18" s="51"/>
      <c r="CG18" s="54"/>
      <c r="CH18" s="51"/>
      <c r="CI18" s="51"/>
      <c r="CJ18" s="51"/>
      <c r="CK18" s="54"/>
      <c r="CL18" s="51"/>
      <c r="CM18" s="51"/>
      <c r="CN18" s="51"/>
      <c r="CO18" s="54"/>
      <c r="CP18" s="51"/>
      <c r="CQ18" s="51"/>
      <c r="CR18" s="51"/>
      <c r="CS18" s="54"/>
      <c r="CT18" s="51"/>
      <c r="CU18" s="51"/>
      <c r="CV18" s="51"/>
      <c r="CW18" s="54"/>
      <c r="CX18" s="51"/>
      <c r="CY18" s="51"/>
      <c r="CZ18" s="51"/>
      <c r="DA18" s="54"/>
      <c r="DB18" s="51"/>
      <c r="DC18" s="51"/>
      <c r="DD18" s="51"/>
      <c r="DE18" s="54"/>
      <c r="DF18" s="51"/>
      <c r="DG18" s="51"/>
      <c r="DH18" s="51"/>
      <c r="DI18" s="54"/>
      <c r="DJ18" s="51"/>
      <c r="DK18" s="51"/>
      <c r="DL18" s="51"/>
      <c r="DM18" s="54"/>
      <c r="DN18" s="51"/>
      <c r="DO18" s="51"/>
      <c r="DP18" s="51"/>
      <c r="DQ18" s="54"/>
      <c r="DR18" s="51"/>
      <c r="DS18" s="51"/>
      <c r="DT18" s="51"/>
      <c r="DU18" s="54"/>
      <c r="DV18" s="51"/>
      <c r="DW18" s="51"/>
      <c r="DX18" s="51"/>
      <c r="DY18" s="54"/>
      <c r="DZ18" s="51"/>
      <c r="EA18" s="51"/>
      <c r="EB18" s="51"/>
      <c r="EC18" s="54"/>
      <c r="ED18" s="51"/>
      <c r="EE18" s="51"/>
      <c r="EF18" s="51"/>
      <c r="EG18" s="54"/>
      <c r="EH18" s="51"/>
      <c r="EI18" s="51"/>
      <c r="EJ18" s="51"/>
      <c r="EK18" s="54"/>
      <c r="EL18" s="51"/>
      <c r="EM18" s="51"/>
      <c r="EN18" s="51"/>
      <c r="EO18" s="54"/>
      <c r="EP18" s="51"/>
      <c r="EQ18" s="51"/>
      <c r="ER18" s="51"/>
      <c r="ES18" s="54"/>
      <c r="ET18" s="51"/>
      <c r="EU18" s="51"/>
      <c r="EV18" s="51"/>
      <c r="EW18" s="54"/>
      <c r="EX18" s="51"/>
      <c r="EY18" s="51"/>
      <c r="EZ18" s="51"/>
      <c r="FA18" s="54"/>
      <c r="FB18" s="51"/>
      <c r="FC18" s="51"/>
      <c r="FD18" s="51"/>
      <c r="FE18" s="54"/>
      <c r="FF18" s="51"/>
      <c r="FG18" s="51"/>
      <c r="FH18" s="51"/>
      <c r="FI18" s="54"/>
      <c r="FJ18" s="51"/>
      <c r="FK18" s="51"/>
      <c r="FL18" s="51"/>
      <c r="FM18" s="54"/>
      <c r="FN18" s="51"/>
      <c r="FO18" s="51"/>
      <c r="FP18" s="51"/>
      <c r="FQ18" s="54"/>
      <c r="FR18" s="51"/>
      <c r="FS18" s="51"/>
      <c r="FT18" s="51"/>
      <c r="FU18" s="54"/>
      <c r="FV18" s="51"/>
      <c r="FW18" s="51"/>
      <c r="FX18" s="51"/>
      <c r="FY18" s="54"/>
      <c r="FZ18" s="51"/>
      <c r="GA18" s="51"/>
      <c r="GB18" s="51"/>
      <c r="GD18" s="51"/>
      <c r="GE18" s="51"/>
      <c r="GF18" s="51"/>
      <c r="GG18" s="54"/>
      <c r="GH18" s="51"/>
      <c r="GI18" s="51"/>
      <c r="GJ18" s="51"/>
      <c r="GK18" s="54"/>
      <c r="GL18" s="51"/>
      <c r="GM18" s="51"/>
      <c r="GN18" s="51"/>
      <c r="GO18" s="54"/>
      <c r="GP18" s="51"/>
      <c r="GQ18" s="51"/>
      <c r="GR18" s="51"/>
      <c r="GS18" s="54"/>
      <c r="GT18" s="51"/>
      <c r="GU18" s="51"/>
      <c r="GV18" s="51"/>
      <c r="GW18" s="54"/>
      <c r="GX18" s="51"/>
      <c r="GY18" s="51"/>
      <c r="GZ18" s="51"/>
      <c r="HA18" s="54"/>
      <c r="HB18" s="51"/>
      <c r="HC18" s="51"/>
      <c r="HD18" s="51"/>
      <c r="HE18" s="54"/>
      <c r="HF18" s="51"/>
      <c r="HG18" s="51"/>
      <c r="HH18" s="51"/>
      <c r="HI18" s="54"/>
      <c r="HJ18" s="51"/>
      <c r="HK18" s="51"/>
      <c r="HL18" s="51"/>
      <c r="HM18" s="54"/>
      <c r="HN18" s="51"/>
      <c r="HO18" s="51"/>
      <c r="HP18" s="51"/>
      <c r="HQ18" s="54"/>
      <c r="HR18" s="51"/>
      <c r="HS18" s="51"/>
      <c r="HT18" s="51"/>
      <c r="HU18" s="54"/>
      <c r="HV18" s="51"/>
      <c r="HW18" s="51"/>
      <c r="HX18" s="51"/>
      <c r="HZ18" s="51"/>
      <c r="IA18" s="51"/>
      <c r="IB18" s="51"/>
      <c r="IC18" s="54"/>
      <c r="ID18" s="51"/>
      <c r="IE18" s="51"/>
      <c r="IF18" s="51"/>
      <c r="IG18" s="54"/>
      <c r="IH18" s="51"/>
      <c r="II18" s="51"/>
      <c r="IJ18" s="51"/>
      <c r="IK18" s="54"/>
      <c r="IL18" s="80"/>
      <c r="IM18" s="80"/>
      <c r="IN18" s="80"/>
      <c r="IP18" s="80"/>
      <c r="IQ18" s="80"/>
      <c r="IR18" s="80"/>
      <c r="IT18" s="80"/>
      <c r="IU18" s="80"/>
      <c r="IV18" s="80"/>
      <c r="IX18" s="80"/>
      <c r="IY18" s="80"/>
      <c r="IZ18" s="80"/>
      <c r="JB18" s="80"/>
      <c r="JC18" s="80"/>
      <c r="JD18" s="80"/>
      <c r="JF18" s="80"/>
      <c r="JG18" s="80"/>
      <c r="JH18" s="80"/>
    </row>
    <row r="19" ht="18.75" customHeight="1" spans="2:268" x14ac:dyDescent="0.25">
      <c r="B19" s="5" t="s">
        <v>60</v>
      </c>
      <c r="C19" s="29"/>
      <c r="D19" s="29" t="str">
        <f>'A.I Revenue Streams - P1'!E19</f>
        <v>Advertisement</v>
      </c>
      <c r="E19" s="30"/>
      <c r="F19" s="51">
        <v>0</v>
      </c>
      <c r="G19" s="51">
        <f>'A.I Revenue Streams - P1'!I19</f>
        <v>0</v>
      </c>
      <c r="H19" s="51">
        <f>F19*G19</f>
        <v>0</v>
      </c>
      <c r="I19" s="54"/>
      <c r="J19" s="51">
        <f>F19*$J$17</f>
        <v>0</v>
      </c>
      <c r="K19" s="51">
        <f>G19*$K$17</f>
        <v>0</v>
      </c>
      <c r="L19" s="51">
        <f>J19*K19</f>
        <v>0</v>
      </c>
      <c r="M19" s="54"/>
      <c r="N19" s="51">
        <f>J19*$N$17</f>
        <v>0</v>
      </c>
      <c r="O19" s="51">
        <f>K19*$O$17</f>
        <v>0</v>
      </c>
      <c r="P19" s="51">
        <f>N19*O19</f>
        <v>0</v>
      </c>
      <c r="Q19" s="54"/>
      <c r="R19" s="51">
        <f>'A.I Revenue Streams - P1'!G19</f>
        <v>0</v>
      </c>
      <c r="S19" s="51">
        <f>O19*$S$17</f>
        <v>0</v>
      </c>
      <c r="T19" s="51">
        <f>R19*S19</f>
        <v>0</v>
      </c>
      <c r="U19" s="54"/>
      <c r="V19" s="51">
        <f>R19*$V$17</f>
        <v>0</v>
      </c>
      <c r="W19" s="51">
        <f>S19*$W$17</f>
        <v>0</v>
      </c>
      <c r="X19" s="51">
        <f>V19*W19</f>
        <v>0</v>
      </c>
      <c r="Y19" s="54"/>
      <c r="Z19" s="51">
        <f>V19*$Z$17</f>
        <v>0</v>
      </c>
      <c r="AA19" s="51">
        <f>W19*$AA$17</f>
        <v>0</v>
      </c>
      <c r="AB19" s="51">
        <f>Z19*AA19</f>
        <v>0</v>
      </c>
      <c r="AC19" s="54"/>
      <c r="AD19" s="51">
        <f>Z19*$AD$17</f>
        <v>0</v>
      </c>
      <c r="AE19" s="51">
        <f>AA19*$AE$17</f>
        <v>0</v>
      </c>
      <c r="AF19" s="51">
        <f>AD19*AE19</f>
        <v>0</v>
      </c>
      <c r="AG19" s="54"/>
      <c r="AH19" s="51">
        <f>AD19*$AH$17</f>
        <v>0</v>
      </c>
      <c r="AI19" s="51">
        <f>AE19*$AI$17</f>
        <v>0</v>
      </c>
      <c r="AJ19" s="51">
        <f>AH19*AI19</f>
        <v>0</v>
      </c>
      <c r="AK19" s="54"/>
      <c r="AL19" s="51">
        <f>AH19*$AL$17</f>
        <v>0</v>
      </c>
      <c r="AM19" s="51">
        <f>AI19*$AM$17</f>
        <v>0</v>
      </c>
      <c r="AN19" s="51">
        <f>AL19*AM19</f>
        <v>0</v>
      </c>
      <c r="AO19" s="54"/>
      <c r="AP19" s="51">
        <f>AL19*$AP$17</f>
        <v>0</v>
      </c>
      <c r="AQ19" s="51">
        <f>AM19*$AQ$17</f>
        <v>0</v>
      </c>
      <c r="AR19" s="51">
        <f>AP19*AQ19</f>
        <v>0</v>
      </c>
      <c r="AS19" s="54"/>
      <c r="AT19" s="51">
        <f>AP19*$AT$17</f>
        <v>0</v>
      </c>
      <c r="AU19" s="51">
        <f>AQ19*$AU$17</f>
        <v>0</v>
      </c>
      <c r="AV19" s="51">
        <f>AT19*AU19</f>
        <v>0</v>
      </c>
      <c r="AW19" s="54"/>
      <c r="AX19" s="51">
        <f>AT19*$AX$17</f>
        <v>0</v>
      </c>
      <c r="AY19" s="51">
        <f>AU19*$AY$17</f>
        <v>0</v>
      </c>
      <c r="AZ19" s="51">
        <f>AX19*AY19</f>
        <v>0</v>
      </c>
      <c r="BA19" s="54"/>
      <c r="BB19" s="51">
        <f>AX19*$BB$17</f>
        <v>0</v>
      </c>
      <c r="BC19" s="51">
        <f>AY19*$BC$17</f>
        <v>0</v>
      </c>
      <c r="BD19" s="51">
        <f>BB19*BC19</f>
        <v>0</v>
      </c>
      <c r="BE19" s="54"/>
      <c r="BF19" s="51">
        <f>BB19*$BF$17</f>
        <v>0</v>
      </c>
      <c r="BG19" s="51">
        <f>BC19*$BG$17</f>
        <v>0</v>
      </c>
      <c r="BH19" s="51">
        <f>BF19*BG19</f>
        <v>0</v>
      </c>
      <c r="BI19" s="54"/>
      <c r="BJ19" s="51">
        <f>BF19*$BJ$17</f>
        <v>0</v>
      </c>
      <c r="BK19" s="51">
        <f>BG19*$BK$17</f>
        <v>0</v>
      </c>
      <c r="BL19" s="51">
        <f>BJ19*BK19</f>
        <v>0</v>
      </c>
      <c r="BM19" s="54"/>
      <c r="BN19" s="51">
        <f>BJ19*$BN$17</f>
        <v>0</v>
      </c>
      <c r="BO19" s="51">
        <f>BK19*$BO$17</f>
        <v>0</v>
      </c>
      <c r="BP19" s="51">
        <f>BN19*BO19</f>
        <v>0</v>
      </c>
      <c r="BQ19" s="54"/>
      <c r="BR19" s="51">
        <f>BN19*$BR$17</f>
        <v>0</v>
      </c>
      <c r="BS19" s="51">
        <f>BO19*$BS$17</f>
        <v>0</v>
      </c>
      <c r="BT19" s="51">
        <f>BR19*BS19</f>
        <v>0</v>
      </c>
      <c r="BU19" s="54"/>
      <c r="BV19" s="51">
        <f>BR19*$BV$17</f>
        <v>0</v>
      </c>
      <c r="BW19" s="51">
        <f>BS19*$BW$17</f>
        <v>0</v>
      </c>
      <c r="BX19" s="51">
        <f>BV19*BW19</f>
        <v>0</v>
      </c>
      <c r="BY19" s="54"/>
      <c r="BZ19" s="51">
        <f>BV19*$BZ$17</f>
        <v>0</v>
      </c>
      <c r="CA19" s="51">
        <f>BW19*$CA$17</f>
        <v>0</v>
      </c>
      <c r="CB19" s="51">
        <f>BZ19*CA19</f>
        <v>0</v>
      </c>
      <c r="CC19" s="54"/>
      <c r="CD19" s="51">
        <f>BZ19*$CD$17</f>
        <v>0</v>
      </c>
      <c r="CE19" s="51">
        <f>CA19*$CE$17</f>
        <v>0</v>
      </c>
      <c r="CF19" s="51">
        <f>CD19*CE19</f>
        <v>0</v>
      </c>
      <c r="CG19" s="54"/>
      <c r="CH19" s="51">
        <f>CD19*$CH$17</f>
        <v>0</v>
      </c>
      <c r="CI19" s="51">
        <f>CE19*$CI$17</f>
        <v>0</v>
      </c>
      <c r="CJ19" s="51">
        <f>CH19*CI19</f>
        <v>0</v>
      </c>
      <c r="CK19" s="54"/>
      <c r="CL19" s="51">
        <f>CL10</f>
        <v>60700.615490687655</v>
      </c>
      <c r="CM19" s="51">
        <v>80</v>
      </c>
      <c r="CN19" s="51">
        <f>CL19*CM19</f>
        <v>4856049.239255012</v>
      </c>
      <c r="CO19" s="54"/>
      <c r="CP19" s="51">
        <f>CP10</f>
        <v>60700.615490687655</v>
      </c>
      <c r="CQ19" s="51">
        <f>CM19*$CQ$17</f>
        <v>80</v>
      </c>
      <c r="CR19" s="51">
        <f>CP19*CQ19</f>
        <v>4856049.239255012</v>
      </c>
      <c r="CS19" s="54"/>
      <c r="CT19" s="51">
        <f>CT10</f>
        <v>60700.615490687655</v>
      </c>
      <c r="CU19" s="51">
        <f>CQ19*$CU$17</f>
        <v>80</v>
      </c>
      <c r="CV19" s="51">
        <f>CT19*CU19</f>
        <v>4856049.239255012</v>
      </c>
      <c r="CW19" s="54"/>
      <c r="CX19" s="51">
        <f>CX10</f>
        <v>103191.046334169</v>
      </c>
      <c r="CY19" s="51">
        <v>120</v>
      </c>
      <c r="CZ19" s="51">
        <f>CX19*CY19</f>
        <v>12382925.56010028</v>
      </c>
      <c r="DA19" s="54"/>
      <c r="DB19" s="51">
        <f>DB10</f>
        <v>103191.046334169</v>
      </c>
      <c r="DC19" s="51">
        <f>CY19*$DC$17</f>
        <v>120</v>
      </c>
      <c r="DD19" s="51">
        <f>DB19*DC19</f>
        <v>12382925.56010028</v>
      </c>
      <c r="DE19" s="54"/>
      <c r="DF19" s="51">
        <f>DF10</f>
        <v>103191.046334169</v>
      </c>
      <c r="DG19" s="51">
        <f>DC19*$DG$17</f>
        <v>120</v>
      </c>
      <c r="DH19" s="51">
        <f>DF19*DG19</f>
        <v>12382925.56010028</v>
      </c>
      <c r="DI19" s="54"/>
      <c r="DJ19" s="51">
        <f>DJ10</f>
        <v>103191.046334169</v>
      </c>
      <c r="DK19" s="51">
        <f>DG19*$DK$17</f>
        <v>120</v>
      </c>
      <c r="DL19" s="51">
        <f>DJ19*DK19</f>
        <v>12382925.56010028</v>
      </c>
      <c r="DM19" s="54"/>
      <c r="DN19" s="51">
        <f>DN10</f>
        <v>103191.046334169</v>
      </c>
      <c r="DO19" s="51">
        <f>DK19*$DO$17</f>
        <v>120</v>
      </c>
      <c r="DP19" s="51">
        <f>DN19*DO19</f>
        <v>12382925.56010028</v>
      </c>
      <c r="DQ19" s="54"/>
      <c r="DR19" s="51">
        <f>DR10</f>
        <v>103191.046334169</v>
      </c>
      <c r="DS19" s="51">
        <f>DO19*$DS$17</f>
        <v>120</v>
      </c>
      <c r="DT19" s="51">
        <f>DR19*DS19</f>
        <v>12382925.56010028</v>
      </c>
      <c r="DU19" s="54"/>
      <c r="DV19" s="51">
        <f>DV10</f>
        <v>103191.046334169</v>
      </c>
      <c r="DW19" s="51">
        <f>DS19*$DW$17</f>
        <v>120</v>
      </c>
      <c r="DX19" s="51">
        <f>DV19*DW19</f>
        <v>12382925.56010028</v>
      </c>
      <c r="DY19" s="54"/>
      <c r="DZ19" s="51">
        <f>DZ10</f>
        <v>103191.046334169</v>
      </c>
      <c r="EA19" s="51">
        <f>DW19*$EA$17</f>
        <v>120</v>
      </c>
      <c r="EB19" s="51">
        <f>DZ19*EA19</f>
        <v>12382925.56010028</v>
      </c>
      <c r="EC19" s="54"/>
      <c r="ED19" s="51">
        <f>ED10</f>
        <v>103191.046334169</v>
      </c>
      <c r="EE19" s="51">
        <f>EA19*$EE$17</f>
        <v>120</v>
      </c>
      <c r="EF19" s="51">
        <f>ED19*EE19</f>
        <v>12382925.56010028</v>
      </c>
      <c r="EG19" s="54"/>
      <c r="EH19" s="51">
        <f>EH10</f>
        <v>103191.046334169</v>
      </c>
      <c r="EI19" s="51">
        <f>EE19*$EI$17</f>
        <v>120</v>
      </c>
      <c r="EJ19" s="51">
        <f>EH19*EI19</f>
        <v>12382925.56010028</v>
      </c>
      <c r="EK19" s="54"/>
      <c r="EL19" s="51">
        <f>EL10</f>
        <v>103191.046334169</v>
      </c>
      <c r="EM19" s="51">
        <f>EI19*$EM$17</f>
        <v>120</v>
      </c>
      <c r="EN19" s="51">
        <f>EL19*EM19</f>
        <v>12382925.56010028</v>
      </c>
      <c r="EO19" s="54"/>
      <c r="EP19" s="51">
        <f>EP10</f>
        <v>103191.046334169</v>
      </c>
      <c r="EQ19" s="51">
        <f>EM19*$EQ$17</f>
        <v>120</v>
      </c>
      <c r="ER19" s="51">
        <f>EP19*EQ19</f>
        <v>12382925.56010028</v>
      </c>
      <c r="ES19" s="54"/>
      <c r="ET19" s="51">
        <f>ET10</f>
        <v>159946.12181796198</v>
      </c>
      <c r="EU19" s="51">
        <f>EQ19*$EU$17</f>
        <v>120</v>
      </c>
      <c r="EV19" s="51">
        <f>ET19*EU19</f>
        <v>19193534.61815544</v>
      </c>
      <c r="EW19" s="54"/>
      <c r="EX19" s="51">
        <f>EX10</f>
        <v>159946.12181796198</v>
      </c>
      <c r="EY19" s="51">
        <f>EU19*$EY$17</f>
        <v>120</v>
      </c>
      <c r="EZ19" s="51">
        <f>EX19*EY19</f>
        <v>19193534.61815544</v>
      </c>
      <c r="FA19" s="54"/>
      <c r="FB19" s="51">
        <f>FB10</f>
        <v>159946.12181796198</v>
      </c>
      <c r="FC19" s="51">
        <f>EY19*$FC$17</f>
        <v>120</v>
      </c>
      <c r="FD19" s="51">
        <f>FB19*FC19</f>
        <v>19193534.61815544</v>
      </c>
      <c r="FE19" s="54"/>
      <c r="FF19" s="51">
        <f>FF10</f>
        <v>159946.12181796198</v>
      </c>
      <c r="FG19" s="51">
        <f>FC19*$FG$17</f>
        <v>120</v>
      </c>
      <c r="FH19" s="51">
        <f>FF19*FG19</f>
        <v>19193534.61815544</v>
      </c>
      <c r="FI19" s="54"/>
      <c r="FJ19" s="51">
        <f>FJ10</f>
        <v>159946.12181796198</v>
      </c>
      <c r="FK19" s="51">
        <f>FG19*$FK$17</f>
        <v>120</v>
      </c>
      <c r="FL19" s="51">
        <f>FJ19*FK19</f>
        <v>19193534.61815544</v>
      </c>
      <c r="FM19" s="54"/>
      <c r="FN19" s="51">
        <f>FN10</f>
        <v>159946.12181796198</v>
      </c>
      <c r="FO19" s="51">
        <f>FK19*$FO$17</f>
        <v>120</v>
      </c>
      <c r="FP19" s="51">
        <f>FN19*FO19</f>
        <v>19193534.61815544</v>
      </c>
      <c r="FQ19" s="54"/>
      <c r="FR19" s="51">
        <f>FR10</f>
        <v>159946.12181796198</v>
      </c>
      <c r="FS19" s="51">
        <f>FO19*$FS$17</f>
        <v>120</v>
      </c>
      <c r="FT19" s="51">
        <f>FR19*FS19</f>
        <v>19193534.61815544</v>
      </c>
      <c r="FU19" s="54"/>
      <c r="FV19" s="51">
        <f>FV10</f>
        <v>159946.12181796198</v>
      </c>
      <c r="FW19" s="51">
        <f>FS19*$FW$17</f>
        <v>120</v>
      </c>
      <c r="FX19" s="51">
        <f>FV19*FW19</f>
        <v>19193534.61815544</v>
      </c>
      <c r="FY19" s="54"/>
      <c r="FZ19" s="51">
        <f>FZ10</f>
        <v>159946.12181796198</v>
      </c>
      <c r="GA19" s="51">
        <f>FW19*$GA$17</f>
        <v>120</v>
      </c>
      <c r="GB19" s="51">
        <f>FZ19*GA19</f>
        <v>19193534.61815544</v>
      </c>
      <c r="GD19" s="51">
        <f>GD10</f>
        <v>159946.12181796198</v>
      </c>
      <c r="GE19" s="51">
        <f>GA19*$GE$17</f>
        <v>120</v>
      </c>
      <c r="GF19" s="51">
        <f>GD19*GE19</f>
        <v>19193534.61815544</v>
      </c>
      <c r="GG19" s="54"/>
      <c r="GH19" s="51">
        <f>GH10</f>
        <v>159946.12181796198</v>
      </c>
      <c r="GI19" s="51">
        <f>GE19*$GI$17</f>
        <v>120</v>
      </c>
      <c r="GJ19" s="51">
        <f>GH19*GI19</f>
        <v>19193534.61815544</v>
      </c>
      <c r="GK19" s="54"/>
      <c r="GL19" s="51">
        <f>GL10</f>
        <v>159946.12181796198</v>
      </c>
      <c r="GM19" s="51">
        <f>GI19*$GM$17</f>
        <v>120</v>
      </c>
      <c r="GN19" s="51">
        <f>GL19*GM19</f>
        <v>19193534.61815544</v>
      </c>
      <c r="GO19" s="54"/>
      <c r="GP19" s="51">
        <f>GP10</f>
        <v>231921.87663604485</v>
      </c>
      <c r="GQ19" s="51">
        <f>GM19*$GQ$17</f>
        <v>120</v>
      </c>
      <c r="GR19" s="51">
        <f>GP19*GQ19</f>
        <v>27830625.19632538</v>
      </c>
      <c r="GS19" s="54"/>
      <c r="GT19" s="51">
        <f>GT10</f>
        <v>231921.87663604485</v>
      </c>
      <c r="GU19" s="51">
        <f>GQ19*$GU$17</f>
        <v>120</v>
      </c>
      <c r="GV19" s="51">
        <f>GT19*GU19</f>
        <v>27830625.19632538</v>
      </c>
      <c r="GW19" s="54"/>
      <c r="GX19" s="51">
        <f>GX10</f>
        <v>231921.87663604485</v>
      </c>
      <c r="GY19" s="51">
        <f>GU19*$GY$17</f>
        <v>120</v>
      </c>
      <c r="GZ19" s="51">
        <f>GX19*GY19</f>
        <v>27830625.19632538</v>
      </c>
      <c r="HA19" s="54"/>
      <c r="HB19" s="51">
        <f>HB10</f>
        <v>231921.87663604485</v>
      </c>
      <c r="HC19" s="51">
        <f>GY19*$HC$17</f>
        <v>120</v>
      </c>
      <c r="HD19" s="51">
        <f>HB19*HC19</f>
        <v>27830625.19632538</v>
      </c>
      <c r="HE19" s="54"/>
      <c r="HF19" s="51">
        <f>HF10</f>
        <v>231921.87663604485</v>
      </c>
      <c r="HG19" s="51">
        <f>HC19*$HG$17</f>
        <v>120</v>
      </c>
      <c r="HH19" s="51">
        <f>HF19*HG19</f>
        <v>27830625.19632538</v>
      </c>
      <c r="HI19" s="54"/>
      <c r="HJ19" s="51">
        <f>HJ10</f>
        <v>231921.87663604485</v>
      </c>
      <c r="HK19" s="51">
        <f>HG19*$HK$17</f>
        <v>120</v>
      </c>
      <c r="HL19" s="51">
        <f>HJ19*HK19</f>
        <v>27830625.19632538</v>
      </c>
      <c r="HM19" s="54"/>
      <c r="HN19" s="51">
        <f>HN10</f>
        <v>231921.87663604485</v>
      </c>
      <c r="HO19" s="51">
        <f>HK19*$HO$17</f>
        <v>120</v>
      </c>
      <c r="HP19" s="51">
        <f>HN19*HO19</f>
        <v>27830625.19632538</v>
      </c>
      <c r="HQ19" s="54"/>
      <c r="HR19" s="51">
        <f>HR10</f>
        <v>231921.87663604485</v>
      </c>
      <c r="HS19" s="51">
        <f>HO19*$HS$17</f>
        <v>120</v>
      </c>
      <c r="HT19" s="51">
        <f>HR19*HS19</f>
        <v>27830625.19632538</v>
      </c>
      <c r="HU19" s="54"/>
      <c r="HV19" s="51">
        <f>HV10</f>
        <v>231921.87663604485</v>
      </c>
      <c r="HW19" s="51">
        <f>HS19*$HW$17</f>
        <v>120</v>
      </c>
      <c r="HX19" s="51">
        <f>HV19*HW19</f>
        <v>27830625.19632538</v>
      </c>
      <c r="HZ19" s="51">
        <f>HZ10</f>
        <v>231921.87663604485</v>
      </c>
      <c r="IA19" s="51">
        <f>HW19*$IA$17</f>
        <v>120</v>
      </c>
      <c r="IB19" s="51">
        <f>HZ19*IA19</f>
        <v>27830625.19632538</v>
      </c>
      <c r="IC19" s="54"/>
      <c r="ID19" s="51">
        <f>ID10</f>
        <v>231921.87663604485</v>
      </c>
      <c r="IE19" s="51">
        <f>IA19*$IE$17</f>
        <v>120</v>
      </c>
      <c r="IF19" s="51">
        <f>ID19*IE19</f>
        <v>27830625.19632538</v>
      </c>
      <c r="IG19" s="54"/>
      <c r="IH19" s="51">
        <f>IH10</f>
        <v>231921.87663604485</v>
      </c>
      <c r="II19" s="51">
        <f>IE19*$II$17</f>
        <v>120</v>
      </c>
      <c r="IJ19" s="51">
        <f>IH19*II19</f>
        <v>27830625.19632538</v>
      </c>
      <c r="IK19" s="54"/>
      <c r="IL19" s="80">
        <f>SUMIFS($F19:$IK19,$F$3:$IK$3,IL$5,$F$6:$IK$6,IL$6)</f>
        <v>0</v>
      </c>
      <c r="IM19" s="80">
        <v>0</v>
      </c>
      <c r="IN19" s="80">
        <f>SUMIFS($F19:$IK19,$F$3:$IK$3,IL$5,$F$6:$IK$6,IN$6)</f>
        <v>0</v>
      </c>
      <c r="IP19" s="80">
        <f>SUMIFS($F19:$IK19,$F$3:$IK$3,IP$5,$F$6:$IK$6,IP$6)</f>
        <v>0</v>
      </c>
      <c r="IQ19" s="80" t="e">
        <f>IR19/IP19</f>
        <v>#DIV/0!</v>
      </c>
      <c r="IR19" s="80">
        <f>SUMIFS($F19:$IK19,$F$3:$IK$3,IP$5,$F$6:$IK$6,IR$6)</f>
        <v>0</v>
      </c>
      <c r="IT19" s="80">
        <f>SUMIFS($F19:$IK19,$F$3:$IK$3,IT$5,$F$6:$IK$6,IT$6)</f>
        <v>182101.84647206296</v>
      </c>
      <c r="IU19" s="80">
        <f>IV19/IT19</f>
        <v>80</v>
      </c>
      <c r="IV19" s="80">
        <f>SUMIFS($F19:$IK19,$F$3:$IK$3,IT$5,$F$6:$IK$6,IV$6)</f>
        <v>14568147.717765037</v>
      </c>
      <c r="IX19" s="80">
        <f>SUMIFS($F19:$IK19,$F$3:$IK$3,IX$5,$F$6:$IK$6,IX$6)</f>
        <v>1238292.556010028</v>
      </c>
      <c r="IY19" s="80">
        <f>IZ19/IX19</f>
        <v>120.00000000000001</v>
      </c>
      <c r="IZ19" s="80">
        <f>SUMIFS($F19:$IK19,$F$3:$IK$3,IX$5,$F$6:$IK$6,IZ$6)</f>
        <v>148595106.7212034</v>
      </c>
      <c r="JB19" s="80">
        <f>SUMIFS($F19:$IK19,$F$3:$IK$3,JB$5,$F$6:$IK$6,JB$6)</f>
        <v>1919353.4618155442</v>
      </c>
      <c r="JC19" s="80">
        <f>JD19/JB19</f>
        <v>120</v>
      </c>
      <c r="JD19" s="80">
        <f>SUMIFS($F19:$IK19,$F$3:$IK$3,JB$5,$F$6:$IK$6,JD$6)</f>
        <v>230322415.4178653</v>
      </c>
      <c r="JF19" s="80">
        <f>SUMIFS($F19:$IK19,$F$3:$IK$3,JF$5,$F$6:$IK$6,JF$6)</f>
        <v>2783062.519632539</v>
      </c>
      <c r="JG19" s="80">
        <f>JH19/JF19</f>
        <v>119.99999999999997</v>
      </c>
      <c r="JH19" s="80">
        <f>SUMIFS($F19:$IK19,$F$3:$IK$3,JF$5,$F$6:$IK$6,JH$6)</f>
        <v>333967502.3559046</v>
      </c>
    </row>
    <row r="20" ht="18.75" customHeight="1" spans="2:268" x14ac:dyDescent="0.25">
      <c r="B20" s="5" t="s">
        <v>61</v>
      </c>
      <c r="C20" s="29"/>
      <c r="D20" s="29">
        <f>'A.I Revenue Streams - P1'!E20</f>
        <v>0</v>
      </c>
      <c r="E20" s="30"/>
      <c r="F20" s="51">
        <v>0</v>
      </c>
      <c r="G20" s="51">
        <f>'A.I Revenue Streams - P1'!I20</f>
        <v>0</v>
      </c>
      <c r="H20" s="51">
        <f>F20*G20</f>
        <v>0</v>
      </c>
      <c r="I20" s="54"/>
      <c r="J20" s="51">
        <f>F20*$J$17</f>
        <v>0</v>
      </c>
      <c r="K20" s="51">
        <f>G20*$K$17</f>
        <v>0</v>
      </c>
      <c r="L20" s="51">
        <f>J20*K20</f>
        <v>0</v>
      </c>
      <c r="M20" s="54"/>
      <c r="N20" s="51">
        <f>J20*$N$17</f>
        <v>0</v>
      </c>
      <c r="O20" s="51">
        <f>K20*$O$17</f>
        <v>0</v>
      </c>
      <c r="P20" s="51">
        <f>N20*O20</f>
        <v>0</v>
      </c>
      <c r="Q20" s="54"/>
      <c r="R20" s="51">
        <f>'A.I Revenue Streams - P1'!G20</f>
        <v>0</v>
      </c>
      <c r="S20" s="51">
        <f>O20*$S$17</f>
        <v>0</v>
      </c>
      <c r="T20" s="51">
        <f>R20*S20</f>
        <v>0</v>
      </c>
      <c r="U20" s="54"/>
      <c r="V20" s="51">
        <f>R20*$V$17</f>
        <v>0</v>
      </c>
      <c r="W20" s="51">
        <f>S20*$W$17</f>
        <v>0</v>
      </c>
      <c r="X20" s="51">
        <f>V20*W20</f>
        <v>0</v>
      </c>
      <c r="Y20" s="54"/>
      <c r="Z20" s="51">
        <f>V20*$Z$17</f>
        <v>0</v>
      </c>
      <c r="AA20" s="51">
        <f>W20*$AA$17</f>
        <v>0</v>
      </c>
      <c r="AB20" s="51">
        <f>Z20*AA20</f>
        <v>0</v>
      </c>
      <c r="AC20" s="54"/>
      <c r="AD20" s="51">
        <f>Z20*$AD$17</f>
        <v>0</v>
      </c>
      <c r="AE20" s="51">
        <f>AA20*$AE$17</f>
        <v>0</v>
      </c>
      <c r="AF20" s="51">
        <f>AD20*AE20</f>
        <v>0</v>
      </c>
      <c r="AG20" s="54"/>
      <c r="AH20" s="51">
        <f>AD20*$AH$17</f>
        <v>0</v>
      </c>
      <c r="AI20" s="51">
        <f>AE20*$AI$17</f>
        <v>0</v>
      </c>
      <c r="AJ20" s="51">
        <f>AH20*AI20</f>
        <v>0</v>
      </c>
      <c r="AK20" s="54"/>
      <c r="AL20" s="51">
        <f>AH20*$AL$17</f>
        <v>0</v>
      </c>
      <c r="AM20" s="51">
        <f>AI20*$AM$17</f>
        <v>0</v>
      </c>
      <c r="AN20" s="51">
        <f>AL20*AM20</f>
        <v>0</v>
      </c>
      <c r="AO20" s="54"/>
      <c r="AP20" s="51">
        <f>AL20*$AP$17</f>
        <v>0</v>
      </c>
      <c r="AQ20" s="51">
        <f>AM20*$AQ$17</f>
        <v>0</v>
      </c>
      <c r="AR20" s="51">
        <f>AP20*AQ20</f>
        <v>0</v>
      </c>
      <c r="AS20" s="54"/>
      <c r="AT20" s="51">
        <f t="shared" ref="AT20:AT22" si="174">AP20*$AT$17</f>
        <v>0</v>
      </c>
      <c r="AU20" s="51">
        <f t="shared" ref="AU20:AU22" si="175">AQ20*$AU$17</f>
        <v>0</v>
      </c>
      <c r="AV20" s="51">
        <f>AT20*AU20</f>
        <v>0</v>
      </c>
      <c r="AW20" s="54"/>
      <c r="AX20" s="51">
        <f t="shared" ref="AX20:AX22" si="176">AT20*$AX$17</f>
        <v>0</v>
      </c>
      <c r="AY20" s="51">
        <f t="shared" ref="AY20:AY22" si="177">AU20*$AY$17</f>
        <v>0</v>
      </c>
      <c r="AZ20" s="51">
        <f>AX20*AY20</f>
        <v>0</v>
      </c>
      <c r="BA20" s="54"/>
      <c r="BB20" s="51">
        <f t="shared" ref="BB20:BB22" si="178">AX20*$BB$17</f>
        <v>0</v>
      </c>
      <c r="BC20" s="51">
        <f t="shared" ref="BC20:BC22" si="179">AY20*$BC$17</f>
        <v>0</v>
      </c>
      <c r="BD20" s="51">
        <f>BB20*BC20</f>
        <v>0</v>
      </c>
      <c r="BE20" s="54"/>
      <c r="BF20" s="51">
        <f t="shared" ref="BF20:BF22" si="180">BB20*$BF$17</f>
        <v>0</v>
      </c>
      <c r="BG20" s="51">
        <f t="shared" ref="BG20:BG22" si="181">BC20*$BG$17</f>
        <v>0</v>
      </c>
      <c r="BH20" s="51">
        <f>BF20*BG20</f>
        <v>0</v>
      </c>
      <c r="BI20" s="54"/>
      <c r="BJ20" s="51">
        <f t="shared" ref="BJ20:BJ22" si="182">BF20*$BJ$17</f>
        <v>0</v>
      </c>
      <c r="BK20" s="51">
        <f t="shared" ref="BK20:BK22" si="183">BG20*$BK$17</f>
        <v>0</v>
      </c>
      <c r="BL20" s="51">
        <f>BJ20*BK20</f>
        <v>0</v>
      </c>
      <c r="BM20" s="54"/>
      <c r="BN20" s="51">
        <f t="shared" ref="BN20:BN22" si="184">BJ20*$BN$17</f>
        <v>0</v>
      </c>
      <c r="BO20" s="51">
        <f t="shared" ref="BO20:BO22" si="185">BK20*$BO$17</f>
        <v>0</v>
      </c>
      <c r="BP20" s="51">
        <f>BN20*BO20</f>
        <v>0</v>
      </c>
      <c r="BQ20" s="54"/>
      <c r="BR20" s="51">
        <f t="shared" ref="BR20:BR22" si="186">BN20*$BR$17</f>
        <v>0</v>
      </c>
      <c r="BS20" s="51">
        <f t="shared" ref="BS20:BS22" si="187">BO20*$BS$17</f>
        <v>0</v>
      </c>
      <c r="BT20" s="51">
        <f>BR20*BS20</f>
        <v>0</v>
      </c>
      <c r="BU20" s="54"/>
      <c r="BV20" s="51">
        <f t="shared" ref="BV20:BV22" si="188">BR20*$BV$17</f>
        <v>0</v>
      </c>
      <c r="BW20" s="51">
        <f t="shared" ref="BW20:BW22" si="189">BS20*$BW$17</f>
        <v>0</v>
      </c>
      <c r="BX20" s="51">
        <f>BV20*BW20</f>
        <v>0</v>
      </c>
      <c r="BY20" s="54"/>
      <c r="BZ20" s="51">
        <f t="shared" ref="BZ20:BZ22" si="190">BV20*$BZ$17</f>
        <v>0</v>
      </c>
      <c r="CA20" s="51">
        <f t="shared" ref="CA20:CA22" si="191">BW20*$CA$17</f>
        <v>0</v>
      </c>
      <c r="CB20" s="51">
        <f>BZ20*CA20</f>
        <v>0</v>
      </c>
      <c r="CC20" s="54"/>
      <c r="CD20" s="51">
        <f t="shared" ref="CD20:CD22" si="192">BZ20*$CD$17</f>
        <v>0</v>
      </c>
      <c r="CE20" s="51">
        <f t="shared" ref="CE20:CE22" si="193">CA20*$CE$17</f>
        <v>0</v>
      </c>
      <c r="CF20" s="51">
        <f>CD20*CE20</f>
        <v>0</v>
      </c>
      <c r="CG20" s="54"/>
      <c r="CH20" s="51">
        <f t="shared" ref="CH20:CH22" si="194">CD20*$CH$17</f>
        <v>0</v>
      </c>
      <c r="CI20" s="51">
        <f t="shared" ref="CI20:CI22" si="195">CE20*$CI$17</f>
        <v>0</v>
      </c>
      <c r="CJ20" s="51">
        <f>CH20*CI20</f>
        <v>0</v>
      </c>
      <c r="CK20" s="54"/>
      <c r="CL20" s="51">
        <f>CH20*$CL$17</f>
        <v>0</v>
      </c>
      <c r="CM20" s="51">
        <f>CI20*$CM$17</f>
        <v>0</v>
      </c>
      <c r="CN20" s="51">
        <f>CL20*CM20</f>
        <v>0</v>
      </c>
      <c r="CO20" s="54"/>
      <c r="CP20" s="51">
        <f t="shared" ref="CP20:CP22" si="196">CL20*$CP$17</f>
        <v>0</v>
      </c>
      <c r="CQ20" s="51">
        <f t="shared" ref="CQ20:CQ22" si="197">CM20*$CQ$17</f>
        <v>0</v>
      </c>
      <c r="CR20" s="51">
        <f>CP20*CQ20</f>
        <v>0</v>
      </c>
      <c r="CS20" s="54"/>
      <c r="CT20" s="51">
        <f t="shared" ref="CT20:CT22" si="198">CP20*$CT$17</f>
        <v>0</v>
      </c>
      <c r="CU20" s="51">
        <f t="shared" ref="CU20:CU22" si="199">CQ20*$CU$17</f>
        <v>0</v>
      </c>
      <c r="CV20" s="51">
        <f>CT20*CU20</f>
        <v>0</v>
      </c>
      <c r="CW20" s="54"/>
      <c r="CX20" s="51">
        <f t="shared" ref="CX20:CX22" si="200">CT20*$CX$17</f>
        <v>0</v>
      </c>
      <c r="CY20" s="51">
        <f t="shared" ref="CY20:CY22" si="201">CU20*$CY$17</f>
        <v>0</v>
      </c>
      <c r="CZ20" s="51">
        <f>CX20*CY20</f>
        <v>0</v>
      </c>
      <c r="DA20" s="54"/>
      <c r="DB20" s="51">
        <f t="shared" ref="DB20:DB22" si="202">CX20*$DB$17</f>
        <v>0</v>
      </c>
      <c r="DC20" s="51">
        <f t="shared" ref="DC20:DC22" si="203">CY20*$DC$17</f>
        <v>0</v>
      </c>
      <c r="DD20" s="51">
        <f>DB20*DC20</f>
        <v>0</v>
      </c>
      <c r="DE20" s="54"/>
      <c r="DF20" s="51">
        <f t="shared" ref="DF20:DF22" si="204">DB20*$DF$17</f>
        <v>0</v>
      </c>
      <c r="DG20" s="51">
        <f t="shared" ref="DG20:DG22" si="205">DC20*$DG$17</f>
        <v>0</v>
      </c>
      <c r="DH20" s="51">
        <f>DF20*DG20</f>
        <v>0</v>
      </c>
      <c r="DI20" s="54"/>
      <c r="DJ20" s="51">
        <f t="shared" ref="DJ20:DJ22" si="206">DF20*$DJ$17</f>
        <v>0</v>
      </c>
      <c r="DK20" s="51">
        <f t="shared" ref="DK20:DK22" si="207">DG20*$DK$17</f>
        <v>0</v>
      </c>
      <c r="DL20" s="51">
        <f>DJ20*DK20</f>
        <v>0</v>
      </c>
      <c r="DM20" s="54"/>
      <c r="DN20" s="51">
        <f t="shared" ref="DN20:DN22" si="208">DJ20*$DN$17</f>
        <v>0</v>
      </c>
      <c r="DO20" s="51">
        <f>DK20*$DO$17</f>
        <v>0</v>
      </c>
      <c r="DP20" s="51">
        <f>DN20*DO20</f>
        <v>0</v>
      </c>
      <c r="DQ20" s="54"/>
      <c r="DR20" s="51">
        <f t="shared" ref="DR20:DR22" si="209">DN20*$DR$17</f>
        <v>0</v>
      </c>
      <c r="DS20" s="51">
        <f t="shared" ref="DS20:DS22" si="210">DO20*$DS$17</f>
        <v>0</v>
      </c>
      <c r="DT20" s="51">
        <f>DR20*DS20</f>
        <v>0</v>
      </c>
      <c r="DU20" s="54"/>
      <c r="DV20" s="51">
        <f t="shared" ref="DV20:DV22" si="211">DR20*$DV$17</f>
        <v>0</v>
      </c>
      <c r="DW20" s="51">
        <f t="shared" ref="DW20:DW22" si="212">DS20*$DW$17</f>
        <v>0</v>
      </c>
      <c r="DX20" s="51">
        <f>DV20*DW20</f>
        <v>0</v>
      </c>
      <c r="DY20" s="54"/>
      <c r="DZ20" s="51">
        <f t="shared" ref="DZ20:DZ22" si="213">DV20*$DZ$17</f>
        <v>0</v>
      </c>
      <c r="EA20" s="51">
        <f t="shared" ref="EA20:EA22" si="214">DW20*$EA$17</f>
        <v>0</v>
      </c>
      <c r="EB20" s="51">
        <f>DZ20*EA20</f>
        <v>0</v>
      </c>
      <c r="EC20" s="54"/>
      <c r="ED20" s="51">
        <f t="shared" ref="ED20:ED22" si="215">DZ20*$ED$17</f>
        <v>0</v>
      </c>
      <c r="EE20" s="51">
        <f t="shared" ref="EE20:EE22" si="216">EA20*$EE$17</f>
        <v>0</v>
      </c>
      <c r="EF20" s="51">
        <f>ED20*EE20</f>
        <v>0</v>
      </c>
      <c r="EG20" s="54"/>
      <c r="EH20" s="51">
        <f>ED20*$EH$17</f>
        <v>0</v>
      </c>
      <c r="EI20" s="51">
        <f>EE20*$EI$17</f>
        <v>0</v>
      </c>
      <c r="EJ20" s="51">
        <f>EH20*EI20</f>
        <v>0</v>
      </c>
      <c r="EK20" s="54"/>
      <c r="EL20" s="51">
        <f t="shared" ref="EL20:EL22" si="217">EH20*$EL$17</f>
        <v>0</v>
      </c>
      <c r="EM20" s="51">
        <f t="shared" ref="EM20:EM22" si="218">EI20*$EM$17</f>
        <v>0</v>
      </c>
      <c r="EN20" s="51">
        <f>EL20*EM20</f>
        <v>0</v>
      </c>
      <c r="EO20" s="54"/>
      <c r="EP20" s="51">
        <f t="shared" ref="EP20:EP22" si="219">EL20*$EP$17</f>
        <v>0</v>
      </c>
      <c r="EQ20" s="51">
        <f t="shared" ref="EQ20:EQ22" si="220">EM20*$EQ$17</f>
        <v>0</v>
      </c>
      <c r="ER20" s="51">
        <f>EP20*EQ20</f>
        <v>0</v>
      </c>
      <c r="ES20" s="54"/>
      <c r="ET20" s="51">
        <f t="shared" ref="ET20:ET22" si="221">EP20*$ET$17</f>
        <v>0</v>
      </c>
      <c r="EU20" s="51">
        <f>EQ20*$EU$17</f>
        <v>0</v>
      </c>
      <c r="EV20" s="51">
        <f>ET20*EU20</f>
        <v>0</v>
      </c>
      <c r="EW20" s="54"/>
      <c r="EX20" s="51">
        <f t="shared" ref="EX20:EX22" si="222">ET20*$EX$17</f>
        <v>0</v>
      </c>
      <c r="EY20" s="51">
        <f t="shared" ref="EY20:EY22" si="223">EU20*$EY$17</f>
        <v>0</v>
      </c>
      <c r="EZ20" s="51">
        <f>EX20*EY20</f>
        <v>0</v>
      </c>
      <c r="FA20" s="54"/>
      <c r="FB20" s="51">
        <f t="shared" ref="FB20:FB22" si="224">EX20*$FB$17</f>
        <v>0</v>
      </c>
      <c r="FC20" s="51">
        <f t="shared" ref="FC20:FC22" si="225">EY20*$FC$17</f>
        <v>0</v>
      </c>
      <c r="FD20" s="51">
        <f>FB20*FC20</f>
        <v>0</v>
      </c>
      <c r="FE20" s="54"/>
      <c r="FF20" s="51">
        <f t="shared" ref="FF20:FF22" si="226">FB20*$FF$17</f>
        <v>0</v>
      </c>
      <c r="FG20" s="51">
        <f t="shared" ref="FG20:FG22" si="227">FC20*$FG$17</f>
        <v>0</v>
      </c>
      <c r="FH20" s="51">
        <f>FF20*FG20</f>
        <v>0</v>
      </c>
      <c r="FI20" s="54"/>
      <c r="FJ20" s="51">
        <f t="shared" ref="FJ20:FJ22" si="228">FF20*$FJ$17</f>
        <v>0</v>
      </c>
      <c r="FK20" s="51">
        <f t="shared" ref="FK20:FK22" si="229">FG20*$FK$17</f>
        <v>0</v>
      </c>
      <c r="FL20" s="51">
        <f>FJ20*FK20</f>
        <v>0</v>
      </c>
      <c r="FM20" s="54"/>
      <c r="FN20" s="51">
        <f t="shared" ref="FN20:FN22" si="230">FJ20*$FN$17</f>
        <v>0</v>
      </c>
      <c r="FO20" s="51">
        <f t="shared" ref="FO20:FO22" si="231">FK20*$FO$17</f>
        <v>0</v>
      </c>
      <c r="FP20" s="51">
        <f>FN20*FO20</f>
        <v>0</v>
      </c>
      <c r="FQ20" s="54"/>
      <c r="FR20" s="51">
        <f t="shared" ref="FR20" si="232">FN20*$FR$17</f>
        <v>0</v>
      </c>
      <c r="FS20" s="51">
        <f t="shared" ref="FS20" si="233">FO20*$FS$17</f>
        <v>0</v>
      </c>
      <c r="FT20" s="51">
        <f>FR20*FS20</f>
        <v>0</v>
      </c>
      <c r="FU20" s="54"/>
      <c r="FV20" s="51">
        <f t="shared" ref="FV20:FV22" si="234">FR20*$FV$17</f>
        <v>0</v>
      </c>
      <c r="FW20" s="51">
        <f t="shared" ref="FW20:FW22" si="235">FS20*$FW$17</f>
        <v>0</v>
      </c>
      <c r="FX20" s="51">
        <f>FV20*FW20</f>
        <v>0</v>
      </c>
      <c r="FY20" s="54"/>
      <c r="FZ20" s="51">
        <f t="shared" ref="FZ20:FZ21" si="236">FV20*$FZ$17</f>
        <v>0</v>
      </c>
      <c r="GA20" s="51">
        <f t="shared" ref="GA20:GA21" si="237">FW20*$GA$17</f>
        <v>0</v>
      </c>
      <c r="GB20" s="51">
        <f>FZ20*GA20</f>
        <v>0</v>
      </c>
      <c r="GD20" s="51">
        <f>FZ20*$GD$17</f>
        <v>0</v>
      </c>
      <c r="GE20" s="51">
        <f>GA20*$GE$17</f>
        <v>0</v>
      </c>
      <c r="GF20" s="51">
        <f>GD20*GE20</f>
        <v>0</v>
      </c>
      <c r="GG20" s="54"/>
      <c r="GH20" s="51">
        <f t="shared" ref="GH20:GH21" si="238">GD20*$GH$17</f>
        <v>0</v>
      </c>
      <c r="GI20" s="51">
        <f t="shared" ref="GI20:GI21" si="239">GE20*$GI$17</f>
        <v>0</v>
      </c>
      <c r="GJ20" s="51">
        <f>GH20*GI20</f>
        <v>0</v>
      </c>
      <c r="GK20" s="54"/>
      <c r="GL20" s="51">
        <f t="shared" ref="GL20:GL21" si="240">GH20*$GL$17</f>
        <v>0</v>
      </c>
      <c r="GM20" s="51">
        <f t="shared" ref="GM20:GM22" si="241">GI20*$GM$17</f>
        <v>0</v>
      </c>
      <c r="GN20" s="51">
        <f>GL20*GM20</f>
        <v>0</v>
      </c>
      <c r="GO20" s="54"/>
      <c r="GP20" s="51">
        <f t="shared" ref="GP20:GP21" si="242">GL20*$GP$17</f>
        <v>0</v>
      </c>
      <c r="GQ20" s="51">
        <f t="shared" ref="GQ20:GQ21" si="243">GM20*$GQ$17</f>
        <v>0</v>
      </c>
      <c r="GR20" s="51">
        <f>GP20*GQ20</f>
        <v>0</v>
      </c>
      <c r="GS20" s="54"/>
      <c r="GT20" s="51">
        <f t="shared" ref="GT20:GT22" si="244">GP20*$GT$17</f>
        <v>0</v>
      </c>
      <c r="GU20" s="51">
        <f t="shared" ref="GU20:GU22" si="245">GQ20*$GU$17</f>
        <v>0</v>
      </c>
      <c r="GV20" s="51">
        <f>GT20*GU20</f>
        <v>0</v>
      </c>
      <c r="GW20" s="54"/>
      <c r="GX20" s="51">
        <f t="shared" ref="GX20:GX22" si="246">GT20*$GX$17</f>
        <v>0</v>
      </c>
      <c r="GY20" s="51">
        <f t="shared" ref="GY20:GY22" si="247">GU20*$GY$17</f>
        <v>0</v>
      </c>
      <c r="GZ20" s="51">
        <f>GX20*GY20</f>
        <v>0</v>
      </c>
      <c r="HA20" s="54"/>
      <c r="HB20" s="51">
        <f t="shared" ref="HB20:HB22" si="248">GX20*$HB$17</f>
        <v>0</v>
      </c>
      <c r="HC20" s="51">
        <f t="shared" ref="HC20:HC22" si="249">GY20*$HC$17</f>
        <v>0</v>
      </c>
      <c r="HD20" s="51">
        <f>HB20*HC20</f>
        <v>0</v>
      </c>
      <c r="HE20" s="54"/>
      <c r="HF20" s="51">
        <f t="shared" ref="HF20:HF22" si="250">HB20*$HF$17</f>
        <v>0</v>
      </c>
      <c r="HG20" s="51">
        <f t="shared" ref="HG20:HG22" si="251">HC20*$HG$17</f>
        <v>0</v>
      </c>
      <c r="HH20" s="51">
        <f>HF20*HG20</f>
        <v>0</v>
      </c>
      <c r="HI20" s="54"/>
      <c r="HJ20" s="51">
        <f t="shared" ref="HJ20:HJ22" si="252">HF20*$HJ$17</f>
        <v>0</v>
      </c>
      <c r="HK20" s="51">
        <f t="shared" ref="HK20:HK22" si="253">HG20*$HK$17</f>
        <v>0</v>
      </c>
      <c r="HL20" s="51">
        <f>HJ20*HK20</f>
        <v>0</v>
      </c>
      <c r="HM20" s="54"/>
      <c r="HN20" s="51">
        <f t="shared" ref="HN20:HN22" si="254">HJ20*$HN$17</f>
        <v>0</v>
      </c>
      <c r="HO20" s="51">
        <f t="shared" ref="HO20:HO22" si="255">HK20*$HO$17</f>
        <v>0</v>
      </c>
      <c r="HP20" s="51">
        <f>HN20*HO20</f>
        <v>0</v>
      </c>
      <c r="HQ20" s="54"/>
      <c r="HR20" s="51">
        <f t="shared" ref="HR20:HR22" si="256">HN20*$HR$17</f>
        <v>0</v>
      </c>
      <c r="HS20" s="51">
        <f t="shared" ref="HS20:HS22" si="257">HO20*$HS$17</f>
        <v>0</v>
      </c>
      <c r="HT20" s="51">
        <f>HR20*HS20</f>
        <v>0</v>
      </c>
      <c r="HU20" s="54"/>
      <c r="HV20" s="51">
        <f t="shared" ref="HV20:HV22" si="258">HR20*$HV$17</f>
        <v>0</v>
      </c>
      <c r="HW20" s="51">
        <f t="shared" ref="HW20:HW22" si="259">HS20*$HW$17</f>
        <v>0</v>
      </c>
      <c r="HX20" s="51">
        <f>HV20*HW20</f>
        <v>0</v>
      </c>
      <c r="HZ20" s="51">
        <f>HV20*$HZ$17</f>
        <v>0</v>
      </c>
      <c r="IA20" s="51">
        <f>HW20*$IA$17</f>
        <v>0</v>
      </c>
      <c r="IB20" s="51">
        <f>HZ20*IA20</f>
        <v>0</v>
      </c>
      <c r="IC20" s="54"/>
      <c r="ID20" s="51">
        <f t="shared" ref="ID20:ID22" si="260">HZ20*$ID$17</f>
        <v>0</v>
      </c>
      <c r="IE20" s="51">
        <f t="shared" ref="IE20:IE22" si="261">IA20*$IE$17</f>
        <v>0</v>
      </c>
      <c r="IF20" s="51">
        <f>ID20*IE20</f>
        <v>0</v>
      </c>
      <c r="IG20" s="54"/>
      <c r="IH20" s="51">
        <f t="shared" ref="IH20:IH22" si="262">ID20*$IH$17</f>
        <v>0</v>
      </c>
      <c r="II20" s="51">
        <f t="shared" ref="II20:II22" si="263">IE20*$II$17</f>
        <v>0</v>
      </c>
      <c r="IJ20" s="51">
        <f>IH20*II20</f>
        <v>0</v>
      </c>
      <c r="IK20" s="54"/>
      <c r="IL20" s="80">
        <f>SUMIFS($F20:$IK20,$F$3:$IK$3,IL$5,$F$6:$IK$6,IL$6)</f>
        <v>0</v>
      </c>
      <c r="IM20" s="80">
        <v>0</v>
      </c>
      <c r="IN20" s="80">
        <f>SUMIFS($F20:$IK20,$F$3:$IK$3,IL$5,$F$6:$IK$6,IN$6)</f>
        <v>0</v>
      </c>
      <c r="IP20" s="80">
        <f>SUMIFS($F20:$IK20,$F$3:$IK$3,IP$5,$F$6:$IK$6,IP$6)</f>
        <v>0</v>
      </c>
      <c r="IQ20" s="80" t="e">
        <f>IR20/IP20</f>
        <v>#DIV/0!</v>
      </c>
      <c r="IR20" s="80">
        <f>SUMIFS($F20:$IK20,$F$3:$IK$3,IP$5,$F$6:$IK$6,IR$6)</f>
        <v>0</v>
      </c>
      <c r="IT20" s="80">
        <f>SUMIFS($F20:$IK20,$F$3:$IK$3,IT$5,$F$6:$IK$6,IT$6)</f>
        <v>0</v>
      </c>
      <c r="IU20" s="80" t="e">
        <f>IV20/IT20</f>
        <v>#DIV/0!</v>
      </c>
      <c r="IV20" s="80">
        <f>SUMIFS($F20:$IK20,$F$3:$IK$3,IT$5,$F$6:$IK$6,IV$6)</f>
        <v>0</v>
      </c>
      <c r="IX20" s="80">
        <f>SUMIFS($F20:$IK20,$F$3:$IK$3,IX$5,$F$6:$IK$6,IX$6)</f>
        <v>0</v>
      </c>
      <c r="IY20" s="80" t="e">
        <f>IZ20/IX20</f>
        <v>#DIV/0!</v>
      </c>
      <c r="IZ20" s="80">
        <f>SUMIFS($F20:$IK20,$F$3:$IK$3,IX$5,$F$6:$IK$6,IZ$6)</f>
        <v>0</v>
      </c>
      <c r="JB20" s="80">
        <f>SUMIFS($F20:$IK20,$F$3:$IK$3,JB$5,$F$6:$IK$6,JB$6)</f>
        <v>0</v>
      </c>
      <c r="JC20" s="80" t="e">
        <f>JD20/JB20</f>
        <v>#DIV/0!</v>
      </c>
      <c r="JD20" s="80">
        <f>SUMIFS($F20:$IK20,$F$3:$IK$3,JB$5,$F$6:$IK$6,JD$6)</f>
        <v>0</v>
      </c>
      <c r="JF20" s="80">
        <f>SUMIFS($F20:$IK20,$F$3:$IK$3,JF$5,$F$6:$IK$6,JF$6)</f>
        <v>0</v>
      </c>
      <c r="JG20" s="80" t="e">
        <f>JH20/JF20</f>
        <v>#DIV/0!</v>
      </c>
      <c r="JH20" s="80">
        <f>SUMIFS($F20:$IK20,$F$3:$IK$3,JF$5,$F$6:$IK$6,JH$6)</f>
        <v>0</v>
      </c>
    </row>
    <row r="21" ht="18.75" customHeight="1" spans="2:268" x14ac:dyDescent="0.25">
      <c r="B21" s="5" t="s">
        <v>62</v>
      </c>
      <c r="C21" s="29"/>
      <c r="D21" s="29">
        <f>'A.I Revenue Streams - P1'!E21</f>
        <v>0</v>
      </c>
      <c r="E21" s="30"/>
      <c r="F21" s="51">
        <f>'A.I Revenue Streams - P1'!G21</f>
        <v>0</v>
      </c>
      <c r="G21" s="51">
        <f>'A.I Revenue Streams - P1'!I21</f>
        <v>0</v>
      </c>
      <c r="H21" s="51">
        <f>F21*G21</f>
        <v>0</v>
      </c>
      <c r="I21" s="54"/>
      <c r="J21" s="51">
        <f>F21*$J$17</f>
        <v>0</v>
      </c>
      <c r="K21" s="51">
        <f>G21*$K$17</f>
        <v>0</v>
      </c>
      <c r="L21" s="51">
        <f>J21*K21</f>
        <v>0</v>
      </c>
      <c r="M21" s="54"/>
      <c r="N21" s="51">
        <f>J21*$N$17</f>
        <v>0</v>
      </c>
      <c r="O21" s="51">
        <f>K21*$O$17</f>
        <v>0</v>
      </c>
      <c r="P21" s="51">
        <f>N21*O21</f>
        <v>0</v>
      </c>
      <c r="Q21" s="54"/>
      <c r="R21" s="51">
        <f>N21*$R$17</f>
        <v>0</v>
      </c>
      <c r="S21" s="51">
        <f>O21*$S$17</f>
        <v>0</v>
      </c>
      <c r="T21" s="51">
        <f>R21*S21</f>
        <v>0</v>
      </c>
      <c r="U21" s="54"/>
      <c r="V21" s="51">
        <f>R21*$V$17</f>
        <v>0</v>
      </c>
      <c r="W21" s="51">
        <f>S21*$W$17</f>
        <v>0</v>
      </c>
      <c r="X21" s="51">
        <f>V21*W21</f>
        <v>0</v>
      </c>
      <c r="Y21" s="54"/>
      <c r="Z21" s="51">
        <f>V21*$Z$17</f>
        <v>0</v>
      </c>
      <c r="AA21" s="51">
        <f>W21*$AA$17</f>
        <v>0</v>
      </c>
      <c r="AB21" s="51">
        <f>Z21*AA21</f>
        <v>0</v>
      </c>
      <c r="AC21" s="54"/>
      <c r="AD21" s="51">
        <f>Z21*$AD$17</f>
        <v>0</v>
      </c>
      <c r="AE21" s="51">
        <f>AA21*$AE$17</f>
        <v>0</v>
      </c>
      <c r="AF21" s="51">
        <f>AD21*AE21</f>
        <v>0</v>
      </c>
      <c r="AG21" s="54"/>
      <c r="AH21" s="51">
        <f>AD21*$AH$17</f>
        <v>0</v>
      </c>
      <c r="AI21" s="51">
        <f>AE21*$AI$17</f>
        <v>0</v>
      </c>
      <c r="AJ21" s="51">
        <f>AH21*AI21</f>
        <v>0</v>
      </c>
      <c r="AK21" s="54"/>
      <c r="AL21" s="51">
        <f>AH21*$AL$17</f>
        <v>0</v>
      </c>
      <c r="AM21" s="51">
        <f>AI21*$AM$17</f>
        <v>0</v>
      </c>
      <c r="AN21" s="51">
        <f>AL21*AM21</f>
        <v>0</v>
      </c>
      <c r="AO21" s="54"/>
      <c r="AP21" s="51">
        <f>AL21*$AP$17</f>
        <v>0</v>
      </c>
      <c r="AQ21" s="51">
        <f>AM21*$AQ$17</f>
        <v>0</v>
      </c>
      <c r="AR21" s="51">
        <f>AP21*AQ21</f>
        <v>0</v>
      </c>
      <c r="AS21" s="54"/>
      <c r="AT21" s="51">
        <f t="shared" si="174"/>
        <v>0</v>
      </c>
      <c r="AU21" s="51">
        <f t="shared" si="175"/>
        <v>0</v>
      </c>
      <c r="AV21" s="51">
        <f>AT21*AU21</f>
        <v>0</v>
      </c>
      <c r="AW21" s="54"/>
      <c r="AX21" s="51">
        <f t="shared" si="176"/>
        <v>0</v>
      </c>
      <c r="AY21" s="51">
        <f t="shared" si="177"/>
        <v>0</v>
      </c>
      <c r="AZ21" s="51">
        <f>AX21*AY21</f>
        <v>0</v>
      </c>
      <c r="BA21" s="54"/>
      <c r="BB21" s="51">
        <f t="shared" si="178"/>
        <v>0</v>
      </c>
      <c r="BC21" s="51">
        <f t="shared" si="179"/>
        <v>0</v>
      </c>
      <c r="BD21" s="51">
        <f>BB21*BC21</f>
        <v>0</v>
      </c>
      <c r="BE21" s="54"/>
      <c r="BF21" s="51">
        <f t="shared" si="180"/>
        <v>0</v>
      </c>
      <c r="BG21" s="51">
        <f t="shared" si="181"/>
        <v>0</v>
      </c>
      <c r="BH21" s="51">
        <f>BF21*BG21</f>
        <v>0</v>
      </c>
      <c r="BI21" s="54"/>
      <c r="BJ21" s="51">
        <f t="shared" si="182"/>
        <v>0</v>
      </c>
      <c r="BK21" s="51">
        <f t="shared" si="183"/>
        <v>0</v>
      </c>
      <c r="BL21" s="51">
        <f>BJ21*BK21</f>
        <v>0</v>
      </c>
      <c r="BM21" s="54"/>
      <c r="BN21" s="51">
        <f t="shared" si="184"/>
        <v>0</v>
      </c>
      <c r="BO21" s="51">
        <f t="shared" si="185"/>
        <v>0</v>
      </c>
      <c r="BP21" s="51">
        <f>BN21*BO21</f>
        <v>0</v>
      </c>
      <c r="BQ21" s="54"/>
      <c r="BR21" s="51">
        <f t="shared" si="186"/>
        <v>0</v>
      </c>
      <c r="BS21" s="51">
        <f t="shared" si="187"/>
        <v>0</v>
      </c>
      <c r="BT21" s="51">
        <f>BR21*BS21</f>
        <v>0</v>
      </c>
      <c r="BU21" s="54"/>
      <c r="BV21" s="51">
        <f t="shared" si="188"/>
        <v>0</v>
      </c>
      <c r="BW21" s="51">
        <f t="shared" si="189"/>
        <v>0</v>
      </c>
      <c r="BX21" s="51">
        <f>BV21*BW21</f>
        <v>0</v>
      </c>
      <c r="BY21" s="54"/>
      <c r="BZ21" s="51">
        <f t="shared" si="190"/>
        <v>0</v>
      </c>
      <c r="CA21" s="51">
        <f t="shared" si="191"/>
        <v>0</v>
      </c>
      <c r="CB21" s="51">
        <f>BZ21*CA21</f>
        <v>0</v>
      </c>
      <c r="CC21" s="54"/>
      <c r="CD21" s="51">
        <f t="shared" si="192"/>
        <v>0</v>
      </c>
      <c r="CE21" s="51">
        <f t="shared" si="193"/>
        <v>0</v>
      </c>
      <c r="CF21" s="51">
        <f>CD21*CE21</f>
        <v>0</v>
      </c>
      <c r="CG21" s="54"/>
      <c r="CH21" s="51">
        <f t="shared" si="194"/>
        <v>0</v>
      </c>
      <c r="CI21" s="51">
        <f t="shared" si="195"/>
        <v>0</v>
      </c>
      <c r="CJ21" s="51">
        <f>CH21*CI21</f>
        <v>0</v>
      </c>
      <c r="CK21" s="54"/>
      <c r="CL21" s="51">
        <f>CH21*$CL$17</f>
        <v>0</v>
      </c>
      <c r="CM21" s="51">
        <f>CI21*$CM$17</f>
        <v>0</v>
      </c>
      <c r="CN21" s="51">
        <f>CL21*CM21</f>
        <v>0</v>
      </c>
      <c r="CO21" s="54"/>
      <c r="CP21" s="51">
        <f t="shared" si="196"/>
        <v>0</v>
      </c>
      <c r="CQ21" s="51">
        <f t="shared" si="197"/>
        <v>0</v>
      </c>
      <c r="CR21" s="51">
        <f>CP21*CQ21</f>
        <v>0</v>
      </c>
      <c r="CS21" s="54"/>
      <c r="CT21" s="51">
        <f t="shared" si="198"/>
        <v>0</v>
      </c>
      <c r="CU21" s="51">
        <f t="shared" si="199"/>
        <v>0</v>
      </c>
      <c r="CV21" s="51">
        <f>CT21*CU21</f>
        <v>0</v>
      </c>
      <c r="CW21" s="54"/>
      <c r="CX21" s="51">
        <f t="shared" si="200"/>
        <v>0</v>
      </c>
      <c r="CY21" s="51">
        <f t="shared" si="201"/>
        <v>0</v>
      </c>
      <c r="CZ21" s="51">
        <f>CX21*CY21</f>
        <v>0</v>
      </c>
      <c r="DA21" s="54"/>
      <c r="DB21" s="51">
        <f t="shared" si="202"/>
        <v>0</v>
      </c>
      <c r="DC21" s="51">
        <f t="shared" si="203"/>
        <v>0</v>
      </c>
      <c r="DD21" s="51">
        <f>DB21*DC21</f>
        <v>0</v>
      </c>
      <c r="DE21" s="54"/>
      <c r="DF21" s="51">
        <f t="shared" si="204"/>
        <v>0</v>
      </c>
      <c r="DG21" s="51">
        <f t="shared" si="205"/>
        <v>0</v>
      </c>
      <c r="DH21" s="51">
        <f>DF21*DG21</f>
        <v>0</v>
      </c>
      <c r="DI21" s="54"/>
      <c r="DJ21" s="51">
        <f t="shared" si="206"/>
        <v>0</v>
      </c>
      <c r="DK21" s="51">
        <f t="shared" si="207"/>
        <v>0</v>
      </c>
      <c r="DL21" s="51">
        <f>DJ21*DK21</f>
        <v>0</v>
      </c>
      <c r="DM21" s="54"/>
      <c r="DN21" s="51">
        <f t="shared" si="208"/>
        <v>0</v>
      </c>
      <c r="DO21" s="51">
        <f t="shared" ref="DO21:DO22" si="264">DK21*$DO$17</f>
        <v>0</v>
      </c>
      <c r="DP21" s="51">
        <f>DN21*DO21</f>
        <v>0</v>
      </c>
      <c r="DQ21" s="54"/>
      <c r="DR21" s="51">
        <f t="shared" si="209"/>
        <v>0</v>
      </c>
      <c r="DS21" s="51">
        <f t="shared" si="210"/>
        <v>0</v>
      </c>
      <c r="DT21" s="51">
        <f>DR21*DS21</f>
        <v>0</v>
      </c>
      <c r="DU21" s="54"/>
      <c r="DV21" s="51">
        <f t="shared" si="211"/>
        <v>0</v>
      </c>
      <c r="DW21" s="51">
        <f t="shared" si="212"/>
        <v>0</v>
      </c>
      <c r="DX21" s="51">
        <f>DV21*DW21</f>
        <v>0</v>
      </c>
      <c r="DY21" s="54"/>
      <c r="DZ21" s="51">
        <f t="shared" si="213"/>
        <v>0</v>
      </c>
      <c r="EA21" s="51">
        <f t="shared" si="214"/>
        <v>0</v>
      </c>
      <c r="EB21" s="51">
        <f>DZ21*EA21</f>
        <v>0</v>
      </c>
      <c r="EC21" s="54"/>
      <c r="ED21" s="51">
        <f t="shared" si="215"/>
        <v>0</v>
      </c>
      <c r="EE21" s="51">
        <f t="shared" si="216"/>
        <v>0</v>
      </c>
      <c r="EF21" s="51">
        <f>ED21*EE21</f>
        <v>0</v>
      </c>
      <c r="EG21" s="54"/>
      <c r="EH21" s="51">
        <f>ED21*$EH$17</f>
        <v>0</v>
      </c>
      <c r="EI21" s="51">
        <f>EE21*$EI$17</f>
        <v>0</v>
      </c>
      <c r="EJ21" s="51">
        <f>EH21*EI21</f>
        <v>0</v>
      </c>
      <c r="EK21" s="54"/>
      <c r="EL21" s="51">
        <f t="shared" si="217"/>
        <v>0</v>
      </c>
      <c r="EM21" s="51">
        <f t="shared" si="218"/>
        <v>0</v>
      </c>
      <c r="EN21" s="51">
        <f>EL21*EM21</f>
        <v>0</v>
      </c>
      <c r="EO21" s="54"/>
      <c r="EP21" s="51">
        <f t="shared" si="219"/>
        <v>0</v>
      </c>
      <c r="EQ21" s="51">
        <f t="shared" si="220"/>
        <v>0</v>
      </c>
      <c r="ER21" s="51">
        <f>EP21*EQ21</f>
        <v>0</v>
      </c>
      <c r="ES21" s="54"/>
      <c r="ET21" s="51">
        <f>EP21*$ET$17</f>
        <v>0</v>
      </c>
      <c r="EU21" s="51">
        <f t="shared" ref="EU21:EU22" si="265">EQ21*$EU$17</f>
        <v>0</v>
      </c>
      <c r="EV21" s="51">
        <f>ET21*EU21</f>
        <v>0</v>
      </c>
      <c r="EW21" s="54"/>
      <c r="EX21" s="51">
        <f t="shared" si="222"/>
        <v>0</v>
      </c>
      <c r="EY21" s="51">
        <f t="shared" si="223"/>
        <v>0</v>
      </c>
      <c r="EZ21" s="51">
        <f>EX21*EY21</f>
        <v>0</v>
      </c>
      <c r="FA21" s="54"/>
      <c r="FB21" s="51">
        <f t="shared" si="224"/>
        <v>0</v>
      </c>
      <c r="FC21" s="51">
        <f t="shared" si="225"/>
        <v>0</v>
      </c>
      <c r="FD21" s="51">
        <f>FB21*FC21</f>
        <v>0</v>
      </c>
      <c r="FE21" s="54"/>
      <c r="FF21" s="51">
        <f t="shared" si="226"/>
        <v>0</v>
      </c>
      <c r="FG21" s="51">
        <f t="shared" si="227"/>
        <v>0</v>
      </c>
      <c r="FH21" s="51">
        <f>FF21*FG21</f>
        <v>0</v>
      </c>
      <c r="FI21" s="54"/>
      <c r="FJ21" s="51">
        <f t="shared" si="228"/>
        <v>0</v>
      </c>
      <c r="FK21" s="51">
        <f t="shared" si="229"/>
        <v>0</v>
      </c>
      <c r="FL21" s="51">
        <f>FJ21*FK21</f>
        <v>0</v>
      </c>
      <c r="FM21" s="54"/>
      <c r="FN21" s="51">
        <f t="shared" si="230"/>
        <v>0</v>
      </c>
      <c r="FO21" s="51">
        <f t="shared" si="231"/>
        <v>0</v>
      </c>
      <c r="FP21" s="51">
        <f>FN21*FO21</f>
        <v>0</v>
      </c>
      <c r="FQ21" s="54"/>
      <c r="FR21" s="51">
        <f>FN21*$FR$17</f>
        <v>0</v>
      </c>
      <c r="FS21" s="51">
        <f>FO21*$FS$17</f>
        <v>0</v>
      </c>
      <c r="FT21" s="51">
        <f>FR21*FS21</f>
        <v>0</v>
      </c>
      <c r="FU21" s="54"/>
      <c r="FV21" s="51">
        <f t="shared" si="234"/>
        <v>0</v>
      </c>
      <c r="FW21" s="51">
        <f t="shared" si="235"/>
        <v>0</v>
      </c>
      <c r="FX21" s="51">
        <f>FV21*FW21</f>
        <v>0</v>
      </c>
      <c r="FY21" s="54"/>
      <c r="FZ21" s="51">
        <f t="shared" si="236"/>
        <v>0</v>
      </c>
      <c r="GA21" s="51">
        <f t="shared" si="237"/>
        <v>0</v>
      </c>
      <c r="GB21" s="51">
        <f>FZ21*GA21</f>
        <v>0</v>
      </c>
      <c r="GD21" s="51">
        <f>FZ21*$GD$17</f>
        <v>0</v>
      </c>
      <c r="GE21" s="51">
        <f>GA21*$GE$17</f>
        <v>0</v>
      </c>
      <c r="GF21" s="51">
        <f>GD21*GE21</f>
        <v>0</v>
      </c>
      <c r="GG21" s="54"/>
      <c r="GH21" s="51">
        <f t="shared" si="238"/>
        <v>0</v>
      </c>
      <c r="GI21" s="51">
        <f t="shared" si="239"/>
        <v>0</v>
      </c>
      <c r="GJ21" s="51">
        <f>GH21*GI21</f>
        <v>0</v>
      </c>
      <c r="GK21" s="54"/>
      <c r="GL21" s="51">
        <f t="shared" si="240"/>
        <v>0</v>
      </c>
      <c r="GM21" s="51">
        <f t="shared" si="241"/>
        <v>0</v>
      </c>
      <c r="GN21" s="51">
        <f>GL21*GM21</f>
        <v>0</v>
      </c>
      <c r="GO21" s="54"/>
      <c r="GP21" s="51">
        <f t="shared" si="242"/>
        <v>0</v>
      </c>
      <c r="GQ21" s="51">
        <f t="shared" si="243"/>
        <v>0</v>
      </c>
      <c r="GR21" s="51">
        <f>GP21*GQ21</f>
        <v>0</v>
      </c>
      <c r="GS21" s="54"/>
      <c r="GT21" s="51">
        <f t="shared" si="244"/>
        <v>0</v>
      </c>
      <c r="GU21" s="51">
        <f t="shared" si="245"/>
        <v>0</v>
      </c>
      <c r="GV21" s="51">
        <f>GT21*GU21</f>
        <v>0</v>
      </c>
      <c r="GW21" s="54"/>
      <c r="GX21" s="51">
        <f t="shared" si="246"/>
        <v>0</v>
      </c>
      <c r="GY21" s="51">
        <f t="shared" si="247"/>
        <v>0</v>
      </c>
      <c r="GZ21" s="51">
        <f>GX21*GY21</f>
        <v>0</v>
      </c>
      <c r="HA21" s="54"/>
      <c r="HB21" s="51">
        <f t="shared" si="248"/>
        <v>0</v>
      </c>
      <c r="HC21" s="51">
        <f t="shared" si="249"/>
        <v>0</v>
      </c>
      <c r="HD21" s="51">
        <f>HB21*HC21</f>
        <v>0</v>
      </c>
      <c r="HE21" s="54"/>
      <c r="HF21" s="51">
        <f t="shared" si="250"/>
        <v>0</v>
      </c>
      <c r="HG21" s="51">
        <f t="shared" si="251"/>
        <v>0</v>
      </c>
      <c r="HH21" s="51">
        <f>HF21*HG21</f>
        <v>0</v>
      </c>
      <c r="HI21" s="54"/>
      <c r="HJ21" s="51">
        <f t="shared" si="252"/>
        <v>0</v>
      </c>
      <c r="HK21" s="51">
        <f t="shared" si="253"/>
        <v>0</v>
      </c>
      <c r="HL21" s="51">
        <f>HJ21*HK21</f>
        <v>0</v>
      </c>
      <c r="HM21" s="54"/>
      <c r="HN21" s="51">
        <f t="shared" si="254"/>
        <v>0</v>
      </c>
      <c r="HO21" s="51">
        <f t="shared" si="255"/>
        <v>0</v>
      </c>
      <c r="HP21" s="51">
        <f>HN21*HO21</f>
        <v>0</v>
      </c>
      <c r="HQ21" s="54"/>
      <c r="HR21" s="51">
        <f t="shared" si="256"/>
        <v>0</v>
      </c>
      <c r="HS21" s="51">
        <f t="shared" si="257"/>
        <v>0</v>
      </c>
      <c r="HT21" s="51">
        <f>HR21*HS21</f>
        <v>0</v>
      </c>
      <c r="HU21" s="54"/>
      <c r="HV21" s="51">
        <f t="shared" si="258"/>
        <v>0</v>
      </c>
      <c r="HW21" s="51">
        <f t="shared" si="259"/>
        <v>0</v>
      </c>
      <c r="HX21" s="51">
        <f>HV21*HW21</f>
        <v>0</v>
      </c>
      <c r="HZ21" s="51">
        <f>HV21*$HZ$17</f>
        <v>0</v>
      </c>
      <c r="IA21" s="51">
        <f>HW21*$IA$17</f>
        <v>0</v>
      </c>
      <c r="IB21" s="51">
        <f>HZ21*IA21</f>
        <v>0</v>
      </c>
      <c r="IC21" s="54"/>
      <c r="ID21" s="51">
        <f t="shared" si="260"/>
        <v>0</v>
      </c>
      <c r="IE21" s="51">
        <f t="shared" si="261"/>
        <v>0</v>
      </c>
      <c r="IF21" s="51">
        <f>ID21*IE21</f>
        <v>0</v>
      </c>
      <c r="IG21" s="54"/>
      <c r="IH21" s="51">
        <f t="shared" si="262"/>
        <v>0</v>
      </c>
      <c r="II21" s="51">
        <f t="shared" si="263"/>
        <v>0</v>
      </c>
      <c r="IJ21" s="51">
        <f>IH21*II21</f>
        <v>0</v>
      </c>
      <c r="IK21" s="54"/>
      <c r="IL21" s="80">
        <f>SUMIFS($F21:$IK21,$F$3:$IK$3,IL$5,$F$6:$IK$6,IL$6)</f>
        <v>0</v>
      </c>
      <c r="IM21" s="80">
        <v>0</v>
      </c>
      <c r="IN21" s="80">
        <f>SUMIFS($F21:$IK21,$F$3:$IK$3,IL$5,$F$6:$IK$6,IN$6)</f>
        <v>0</v>
      </c>
      <c r="IP21" s="80">
        <f>SUMIFS($F21:$IK21,$F$3:$IK$3,IP$5,$F$6:$IK$6,IP$6)</f>
        <v>0</v>
      </c>
      <c r="IQ21" s="80">
        <v>0</v>
      </c>
      <c r="IR21" s="80">
        <f>SUMIFS($F21:$IK21,$F$3:$IK$3,IP$5,$F$6:$IK$6,IR$6)</f>
        <v>0</v>
      </c>
      <c r="IT21" s="80">
        <f>SUMIFS($F21:$IK21,$F$3:$IK$3,IT$5,$F$6:$IK$6,IT$6)</f>
        <v>0</v>
      </c>
      <c r="IU21" s="80">
        <v>0</v>
      </c>
      <c r="IV21" s="80">
        <f>SUMIFS($F21:$IK21,$F$3:$IK$3,IT$5,$F$6:$IK$6,IV$6)</f>
        <v>0</v>
      </c>
      <c r="IX21" s="80">
        <f>SUMIFS($F21:$IK21,$F$3:$IK$3,IX$5,$F$6:$IK$6,IX$6)</f>
        <v>0</v>
      </c>
      <c r="IY21" s="80">
        <v>0</v>
      </c>
      <c r="IZ21" s="80">
        <f>SUMIFS($F21:$IK21,$F$3:$IK$3,IX$5,$F$6:$IK$6,IZ$6)</f>
        <v>0</v>
      </c>
      <c r="JB21" s="80">
        <f>SUMIFS($F21:$IK21,$F$3:$IK$3,JB$5,$F$6:$IK$6,JB$6)</f>
        <v>0</v>
      </c>
      <c r="JC21" s="80">
        <v>0</v>
      </c>
      <c r="JD21" s="80">
        <f>SUMIFS($F21:$IK21,$F$3:$IK$3,JB$5,$F$6:$IK$6,JD$6)</f>
        <v>0</v>
      </c>
      <c r="JF21" s="80">
        <f>SUMIFS($F21:$IK21,$F$3:$IK$3,JF$5,$F$6:$IK$6,JF$6)</f>
        <v>0</v>
      </c>
      <c r="JG21" s="80">
        <v>0</v>
      </c>
      <c r="JH21" s="80">
        <f>SUMIFS($F21:$IK21,$F$3:$IK$3,JF$5,$F$6:$IK$6,JH$6)</f>
        <v>0</v>
      </c>
    </row>
    <row r="22" ht="18.75" customHeight="1" spans="2:268" x14ac:dyDescent="0.25">
      <c r="B22" s="5" t="s">
        <v>63</v>
      </c>
      <c r="C22" s="29"/>
      <c r="D22" s="29">
        <f>'A.I Revenue Streams - P1'!E22</f>
        <v>0</v>
      </c>
      <c r="E22" s="30"/>
      <c r="F22" s="51">
        <f>'A.I Revenue Streams - P1'!G22</f>
        <v>0</v>
      </c>
      <c r="G22" s="51">
        <f>'A.I Revenue Streams - P1'!I22</f>
        <v>0</v>
      </c>
      <c r="H22" s="51">
        <f>F22*G22</f>
        <v>0</v>
      </c>
      <c r="I22" s="54"/>
      <c r="J22" s="51">
        <f>F22*$J$17</f>
        <v>0</v>
      </c>
      <c r="K22" s="51">
        <f>G22*$K$17</f>
        <v>0</v>
      </c>
      <c r="L22" s="51">
        <f>J22*K22</f>
        <v>0</v>
      </c>
      <c r="M22" s="54"/>
      <c r="N22" s="51">
        <f>J22*$N$17</f>
        <v>0</v>
      </c>
      <c r="O22" s="51">
        <f>K22*$O$17</f>
        <v>0</v>
      </c>
      <c r="P22" s="51">
        <f>N22*O22</f>
        <v>0</v>
      </c>
      <c r="Q22" s="54"/>
      <c r="R22" s="51">
        <f>N22*$R$17</f>
        <v>0</v>
      </c>
      <c r="S22" s="51">
        <f>O22*$S$17</f>
        <v>0</v>
      </c>
      <c r="T22" s="51">
        <f>R22*S22</f>
        <v>0</v>
      </c>
      <c r="U22" s="54"/>
      <c r="V22" s="51">
        <f>R22*$V$17</f>
        <v>0</v>
      </c>
      <c r="W22" s="51">
        <f>S22*$W$17</f>
        <v>0</v>
      </c>
      <c r="X22" s="51">
        <f>V22*W22</f>
        <v>0</v>
      </c>
      <c r="Y22" s="54"/>
      <c r="Z22" s="51">
        <f>V22*$Z$17</f>
        <v>0</v>
      </c>
      <c r="AA22" s="51">
        <f>W22*$AA$17</f>
        <v>0</v>
      </c>
      <c r="AB22" s="51">
        <f>Z22*AA22</f>
        <v>0</v>
      </c>
      <c r="AC22" s="54"/>
      <c r="AD22" s="51">
        <f>Z22*$AD$17</f>
        <v>0</v>
      </c>
      <c r="AE22" s="51">
        <f>AA22*$AE$17</f>
        <v>0</v>
      </c>
      <c r="AF22" s="51">
        <f>AD22*AE22</f>
        <v>0</v>
      </c>
      <c r="AG22" s="54"/>
      <c r="AH22" s="51">
        <f>AD22*$AH$17</f>
        <v>0</v>
      </c>
      <c r="AI22" s="51">
        <f>AE22*$AI$17</f>
        <v>0</v>
      </c>
      <c r="AJ22" s="51">
        <f>AH22*AI22</f>
        <v>0</v>
      </c>
      <c r="AK22" s="54"/>
      <c r="AL22" s="51">
        <f>AH22*$AL$17</f>
        <v>0</v>
      </c>
      <c r="AM22" s="51">
        <f>AI22*$AM$17</f>
        <v>0</v>
      </c>
      <c r="AN22" s="51">
        <f>AL22*AM22</f>
        <v>0</v>
      </c>
      <c r="AO22" s="54"/>
      <c r="AP22" s="51">
        <f>AL22*$AP$17</f>
        <v>0</v>
      </c>
      <c r="AQ22" s="51">
        <f>AM22*$AQ$17</f>
        <v>0</v>
      </c>
      <c r="AR22" s="51">
        <f>AP22*AQ22</f>
        <v>0</v>
      </c>
      <c r="AS22" s="54"/>
      <c r="AT22" s="51">
        <f t="shared" si="174"/>
        <v>0</v>
      </c>
      <c r="AU22" s="51">
        <f t="shared" si="175"/>
        <v>0</v>
      </c>
      <c r="AV22" s="51">
        <f>AT22*AU22</f>
        <v>0</v>
      </c>
      <c r="AW22" s="54"/>
      <c r="AX22" s="51">
        <f t="shared" si="176"/>
        <v>0</v>
      </c>
      <c r="AY22" s="51">
        <f t="shared" si="177"/>
        <v>0</v>
      </c>
      <c r="AZ22" s="51">
        <f>AX22*AY22</f>
        <v>0</v>
      </c>
      <c r="BA22" s="54"/>
      <c r="BB22" s="51">
        <f t="shared" si="178"/>
        <v>0</v>
      </c>
      <c r="BC22" s="51">
        <f t="shared" si="179"/>
        <v>0</v>
      </c>
      <c r="BD22" s="51">
        <f>BB22*BC22</f>
        <v>0</v>
      </c>
      <c r="BE22" s="54"/>
      <c r="BF22" s="51">
        <f t="shared" si="180"/>
        <v>0</v>
      </c>
      <c r="BG22" s="51">
        <f t="shared" si="181"/>
        <v>0</v>
      </c>
      <c r="BH22" s="51">
        <f>BF22*BG22</f>
        <v>0</v>
      </c>
      <c r="BI22" s="54"/>
      <c r="BJ22" s="51">
        <f t="shared" si="182"/>
        <v>0</v>
      </c>
      <c r="BK22" s="51">
        <f t="shared" si="183"/>
        <v>0</v>
      </c>
      <c r="BL22" s="51">
        <f>BJ22*BK22</f>
        <v>0</v>
      </c>
      <c r="BM22" s="54"/>
      <c r="BN22" s="51">
        <f t="shared" si="184"/>
        <v>0</v>
      </c>
      <c r="BO22" s="51">
        <f t="shared" si="185"/>
        <v>0</v>
      </c>
      <c r="BP22" s="51">
        <f>BN22*BO22</f>
        <v>0</v>
      </c>
      <c r="BQ22" s="54"/>
      <c r="BR22" s="51">
        <f t="shared" si="186"/>
        <v>0</v>
      </c>
      <c r="BS22" s="51">
        <f t="shared" si="187"/>
        <v>0</v>
      </c>
      <c r="BT22" s="51">
        <f>BR22*BS22</f>
        <v>0</v>
      </c>
      <c r="BU22" s="54"/>
      <c r="BV22" s="51">
        <f t="shared" si="188"/>
        <v>0</v>
      </c>
      <c r="BW22" s="51">
        <f t="shared" si="189"/>
        <v>0</v>
      </c>
      <c r="BX22" s="51">
        <f>BV22*BW22</f>
        <v>0</v>
      </c>
      <c r="BY22" s="54"/>
      <c r="BZ22" s="51">
        <f t="shared" si="190"/>
        <v>0</v>
      </c>
      <c r="CA22" s="51">
        <f t="shared" si="191"/>
        <v>0</v>
      </c>
      <c r="CB22" s="51">
        <f>BZ22*CA22</f>
        <v>0</v>
      </c>
      <c r="CC22" s="54"/>
      <c r="CD22" s="51">
        <f t="shared" si="192"/>
        <v>0</v>
      </c>
      <c r="CE22" s="51">
        <f t="shared" si="193"/>
        <v>0</v>
      </c>
      <c r="CF22" s="51">
        <f>CD22*CE22</f>
        <v>0</v>
      </c>
      <c r="CG22" s="54"/>
      <c r="CH22" s="51">
        <f t="shared" si="194"/>
        <v>0</v>
      </c>
      <c r="CI22" s="51">
        <f t="shared" si="195"/>
        <v>0</v>
      </c>
      <c r="CJ22" s="51">
        <f>CH22*CI22</f>
        <v>0</v>
      </c>
      <c r="CK22" s="54"/>
      <c r="CL22" s="51">
        <f>CH22*$CL$17</f>
        <v>0</v>
      </c>
      <c r="CM22" s="51">
        <f>CI22*$CM$17</f>
        <v>0</v>
      </c>
      <c r="CN22" s="51">
        <f>CL22*CM22</f>
        <v>0</v>
      </c>
      <c r="CO22" s="54"/>
      <c r="CP22" s="51">
        <f t="shared" si="196"/>
        <v>0</v>
      </c>
      <c r="CQ22" s="51">
        <f t="shared" si="197"/>
        <v>0</v>
      </c>
      <c r="CR22" s="51">
        <f>CP22*CQ22</f>
        <v>0</v>
      </c>
      <c r="CS22" s="54"/>
      <c r="CT22" s="51">
        <f t="shared" si="198"/>
        <v>0</v>
      </c>
      <c r="CU22" s="51">
        <f t="shared" si="199"/>
        <v>0</v>
      </c>
      <c r="CV22" s="51">
        <f>CT22*CU22</f>
        <v>0</v>
      </c>
      <c r="CW22" s="54"/>
      <c r="CX22" s="51">
        <f t="shared" si="200"/>
        <v>0</v>
      </c>
      <c r="CY22" s="51">
        <f t="shared" si="201"/>
        <v>0</v>
      </c>
      <c r="CZ22" s="51">
        <f>CX22*CY22</f>
        <v>0</v>
      </c>
      <c r="DA22" s="54"/>
      <c r="DB22" s="51">
        <f t="shared" si="202"/>
        <v>0</v>
      </c>
      <c r="DC22" s="51">
        <f t="shared" si="203"/>
        <v>0</v>
      </c>
      <c r="DD22" s="51">
        <f>DB22*DC22</f>
        <v>0</v>
      </c>
      <c r="DE22" s="54"/>
      <c r="DF22" s="51">
        <f t="shared" si="204"/>
        <v>0</v>
      </c>
      <c r="DG22" s="51">
        <f t="shared" si="205"/>
        <v>0</v>
      </c>
      <c r="DH22" s="51">
        <f>DF22*DG22</f>
        <v>0</v>
      </c>
      <c r="DI22" s="54"/>
      <c r="DJ22" s="51">
        <f t="shared" si="206"/>
        <v>0</v>
      </c>
      <c r="DK22" s="51">
        <f t="shared" si="207"/>
        <v>0</v>
      </c>
      <c r="DL22" s="51">
        <f>DJ22*DK22</f>
        <v>0</v>
      </c>
      <c r="DM22" s="54"/>
      <c r="DN22" s="51">
        <f t="shared" si="208"/>
        <v>0</v>
      </c>
      <c r="DO22" s="51">
        <f t="shared" si="264"/>
        <v>0</v>
      </c>
      <c r="DP22" s="51">
        <f>DN22*DO22</f>
        <v>0</v>
      </c>
      <c r="DQ22" s="54"/>
      <c r="DR22" s="51">
        <f t="shared" si="209"/>
        <v>0</v>
      </c>
      <c r="DS22" s="51">
        <f t="shared" si="210"/>
        <v>0</v>
      </c>
      <c r="DT22" s="51">
        <f>DR22*DS22</f>
        <v>0</v>
      </c>
      <c r="DU22" s="54"/>
      <c r="DV22" s="51">
        <f t="shared" si="211"/>
        <v>0</v>
      </c>
      <c r="DW22" s="51">
        <f t="shared" si="212"/>
        <v>0</v>
      </c>
      <c r="DX22" s="51">
        <f>DV22*DW22</f>
        <v>0</v>
      </c>
      <c r="DY22" s="54"/>
      <c r="DZ22" s="51">
        <f t="shared" si="213"/>
        <v>0</v>
      </c>
      <c r="EA22" s="51">
        <f t="shared" si="214"/>
        <v>0</v>
      </c>
      <c r="EB22" s="51">
        <f>DZ22*EA22</f>
        <v>0</v>
      </c>
      <c r="EC22" s="54"/>
      <c r="ED22" s="51">
        <f t="shared" si="215"/>
        <v>0</v>
      </c>
      <c r="EE22" s="51">
        <f t="shared" si="216"/>
        <v>0</v>
      </c>
      <c r="EF22" s="51">
        <f>ED22*EE22</f>
        <v>0</v>
      </c>
      <c r="EG22" s="54"/>
      <c r="EH22" s="51">
        <f>ED22*$EH$17</f>
        <v>0</v>
      </c>
      <c r="EI22" s="51">
        <f>EE22*$EI$17</f>
        <v>0</v>
      </c>
      <c r="EJ22" s="51">
        <f>EH22*EI22</f>
        <v>0</v>
      </c>
      <c r="EK22" s="54"/>
      <c r="EL22" s="51">
        <f t="shared" si="217"/>
        <v>0</v>
      </c>
      <c r="EM22" s="51">
        <f t="shared" si="218"/>
        <v>0</v>
      </c>
      <c r="EN22" s="51">
        <f>EL22*EM22</f>
        <v>0</v>
      </c>
      <c r="EO22" s="54"/>
      <c r="EP22" s="51">
        <f t="shared" si="219"/>
        <v>0</v>
      </c>
      <c r="EQ22" s="51">
        <f t="shared" si="220"/>
        <v>0</v>
      </c>
      <c r="ER22" s="51">
        <f>EP22*EQ22</f>
        <v>0</v>
      </c>
      <c r="ES22" s="54"/>
      <c r="ET22" s="51">
        <f t="shared" si="221"/>
        <v>0</v>
      </c>
      <c r="EU22" s="51">
        <f t="shared" si="265"/>
        <v>0</v>
      </c>
      <c r="EV22" s="51">
        <f>ET22*EU22</f>
        <v>0</v>
      </c>
      <c r="EW22" s="54"/>
      <c r="EX22" s="51">
        <f t="shared" si="222"/>
        <v>0</v>
      </c>
      <c r="EY22" s="51">
        <f t="shared" si="223"/>
        <v>0</v>
      </c>
      <c r="EZ22" s="51">
        <f>EX22*EY22</f>
        <v>0</v>
      </c>
      <c r="FA22" s="54"/>
      <c r="FB22" s="51">
        <f t="shared" si="224"/>
        <v>0</v>
      </c>
      <c r="FC22" s="51">
        <f t="shared" si="225"/>
        <v>0</v>
      </c>
      <c r="FD22" s="51">
        <f>FB22*FC22</f>
        <v>0</v>
      </c>
      <c r="FE22" s="54"/>
      <c r="FF22" s="51">
        <f t="shared" si="226"/>
        <v>0</v>
      </c>
      <c r="FG22" s="51">
        <f t="shared" si="227"/>
        <v>0</v>
      </c>
      <c r="FH22" s="51">
        <f>FF22*FG22</f>
        <v>0</v>
      </c>
      <c r="FI22" s="54"/>
      <c r="FJ22" s="51">
        <f t="shared" si="228"/>
        <v>0</v>
      </c>
      <c r="FK22" s="51">
        <f t="shared" si="229"/>
        <v>0</v>
      </c>
      <c r="FL22" s="51">
        <f>FJ22*FK22</f>
        <v>0</v>
      </c>
      <c r="FM22" s="54"/>
      <c r="FN22" s="51">
        <f t="shared" si="230"/>
        <v>0</v>
      </c>
      <c r="FO22" s="51">
        <f t="shared" si="231"/>
        <v>0</v>
      </c>
      <c r="FP22" s="51">
        <f>FN22*FO22</f>
        <v>0</v>
      </c>
      <c r="FQ22" s="54"/>
      <c r="FR22" s="51">
        <f>FN22*$FR$17</f>
        <v>0</v>
      </c>
      <c r="FS22" s="51">
        <f>FO22*$FS$17</f>
        <v>0</v>
      </c>
      <c r="FT22" s="51">
        <f>FR22*FS22</f>
        <v>0</v>
      </c>
      <c r="FU22" s="54"/>
      <c r="FV22" s="51">
        <f t="shared" si="234"/>
        <v>0</v>
      </c>
      <c r="FW22" s="51">
        <f t="shared" si="235"/>
        <v>0</v>
      </c>
      <c r="FX22" s="51">
        <f>FV22*FW22</f>
        <v>0</v>
      </c>
      <c r="FY22" s="54"/>
      <c r="FZ22" s="51">
        <f>FV22*$FZ$17</f>
        <v>0</v>
      </c>
      <c r="GA22" s="51">
        <f>FW22*$GA$17</f>
        <v>0</v>
      </c>
      <c r="GB22" s="51">
        <f>FZ22*GA22</f>
        <v>0</v>
      </c>
      <c r="GD22" s="51">
        <f>FZ22*$GD$17</f>
        <v>0</v>
      </c>
      <c r="GE22" s="51">
        <f>GA22*$GE$17</f>
        <v>0</v>
      </c>
      <c r="GF22" s="51">
        <f>GD22*GE22</f>
        <v>0</v>
      </c>
      <c r="GG22" s="54"/>
      <c r="GH22" s="51">
        <f>GD22*$GH$17</f>
        <v>0</v>
      </c>
      <c r="GI22" s="51">
        <f>GE22*$GI$17</f>
        <v>0</v>
      </c>
      <c r="GJ22" s="51">
        <f>GH22*GI22</f>
        <v>0</v>
      </c>
      <c r="GK22" s="54"/>
      <c r="GL22" s="51">
        <f>GH22*$GL$17</f>
        <v>0</v>
      </c>
      <c r="GM22" s="51">
        <f t="shared" si="241"/>
        <v>0</v>
      </c>
      <c r="GN22" s="51">
        <f>GL22*GM22</f>
        <v>0</v>
      </c>
      <c r="GO22" s="54"/>
      <c r="GP22" s="51">
        <f>GL22*$GP$17</f>
        <v>0</v>
      </c>
      <c r="GQ22" s="51">
        <f>GM22*$GQ$17</f>
        <v>0</v>
      </c>
      <c r="GR22" s="51">
        <f>GP22*GQ22</f>
        <v>0</v>
      </c>
      <c r="GS22" s="54"/>
      <c r="GT22" s="51">
        <f t="shared" si="244"/>
        <v>0</v>
      </c>
      <c r="GU22" s="51">
        <f t="shared" si="245"/>
        <v>0</v>
      </c>
      <c r="GV22" s="51">
        <f>GT22*GU22</f>
        <v>0</v>
      </c>
      <c r="GW22" s="54"/>
      <c r="GX22" s="51">
        <f t="shared" si="246"/>
        <v>0</v>
      </c>
      <c r="GY22" s="51">
        <f t="shared" si="247"/>
        <v>0</v>
      </c>
      <c r="GZ22" s="51">
        <f>GX22*GY22</f>
        <v>0</v>
      </c>
      <c r="HA22" s="54"/>
      <c r="HB22" s="51">
        <f t="shared" si="248"/>
        <v>0</v>
      </c>
      <c r="HC22" s="51">
        <f t="shared" si="249"/>
        <v>0</v>
      </c>
      <c r="HD22" s="51">
        <f>HB22*HC22</f>
        <v>0</v>
      </c>
      <c r="HE22" s="54"/>
      <c r="HF22" s="51">
        <f t="shared" si="250"/>
        <v>0</v>
      </c>
      <c r="HG22" s="51">
        <f t="shared" si="251"/>
        <v>0</v>
      </c>
      <c r="HH22" s="51">
        <f>HF22*HG22</f>
        <v>0</v>
      </c>
      <c r="HI22" s="54"/>
      <c r="HJ22" s="51">
        <f t="shared" si="252"/>
        <v>0</v>
      </c>
      <c r="HK22" s="51">
        <f t="shared" si="253"/>
        <v>0</v>
      </c>
      <c r="HL22" s="51">
        <f>HJ22*HK22</f>
        <v>0</v>
      </c>
      <c r="HM22" s="54"/>
      <c r="HN22" s="51">
        <f t="shared" si="254"/>
        <v>0</v>
      </c>
      <c r="HO22" s="51">
        <f t="shared" si="255"/>
        <v>0</v>
      </c>
      <c r="HP22" s="51">
        <f>HN22*HO22</f>
        <v>0</v>
      </c>
      <c r="HQ22" s="54"/>
      <c r="HR22" s="51">
        <f t="shared" si="256"/>
        <v>0</v>
      </c>
      <c r="HS22" s="51">
        <f t="shared" si="257"/>
        <v>0</v>
      </c>
      <c r="HT22" s="51">
        <f>HR22*HS22</f>
        <v>0</v>
      </c>
      <c r="HU22" s="54"/>
      <c r="HV22" s="51">
        <f t="shared" si="258"/>
        <v>0</v>
      </c>
      <c r="HW22" s="51">
        <f t="shared" si="259"/>
        <v>0</v>
      </c>
      <c r="HX22" s="51">
        <f>HV22*HW22</f>
        <v>0</v>
      </c>
      <c r="HZ22" s="51">
        <f>HV22*$HZ$17</f>
        <v>0</v>
      </c>
      <c r="IA22" s="51">
        <f>HW22*$IA$17</f>
        <v>0</v>
      </c>
      <c r="IB22" s="51">
        <f>HZ22*IA22</f>
        <v>0</v>
      </c>
      <c r="IC22" s="54"/>
      <c r="ID22" s="51">
        <f t="shared" si="260"/>
        <v>0</v>
      </c>
      <c r="IE22" s="51">
        <f t="shared" si="261"/>
        <v>0</v>
      </c>
      <c r="IF22" s="51">
        <f>ID22*IE22</f>
        <v>0</v>
      </c>
      <c r="IG22" s="54"/>
      <c r="IH22" s="51">
        <f t="shared" si="262"/>
        <v>0</v>
      </c>
      <c r="II22" s="51">
        <f t="shared" si="263"/>
        <v>0</v>
      </c>
      <c r="IJ22" s="51">
        <f>IH22*II22</f>
        <v>0</v>
      </c>
      <c r="IK22" s="54"/>
      <c r="IL22" s="80">
        <f>SUMIFS($F22:$IK22,$F$3:$IK$3,IL$5,$F$6:$IK$6,IL$6)</f>
        <v>0</v>
      </c>
      <c r="IM22" s="80">
        <v>0</v>
      </c>
      <c r="IN22" s="80">
        <f>SUMIFS($F22:$IK22,$F$3:$IK$3,IL$5,$F$6:$IK$6,IN$6)</f>
        <v>0</v>
      </c>
      <c r="IP22" s="80">
        <f>SUMIFS($F22:$IK22,$F$3:$IK$3,IP$5,$F$6:$IK$6,IP$6)</f>
        <v>0</v>
      </c>
      <c r="IQ22" s="80">
        <v>0</v>
      </c>
      <c r="IR22" s="80">
        <f>SUMIFS($F22:$IK22,$F$3:$IK$3,IP$5,$F$6:$IK$6,IR$6)</f>
        <v>0</v>
      </c>
      <c r="IT22" s="80">
        <f>SUMIFS($F22:$IK22,$F$3:$IK$3,IT$5,$F$6:$IK$6,IT$6)</f>
        <v>0</v>
      </c>
      <c r="IU22" s="80">
        <v>0</v>
      </c>
      <c r="IV22" s="80">
        <f>SUMIFS($F22:$IK22,$F$3:$IK$3,IT$5,$F$6:$IK$6,IV$6)</f>
        <v>0</v>
      </c>
      <c r="IX22" s="80">
        <f>SUMIFS($F22:$IK22,$F$3:$IK$3,IX$5,$F$6:$IK$6,IX$6)</f>
        <v>0</v>
      </c>
      <c r="IY22" s="80">
        <v>0</v>
      </c>
      <c r="IZ22" s="80">
        <f>SUMIFS($F22:$IK22,$F$3:$IK$3,IX$5,$F$6:$IK$6,IZ$6)</f>
        <v>0</v>
      </c>
      <c r="JB22" s="80">
        <f>SUMIFS($F22:$IK22,$F$3:$IK$3,JB$5,$F$6:$IK$6,JB$6)</f>
        <v>0</v>
      </c>
      <c r="JC22" s="80">
        <v>0</v>
      </c>
      <c r="JD22" s="80">
        <f>SUMIFS($F22:$IK22,$F$3:$IK$3,JB$5,$F$6:$IK$6,JD$6)</f>
        <v>0</v>
      </c>
      <c r="JF22" s="80">
        <f>SUMIFS($F22:$IK22,$F$3:$IK$3,JF$5,$F$6:$IK$6,JF$6)</f>
        <v>0</v>
      </c>
      <c r="JG22" s="80">
        <v>0</v>
      </c>
      <c r="JH22" s="80">
        <f>SUMIFS($F22:$IK22,$F$3:$IK$3,JF$5,$F$6:$IK$6,JH$6)</f>
        <v>0</v>
      </c>
    </row>
    <row r="23" ht="18.75" customHeight="1" spans="2:268" x14ac:dyDescent="0.25">
      <c r="B23" s="5" t="s">
        <v>64</v>
      </c>
      <c r="C23" s="29"/>
      <c r="D23" s="29">
        <f>'A.I Revenue Streams - P1'!E23</f>
        <v>0</v>
      </c>
      <c r="E23" s="30"/>
      <c r="F23" s="51">
        <f>'A.I Revenue Streams - P1'!G23</f>
        <v>0</v>
      </c>
      <c r="G23" s="51">
        <f>'A.I Revenue Streams - P1'!I23</f>
        <v>0</v>
      </c>
      <c r="H23" s="51">
        <f>F23*G23</f>
        <v>0</v>
      </c>
      <c r="I23" s="54"/>
      <c r="J23" s="51">
        <f>F23*$J$17</f>
        <v>0</v>
      </c>
      <c r="K23" s="51">
        <f>G23*$K$17</f>
        <v>0</v>
      </c>
      <c r="L23" s="51">
        <f>J23*K23</f>
        <v>0</v>
      </c>
      <c r="M23" s="54"/>
      <c r="N23" s="51">
        <f>J23*$N$17</f>
        <v>0</v>
      </c>
      <c r="O23" s="51">
        <f>K23*$O$17</f>
        <v>0</v>
      </c>
      <c r="P23" s="51">
        <f>N23*O23</f>
        <v>0</v>
      </c>
      <c r="Q23" s="54"/>
      <c r="R23" s="51">
        <f>N23*$R$17</f>
        <v>0</v>
      </c>
      <c r="S23" s="51">
        <f>O23*$S$17</f>
        <v>0</v>
      </c>
      <c r="T23" s="51">
        <f>R23*S23</f>
        <v>0</v>
      </c>
      <c r="U23" s="54"/>
      <c r="V23" s="51">
        <f>R23*$V$17</f>
        <v>0</v>
      </c>
      <c r="W23" s="51">
        <f>S23*$W$17</f>
        <v>0</v>
      </c>
      <c r="X23" s="51">
        <f>V23*W23</f>
        <v>0</v>
      </c>
      <c r="Y23" s="54"/>
      <c r="Z23" s="51">
        <f>V23*$Z$17</f>
        <v>0</v>
      </c>
      <c r="AA23" s="51">
        <f>W23*$AA$17</f>
        <v>0</v>
      </c>
      <c r="AB23" s="51">
        <f>Z23*AA23</f>
        <v>0</v>
      </c>
      <c r="AC23" s="54"/>
      <c r="AD23" s="51">
        <f>Z23*$AD$17</f>
        <v>0</v>
      </c>
      <c r="AE23" s="51">
        <f>AA23*$AE$17</f>
        <v>0</v>
      </c>
      <c r="AF23" s="51">
        <f>AD23*AE23</f>
        <v>0</v>
      </c>
      <c r="AG23" s="54"/>
      <c r="AH23" s="51">
        <f>AD23*$AH$17</f>
        <v>0</v>
      </c>
      <c r="AI23" s="51">
        <f>AE23*$AI$17</f>
        <v>0</v>
      </c>
      <c r="AJ23" s="51">
        <f>AH23*AI23</f>
        <v>0</v>
      </c>
      <c r="AK23" s="54"/>
      <c r="AL23" s="51">
        <f>AH23*$AL$17</f>
        <v>0</v>
      </c>
      <c r="AM23" s="51">
        <f>AI23*$AM$17</f>
        <v>0</v>
      </c>
      <c r="AN23" s="51">
        <f>AL23*AM23</f>
        <v>0</v>
      </c>
      <c r="AO23" s="54"/>
      <c r="AP23" s="51">
        <f>AL23*$AP$17</f>
        <v>0</v>
      </c>
      <c r="AQ23" s="51">
        <f>AM23*$AQ$17</f>
        <v>0</v>
      </c>
      <c r="AR23" s="51">
        <f>AP23*AQ23</f>
        <v>0</v>
      </c>
      <c r="AS23" s="54"/>
      <c r="AT23" s="51">
        <f t="shared" ref="AT23" si="266">AP23*$AT$17</f>
        <v>0</v>
      </c>
      <c r="AU23" s="51">
        <f t="shared" ref="AU23" si="267">AQ23*$AU$17</f>
        <v>0</v>
      </c>
      <c r="AV23" s="51">
        <f>AT23*AU23</f>
        <v>0</v>
      </c>
      <c r="AW23" s="54"/>
      <c r="AX23" s="51">
        <f t="shared" ref="AX23" si="268">AT23*$AX$17</f>
        <v>0</v>
      </c>
      <c r="AY23" s="51">
        <f t="shared" ref="AY23" si="269">AU23*$AY$17</f>
        <v>0</v>
      </c>
      <c r="AZ23" s="51">
        <f>AX23*AY23</f>
        <v>0</v>
      </c>
      <c r="BA23" s="54"/>
      <c r="BB23" s="51">
        <f t="shared" ref="BB23" si="270">AX23*$BB$17</f>
        <v>0</v>
      </c>
      <c r="BC23" s="51">
        <f t="shared" ref="BC23" si="271">AY23*$BC$17</f>
        <v>0</v>
      </c>
      <c r="BD23" s="51">
        <f>BB23*BC23</f>
        <v>0</v>
      </c>
      <c r="BE23" s="54"/>
      <c r="BF23" s="51">
        <f t="shared" ref="BF23" si="272">BB23*$BF$17</f>
        <v>0</v>
      </c>
      <c r="BG23" s="51">
        <f t="shared" ref="BG23" si="273">BC23*$BG$17</f>
        <v>0</v>
      </c>
      <c r="BH23" s="51">
        <f>BF23*BG23</f>
        <v>0</v>
      </c>
      <c r="BI23" s="54"/>
      <c r="BJ23" s="51">
        <f t="shared" ref="BJ23" si="274">BF23*$BJ$17</f>
        <v>0</v>
      </c>
      <c r="BK23" s="51">
        <f t="shared" ref="BK23" si="275">BG23*$BK$17</f>
        <v>0</v>
      </c>
      <c r="BL23" s="51">
        <f>BJ23*BK23</f>
        <v>0</v>
      </c>
      <c r="BM23" s="54"/>
      <c r="BN23" s="51">
        <f t="shared" ref="BN23" si="276">BJ23*$BN$17</f>
        <v>0</v>
      </c>
      <c r="BO23" s="51">
        <f t="shared" ref="BO23" si="277">BK23*$BO$17</f>
        <v>0</v>
      </c>
      <c r="BP23" s="51">
        <f>BN23*BO23</f>
        <v>0</v>
      </c>
      <c r="BQ23" s="54"/>
      <c r="BR23" s="51">
        <f t="shared" ref="BR23" si="278">BN23*$BR$17</f>
        <v>0</v>
      </c>
      <c r="BS23" s="51">
        <f t="shared" ref="BS23" si="279">BO23*$BS$17</f>
        <v>0</v>
      </c>
      <c r="BT23" s="51">
        <f>BR23*BS23</f>
        <v>0</v>
      </c>
      <c r="BU23" s="54"/>
      <c r="BV23" s="51">
        <f t="shared" ref="BV23" si="280">BR23*$BV$17</f>
        <v>0</v>
      </c>
      <c r="BW23" s="51">
        <f t="shared" ref="BW23" si="281">BS23*$BW$17</f>
        <v>0</v>
      </c>
      <c r="BX23" s="51">
        <f>BV23*BW23</f>
        <v>0</v>
      </c>
      <c r="BY23" s="54"/>
      <c r="BZ23" s="51">
        <f t="shared" ref="BZ23" si="282">BV23*$BZ$17</f>
        <v>0</v>
      </c>
      <c r="CA23" s="51">
        <f t="shared" ref="CA23" si="283">BW23*$CA$17</f>
        <v>0</v>
      </c>
      <c r="CB23" s="51">
        <f>BZ23*CA23</f>
        <v>0</v>
      </c>
      <c r="CC23" s="54"/>
      <c r="CD23" s="51">
        <f t="shared" ref="CD23" si="284">BZ23*$CD$17</f>
        <v>0</v>
      </c>
      <c r="CE23" s="51">
        <f t="shared" ref="CE23" si="285">CA23*$CE$17</f>
        <v>0</v>
      </c>
      <c r="CF23" s="51">
        <f>CD23*CE23</f>
        <v>0</v>
      </c>
      <c r="CG23" s="54"/>
      <c r="CH23" s="51">
        <f t="shared" ref="CH23" si="286">CD23*$CH$17</f>
        <v>0</v>
      </c>
      <c r="CI23" s="51">
        <f t="shared" ref="CI23" si="287">CE23*$CI$17</f>
        <v>0</v>
      </c>
      <c r="CJ23" s="51">
        <f>CH23*CI23</f>
        <v>0</v>
      </c>
      <c r="CK23" s="54"/>
      <c r="CL23" s="51">
        <f>CH23*$CL$17</f>
        <v>0</v>
      </c>
      <c r="CM23" s="51">
        <f>CI23*$CM$17</f>
        <v>0</v>
      </c>
      <c r="CN23" s="51">
        <f>CL23*CM23</f>
        <v>0</v>
      </c>
      <c r="CO23" s="54"/>
      <c r="CP23" s="51">
        <f t="shared" ref="CP23" si="288">CL23*$CP$17</f>
        <v>0</v>
      </c>
      <c r="CQ23" s="51">
        <f t="shared" ref="CQ23" si="289">CM23*$CQ$17</f>
        <v>0</v>
      </c>
      <c r="CR23" s="51">
        <f>CP23*CQ23</f>
        <v>0</v>
      </c>
      <c r="CS23" s="54"/>
      <c r="CT23" s="51">
        <f t="shared" ref="CT23" si="290">CP23*$CT$17</f>
        <v>0</v>
      </c>
      <c r="CU23" s="51">
        <f t="shared" ref="CU23" si="291">CQ23*$CU$17</f>
        <v>0</v>
      </c>
      <c r="CV23" s="51">
        <f>CT23*CU23</f>
        <v>0</v>
      </c>
      <c r="CW23" s="54"/>
      <c r="CX23" s="51">
        <f t="shared" ref="CX23" si="292">CT23*$CX$17</f>
        <v>0</v>
      </c>
      <c r="CY23" s="51">
        <f t="shared" ref="CY23" si="293">CU23*$CY$17</f>
        <v>0</v>
      </c>
      <c r="CZ23" s="51">
        <f>CX23*CY23</f>
        <v>0</v>
      </c>
      <c r="DA23" s="54"/>
      <c r="DB23" s="51">
        <f t="shared" ref="DB23" si="294">CX23*$DB$17</f>
        <v>0</v>
      </c>
      <c r="DC23" s="51">
        <f t="shared" ref="DC23" si="295">CY23*$DC$17</f>
        <v>0</v>
      </c>
      <c r="DD23" s="51">
        <f>DB23*DC23</f>
        <v>0</v>
      </c>
      <c r="DE23" s="54"/>
      <c r="DF23" s="51">
        <f t="shared" ref="DF23" si="296">DB23*$DF$17</f>
        <v>0</v>
      </c>
      <c r="DG23" s="51">
        <f t="shared" ref="DG23" si="297">DC23*$DG$17</f>
        <v>0</v>
      </c>
      <c r="DH23" s="51">
        <f>DF23*DG23</f>
        <v>0</v>
      </c>
      <c r="DI23" s="54"/>
      <c r="DJ23" s="51">
        <f t="shared" ref="DJ23" si="298">DF23*$DJ$17</f>
        <v>0</v>
      </c>
      <c r="DK23" s="51">
        <f t="shared" ref="DK23" si="299">DG23*$DK$17</f>
        <v>0</v>
      </c>
      <c r="DL23" s="51">
        <f>DJ23*DK23</f>
        <v>0</v>
      </c>
      <c r="DM23" s="54"/>
      <c r="DN23" s="51">
        <f t="shared" ref="DN23" si="300">DJ23*$DN$17</f>
        <v>0</v>
      </c>
      <c r="DO23" s="51">
        <f t="shared" ref="DO23" si="301">DK23*$DO$17</f>
        <v>0</v>
      </c>
      <c r="DP23" s="51">
        <f>DN23*DO23</f>
        <v>0</v>
      </c>
      <c r="DQ23" s="54"/>
      <c r="DR23" s="51">
        <f t="shared" ref="DR23" si="302">DN23*$DR$17</f>
        <v>0</v>
      </c>
      <c r="DS23" s="51">
        <f t="shared" ref="DS23" si="303">DO23*$DS$17</f>
        <v>0</v>
      </c>
      <c r="DT23" s="51">
        <f>DR23*DS23</f>
        <v>0</v>
      </c>
      <c r="DU23" s="54"/>
      <c r="DV23" s="51">
        <f t="shared" ref="DV23" si="304">DR23*$DV$17</f>
        <v>0</v>
      </c>
      <c r="DW23" s="51">
        <f t="shared" ref="DW23" si="305">DS23*$DW$17</f>
        <v>0</v>
      </c>
      <c r="DX23" s="51">
        <f>DV23*DW23</f>
        <v>0</v>
      </c>
      <c r="DY23" s="54"/>
      <c r="DZ23" s="51">
        <f t="shared" ref="DZ23" si="306">DV23*$DZ$17</f>
        <v>0</v>
      </c>
      <c r="EA23" s="51">
        <f t="shared" ref="EA23" si="307">DW23*$EA$17</f>
        <v>0</v>
      </c>
      <c r="EB23" s="51">
        <f>DZ23*EA23</f>
        <v>0</v>
      </c>
      <c r="EC23" s="54"/>
      <c r="ED23" s="51">
        <f t="shared" ref="ED23" si="308">DZ23*$ED$17</f>
        <v>0</v>
      </c>
      <c r="EE23" s="51">
        <f t="shared" ref="EE23" si="309">EA23*$EE$17</f>
        <v>0</v>
      </c>
      <c r="EF23" s="51">
        <f>ED23*EE23</f>
        <v>0</v>
      </c>
      <c r="EG23" s="54"/>
      <c r="EH23" s="51">
        <f>ED23*$EH$17</f>
        <v>0</v>
      </c>
      <c r="EI23" s="51">
        <f>EE23*$EI$17</f>
        <v>0</v>
      </c>
      <c r="EJ23" s="51">
        <f>EH23*EI23</f>
        <v>0</v>
      </c>
      <c r="EK23" s="54"/>
      <c r="EL23" s="51">
        <f t="shared" ref="EL23" si="310">EH23*$EL$17</f>
        <v>0</v>
      </c>
      <c r="EM23" s="51">
        <f t="shared" ref="EM23" si="311">EI23*$EM$17</f>
        <v>0</v>
      </c>
      <c r="EN23" s="51">
        <f>EL23*EM23</f>
        <v>0</v>
      </c>
      <c r="EO23" s="54"/>
      <c r="EP23" s="51">
        <f t="shared" ref="EP23" si="312">EL23*$EP$17</f>
        <v>0</v>
      </c>
      <c r="EQ23" s="51">
        <f t="shared" ref="EQ23" si="313">EM23*$EQ$17</f>
        <v>0</v>
      </c>
      <c r="ER23" s="51">
        <f>EP23*EQ23</f>
        <v>0</v>
      </c>
      <c r="ES23" s="54"/>
      <c r="ET23" s="51">
        <f t="shared" ref="ET23" si="314">EP23*$ET$17</f>
        <v>0</v>
      </c>
      <c r="EU23" s="51">
        <f t="shared" ref="EU23" si="315">EQ23*$EU$17</f>
        <v>0</v>
      </c>
      <c r="EV23" s="51">
        <f>ET23*EU23</f>
        <v>0</v>
      </c>
      <c r="EW23" s="54"/>
      <c r="EX23" s="51">
        <f t="shared" ref="EX23" si="316">ET23*$EX$17</f>
        <v>0</v>
      </c>
      <c r="EY23" s="51">
        <f t="shared" ref="EY23" si="317">EU23*$EY$17</f>
        <v>0</v>
      </c>
      <c r="EZ23" s="51">
        <f>EX23*EY23</f>
        <v>0</v>
      </c>
      <c r="FA23" s="54"/>
      <c r="FB23" s="51">
        <f t="shared" ref="FB23" si="318">EX23*$FB$17</f>
        <v>0</v>
      </c>
      <c r="FC23" s="51">
        <f t="shared" ref="FC23" si="319">EY23*$FC$17</f>
        <v>0</v>
      </c>
      <c r="FD23" s="51">
        <f>FB23*FC23</f>
        <v>0</v>
      </c>
      <c r="FE23" s="54"/>
      <c r="FF23" s="51">
        <f t="shared" ref="FF23" si="320">FB23*$FF$17</f>
        <v>0</v>
      </c>
      <c r="FG23" s="51">
        <f t="shared" ref="FG23" si="321">FC23*$FG$17</f>
        <v>0</v>
      </c>
      <c r="FH23" s="51">
        <f>FF23*FG23</f>
        <v>0</v>
      </c>
      <c r="FI23" s="54"/>
      <c r="FJ23" s="51">
        <f t="shared" ref="FJ23" si="322">FF23*$FJ$17</f>
        <v>0</v>
      </c>
      <c r="FK23" s="51">
        <f t="shared" ref="FK23" si="323">FG23*$FK$17</f>
        <v>0</v>
      </c>
      <c r="FL23" s="51">
        <f>FJ23*FK23</f>
        <v>0</v>
      </c>
      <c r="FM23" s="54"/>
      <c r="FN23" s="51">
        <f t="shared" ref="FN23" si="324">FJ23*$FN$17</f>
        <v>0</v>
      </c>
      <c r="FO23" s="51">
        <f t="shared" ref="FO23" si="325">FK23*$FO$17</f>
        <v>0</v>
      </c>
      <c r="FP23" s="51">
        <f>FN23*FO23</f>
        <v>0</v>
      </c>
      <c r="FQ23" s="54"/>
      <c r="FR23" s="51">
        <f>FN23*$FR$17</f>
        <v>0</v>
      </c>
      <c r="FS23" s="51">
        <f>FO23*$FS$17</f>
        <v>0</v>
      </c>
      <c r="FT23" s="51">
        <f>FR23*FS23</f>
        <v>0</v>
      </c>
      <c r="FU23" s="54"/>
      <c r="FV23" s="51">
        <f t="shared" ref="FV23" si="326">FR23*$FV$17</f>
        <v>0</v>
      </c>
      <c r="FW23" s="51">
        <f t="shared" ref="FW23" si="327">FS23*$FW$17</f>
        <v>0</v>
      </c>
      <c r="FX23" s="51">
        <f>FV23*FW23</f>
        <v>0</v>
      </c>
      <c r="FY23" s="54"/>
      <c r="FZ23" s="51">
        <f>FV23*$FZ$17</f>
        <v>0</v>
      </c>
      <c r="GA23" s="51">
        <f>FW23*$GA$17</f>
        <v>0</v>
      </c>
      <c r="GB23" s="51">
        <f>FZ23*GA23</f>
        <v>0</v>
      </c>
      <c r="GD23" s="51">
        <f>FZ23*$GD$17</f>
        <v>0</v>
      </c>
      <c r="GE23" s="51">
        <f>GA23*$GE$17</f>
        <v>0</v>
      </c>
      <c r="GF23" s="51">
        <f>GD23*GE23</f>
        <v>0</v>
      </c>
      <c r="GG23" s="54"/>
      <c r="GH23" s="51">
        <f>GD23*$GH$17</f>
        <v>0</v>
      </c>
      <c r="GI23" s="51">
        <f>GE23*$GI$17</f>
        <v>0</v>
      </c>
      <c r="GJ23" s="51">
        <f>GH23*GI23</f>
        <v>0</v>
      </c>
      <c r="GK23" s="54"/>
      <c r="GL23" s="51">
        <f>GH23*$GL$17</f>
        <v>0</v>
      </c>
      <c r="GM23" s="51">
        <f t="shared" ref="GM23" si="328">GI23*$GM$17</f>
        <v>0</v>
      </c>
      <c r="GN23" s="51">
        <f>GL23*GM23</f>
        <v>0</v>
      </c>
      <c r="GO23" s="54"/>
      <c r="GP23" s="51">
        <f>GL23*$GP$17</f>
        <v>0</v>
      </c>
      <c r="GQ23" s="51">
        <f>GM23*$GQ$17</f>
        <v>0</v>
      </c>
      <c r="GR23" s="51">
        <f>GP23*GQ23</f>
        <v>0</v>
      </c>
      <c r="GS23" s="54"/>
      <c r="GT23" s="51">
        <f t="shared" ref="GT23" si="329">GP23*$GT$17</f>
        <v>0</v>
      </c>
      <c r="GU23" s="51">
        <f t="shared" ref="GU23" si="330">GQ23*$GU$17</f>
        <v>0</v>
      </c>
      <c r="GV23" s="51">
        <f>GT23*GU23</f>
        <v>0</v>
      </c>
      <c r="GW23" s="54"/>
      <c r="GX23" s="51">
        <f t="shared" ref="GX23" si="331">GT23*$GX$17</f>
        <v>0</v>
      </c>
      <c r="GY23" s="51">
        <f t="shared" ref="GY23" si="332">GU23*$GY$17</f>
        <v>0</v>
      </c>
      <c r="GZ23" s="51">
        <f>GX23*GY23</f>
        <v>0</v>
      </c>
      <c r="HA23" s="54"/>
      <c r="HB23" s="51">
        <f t="shared" ref="HB23" si="333">GX23*$HB$17</f>
        <v>0</v>
      </c>
      <c r="HC23" s="51">
        <f t="shared" ref="HC23" si="334">GY23*$HC$17</f>
        <v>0</v>
      </c>
      <c r="HD23" s="51">
        <f>HB23*HC23</f>
        <v>0</v>
      </c>
      <c r="HE23" s="54"/>
      <c r="HF23" s="51">
        <f t="shared" ref="HF23" si="335">HB23*$HF$17</f>
        <v>0</v>
      </c>
      <c r="HG23" s="51">
        <f t="shared" ref="HG23" si="336">HC23*$HG$17</f>
        <v>0</v>
      </c>
      <c r="HH23" s="51">
        <f>HF23*HG23</f>
        <v>0</v>
      </c>
      <c r="HI23" s="54"/>
      <c r="HJ23" s="51">
        <f t="shared" ref="HJ23" si="337">HF23*$HJ$17</f>
        <v>0</v>
      </c>
      <c r="HK23" s="51">
        <f t="shared" ref="HK23" si="338">HG23*$HK$17</f>
        <v>0</v>
      </c>
      <c r="HL23" s="51">
        <f>HJ23*HK23</f>
        <v>0</v>
      </c>
      <c r="HM23" s="54"/>
      <c r="HN23" s="51">
        <f t="shared" ref="HN23" si="339">HJ23*$HN$17</f>
        <v>0</v>
      </c>
      <c r="HO23" s="51">
        <f t="shared" ref="HO23" si="340">HK23*$HO$17</f>
        <v>0</v>
      </c>
      <c r="HP23" s="51">
        <f>HN23*HO23</f>
        <v>0</v>
      </c>
      <c r="HQ23" s="54"/>
      <c r="HR23" s="51">
        <f t="shared" ref="HR23" si="341">HN23*$HR$17</f>
        <v>0</v>
      </c>
      <c r="HS23" s="51">
        <f t="shared" ref="HS23" si="342">HO23*$HS$17</f>
        <v>0</v>
      </c>
      <c r="HT23" s="51">
        <f>HR23*HS23</f>
        <v>0</v>
      </c>
      <c r="HU23" s="54"/>
      <c r="HV23" s="51">
        <f t="shared" ref="HV23" si="343">HR23*$HV$17</f>
        <v>0</v>
      </c>
      <c r="HW23" s="51">
        <f t="shared" ref="HW23" si="344">HS23*$HW$17</f>
        <v>0</v>
      </c>
      <c r="HX23" s="51">
        <f>HV23*HW23</f>
        <v>0</v>
      </c>
      <c r="HZ23" s="51">
        <f>HV23*$HZ$17</f>
        <v>0</v>
      </c>
      <c r="IA23" s="51">
        <f>HW23*$IA$17</f>
        <v>0</v>
      </c>
      <c r="IB23" s="51">
        <f>HZ23*IA23</f>
        <v>0</v>
      </c>
      <c r="IC23" s="54"/>
      <c r="ID23" s="51">
        <f t="shared" ref="ID23" si="345">HZ23*$ID$17</f>
        <v>0</v>
      </c>
      <c r="IE23" s="51">
        <f t="shared" ref="IE23" si="346">IA23*$IE$17</f>
        <v>0</v>
      </c>
      <c r="IF23" s="51">
        <f>ID23*IE23</f>
        <v>0</v>
      </c>
      <c r="IG23" s="54"/>
      <c r="IH23" s="51">
        <f t="shared" ref="IH23" si="347">ID23*$IH$17</f>
        <v>0</v>
      </c>
      <c r="II23" s="51">
        <f t="shared" ref="II23" si="348">IE23*$II$17</f>
        <v>0</v>
      </c>
      <c r="IJ23" s="51">
        <f>IH23*II23</f>
        <v>0</v>
      </c>
      <c r="IK23" s="54"/>
      <c r="IL23" s="80">
        <f>SUMIFS($F23:$IK23,$F$3:$IK$3,IL$5,$F$6:$IK$6,IL$6)</f>
        <v>0</v>
      </c>
      <c r="IM23" s="80">
        <v>0</v>
      </c>
      <c r="IN23" s="80">
        <f>SUMIFS($F23:$IK23,$F$3:$IK$3,IL$5,$F$6:$IK$6,IN$6)</f>
        <v>0</v>
      </c>
      <c r="IP23" s="80">
        <f>SUMIFS($F23:$IK23,$F$3:$IK$3,IP$5,$F$6:$IK$6,IP$6)</f>
        <v>0</v>
      </c>
      <c r="IQ23" s="80">
        <v>0</v>
      </c>
      <c r="IR23" s="80">
        <f>SUMIFS($F23:$IK23,$F$3:$IK$3,IP$5,$F$6:$IK$6,IR$6)</f>
        <v>0</v>
      </c>
      <c r="IT23" s="80">
        <f>SUMIFS($F23:$IK23,$F$3:$IK$3,IT$5,$F$6:$IK$6,IT$6)</f>
        <v>0</v>
      </c>
      <c r="IU23" s="80">
        <v>0</v>
      </c>
      <c r="IV23" s="80">
        <f>SUMIFS($F23:$IK23,$F$3:$IK$3,IT$5,$F$6:$IK$6,IV$6)</f>
        <v>0</v>
      </c>
      <c r="IX23" s="80">
        <f>SUMIFS($F23:$IK23,$F$3:$IK$3,IX$5,$F$6:$IK$6,IX$6)</f>
        <v>0</v>
      </c>
      <c r="IY23" s="80">
        <v>0</v>
      </c>
      <c r="IZ23" s="80">
        <f>SUMIFS($F23:$IK23,$F$3:$IK$3,IX$5,$F$6:$IK$6,IZ$6)</f>
        <v>0</v>
      </c>
      <c r="JB23" s="80">
        <f>SUMIFS($F23:$IK23,$F$3:$IK$3,JB$5,$F$6:$IK$6,JB$6)</f>
        <v>0</v>
      </c>
      <c r="JC23" s="80">
        <v>0</v>
      </c>
      <c r="JD23" s="80">
        <f>SUMIFS($F23:$IK23,$F$3:$IK$3,JB$5,$F$6:$IK$6,JD$6)</f>
        <v>0</v>
      </c>
      <c r="JF23" s="80">
        <f>SUMIFS($F23:$IK23,$F$3:$IK$3,JF$5,$F$6:$IK$6,JF$6)</f>
        <v>0</v>
      </c>
      <c r="JG23" s="80">
        <v>0</v>
      </c>
      <c r="JH23" s="80">
        <f>SUMIFS($F23:$IK23,$F$3:$IK$3,JF$5,$F$6:$IK$6,JH$6)</f>
        <v>0</v>
      </c>
    </row>
    <row r="24" ht="18.75" customHeight="1" spans="2:268" x14ac:dyDescent="0.25">
      <c r="B24" s="34" t="s">
        <v>58</v>
      </c>
      <c r="C24" s="34"/>
      <c r="D24" s="34"/>
      <c r="E24" s="30"/>
      <c r="F24" s="81">
        <f>SUM(F19:F23)</f>
        <v>0</v>
      </c>
      <c r="G24" s="81"/>
      <c r="H24" s="81">
        <f>SUM(H19:H23)</f>
        <v>0</v>
      </c>
      <c r="I24" s="81"/>
      <c r="J24" s="81">
        <f>SUM(J19:J23)</f>
        <v>0</v>
      </c>
      <c r="K24" s="81"/>
      <c r="L24" s="81">
        <f>SUM(L19:L23)</f>
        <v>0</v>
      </c>
      <c r="M24" s="81"/>
      <c r="N24" s="81">
        <f>SUM(N19:N23)</f>
        <v>0</v>
      </c>
      <c r="O24" s="81"/>
      <c r="P24" s="81">
        <f>SUM(P19:P23)</f>
        <v>0</v>
      </c>
      <c r="Q24" s="81"/>
      <c r="R24" s="81">
        <f>SUM(R19:R23)</f>
        <v>0</v>
      </c>
      <c r="S24" s="81"/>
      <c r="T24" s="81">
        <f>SUM(T19:T23)</f>
        <v>0</v>
      </c>
      <c r="U24" s="81"/>
      <c r="V24" s="81">
        <f>SUM(V19:V23)</f>
        <v>0</v>
      </c>
      <c r="W24" s="81"/>
      <c r="X24" s="81">
        <f>SUM(X19:X23)</f>
        <v>0</v>
      </c>
      <c r="Y24" s="81"/>
      <c r="Z24" s="81">
        <f>SUM(Z19:Z23)</f>
        <v>0</v>
      </c>
      <c r="AA24" s="81"/>
      <c r="AB24" s="81">
        <f>SUM(AB19:AB23)</f>
        <v>0</v>
      </c>
      <c r="AC24" s="81"/>
      <c r="AD24" s="81">
        <f>SUM(AD19:AD23)</f>
        <v>0</v>
      </c>
      <c r="AE24" s="81"/>
      <c r="AF24" s="81">
        <f>SUM(AF19:AF23)</f>
        <v>0</v>
      </c>
      <c r="AG24" s="81"/>
      <c r="AH24" s="81">
        <f>SUM(AH19:AH23)</f>
        <v>0</v>
      </c>
      <c r="AI24" s="81"/>
      <c r="AJ24" s="81">
        <f>SUM(AJ19:AJ23)</f>
        <v>0</v>
      </c>
      <c r="AK24" s="81"/>
      <c r="AL24" s="81">
        <f>SUM(AL19:AL23)</f>
        <v>0</v>
      </c>
      <c r="AM24" s="81"/>
      <c r="AN24" s="81">
        <f>SUM(AN19:AN23)</f>
        <v>0</v>
      </c>
      <c r="AO24" s="81"/>
      <c r="AP24" s="81">
        <f>SUM(AP19:AP23)</f>
        <v>0</v>
      </c>
      <c r="AQ24" s="81"/>
      <c r="AR24" s="81">
        <f>SUM(AR19:AR23)</f>
        <v>0</v>
      </c>
      <c r="AS24" s="81"/>
      <c r="AT24" s="81">
        <f>SUM(AT19:AT23)</f>
        <v>0</v>
      </c>
      <c r="AU24" s="81"/>
      <c r="AV24" s="81">
        <f>SUM(AV19:AV23)</f>
        <v>0</v>
      </c>
      <c r="AW24" s="81"/>
      <c r="AX24" s="81">
        <f>SUM(AX19:AX23)</f>
        <v>0</v>
      </c>
      <c r="AY24" s="81"/>
      <c r="AZ24" s="81">
        <f>SUM(AZ19:AZ23)</f>
        <v>0</v>
      </c>
      <c r="BA24" s="81"/>
      <c r="BB24" s="81">
        <f>SUM(BB19:BB23)</f>
        <v>0</v>
      </c>
      <c r="BC24" s="81"/>
      <c r="BD24" s="81">
        <f>SUM(BD19:BD23)</f>
        <v>0</v>
      </c>
      <c r="BE24" s="81"/>
      <c r="BF24" s="81">
        <f>SUM(BF19:BF23)</f>
        <v>0</v>
      </c>
      <c r="BG24" s="81"/>
      <c r="BH24" s="81">
        <f>SUM(BH19:BH23)</f>
        <v>0</v>
      </c>
      <c r="BI24" s="81"/>
      <c r="BJ24" s="81">
        <f>SUM(BJ19:BJ23)</f>
        <v>0</v>
      </c>
      <c r="BK24" s="81"/>
      <c r="BL24" s="81">
        <f>SUM(BL19:BL23)</f>
        <v>0</v>
      </c>
      <c r="BM24" s="81"/>
      <c r="BN24" s="81">
        <f>SUM(BN19:BN23)</f>
        <v>0</v>
      </c>
      <c r="BO24" s="81"/>
      <c r="BP24" s="81">
        <f>SUM(BP19:BP23)</f>
        <v>0</v>
      </c>
      <c r="BQ24" s="81"/>
      <c r="BR24" s="81">
        <f>SUM(BR19:BR23)</f>
        <v>0</v>
      </c>
      <c r="BS24" s="81"/>
      <c r="BT24" s="81">
        <f>SUM(BT19:BT23)</f>
        <v>0</v>
      </c>
      <c r="BU24" s="81"/>
      <c r="BV24" s="81">
        <f>SUM(BV19:BV23)</f>
        <v>0</v>
      </c>
      <c r="BW24" s="81"/>
      <c r="BX24" s="81">
        <f>SUM(BX19:BX23)</f>
        <v>0</v>
      </c>
      <c r="BY24" s="81"/>
      <c r="BZ24" s="81">
        <f>SUM(BZ19:BZ23)</f>
        <v>0</v>
      </c>
      <c r="CA24" s="81"/>
      <c r="CB24" s="81">
        <f>SUM(CB19:CB23)</f>
        <v>0</v>
      </c>
      <c r="CC24" s="81"/>
      <c r="CD24" s="81">
        <f>SUM(CD19:CD23)</f>
        <v>0</v>
      </c>
      <c r="CE24" s="81"/>
      <c r="CF24" s="81">
        <f>SUM(CF19:CF23)</f>
        <v>0</v>
      </c>
      <c r="CG24" s="81"/>
      <c r="CH24" s="81">
        <f>SUM(CH19:CH23)</f>
        <v>0</v>
      </c>
      <c r="CI24" s="81"/>
      <c r="CJ24" s="81">
        <f>SUM(CJ19:CJ23)</f>
        <v>0</v>
      </c>
      <c r="CK24" s="81"/>
      <c r="CL24" s="81">
        <f>SUM(CL19:CL23)</f>
        <v>60700.615490687655</v>
      </c>
      <c r="CM24" s="81"/>
      <c r="CN24" s="81">
        <f>SUM(CN19:CN23)</f>
        <v>4856049.239255012</v>
      </c>
      <c r="CO24" s="81"/>
      <c r="CP24" s="81">
        <f>SUM(CP19:CP23)</f>
        <v>60700.615490687655</v>
      </c>
      <c r="CQ24" s="81"/>
      <c r="CR24" s="81">
        <f>SUM(CR19:CR23)</f>
        <v>4856049.239255012</v>
      </c>
      <c r="CS24" s="81"/>
      <c r="CT24" s="81">
        <f>SUM(CT19:CT23)</f>
        <v>60700.615490687655</v>
      </c>
      <c r="CU24" s="81"/>
      <c r="CV24" s="81">
        <f>SUM(CV19:CV23)</f>
        <v>4856049.239255012</v>
      </c>
      <c r="CW24" s="81"/>
      <c r="CX24" s="81">
        <f>SUM(CX19:CX23)</f>
        <v>103191.046334169</v>
      </c>
      <c r="CY24" s="81"/>
      <c r="CZ24" s="81">
        <f>SUM(CZ19:CZ23)</f>
        <v>12382925.56010028</v>
      </c>
      <c r="DA24" s="81"/>
      <c r="DB24" s="81">
        <f>SUM(DB19:DB23)</f>
        <v>103191.046334169</v>
      </c>
      <c r="DC24" s="81"/>
      <c r="DD24" s="81">
        <f>SUM(DD19:DD23)</f>
        <v>12382925.56010028</v>
      </c>
      <c r="DE24" s="81"/>
      <c r="DF24" s="81">
        <f>SUM(DF19:DF23)</f>
        <v>103191.046334169</v>
      </c>
      <c r="DG24" s="81"/>
      <c r="DH24" s="81">
        <f>SUM(DH19:DH23)</f>
        <v>12382925.56010028</v>
      </c>
      <c r="DI24" s="81"/>
      <c r="DJ24" s="81">
        <f>SUM(DJ19:DJ23)</f>
        <v>103191.046334169</v>
      </c>
      <c r="DK24" s="81"/>
      <c r="DL24" s="81">
        <f>SUM(DL19:DL23)</f>
        <v>12382925.56010028</v>
      </c>
      <c r="DM24" s="81"/>
      <c r="DN24" s="81">
        <f>SUM(DN19:DN23)</f>
        <v>103191.046334169</v>
      </c>
      <c r="DO24" s="81"/>
      <c r="DP24" s="81">
        <f>SUM(DP19:DP23)</f>
        <v>12382925.56010028</v>
      </c>
      <c r="DQ24" s="81"/>
      <c r="DR24" s="81">
        <f>SUM(DR19:DR23)</f>
        <v>103191.046334169</v>
      </c>
      <c r="DS24" s="81"/>
      <c r="DT24" s="81">
        <f>SUM(DT19:DT23)</f>
        <v>12382925.56010028</v>
      </c>
      <c r="DU24" s="81"/>
      <c r="DV24" s="81">
        <f>SUM(DV19:DV23)</f>
        <v>103191.046334169</v>
      </c>
      <c r="DW24" s="81"/>
      <c r="DX24" s="81">
        <f>SUM(DX19:DX23)</f>
        <v>12382925.56010028</v>
      </c>
      <c r="DY24" s="81"/>
      <c r="DZ24" s="81">
        <f>SUM(DZ19:DZ23)</f>
        <v>103191.046334169</v>
      </c>
      <c r="EA24" s="81"/>
      <c r="EB24" s="81">
        <f>SUM(EB19:EB23)</f>
        <v>12382925.56010028</v>
      </c>
      <c r="EC24" s="81"/>
      <c r="ED24" s="81">
        <f>SUM(ED19:ED23)</f>
        <v>103191.046334169</v>
      </c>
      <c r="EE24" s="81"/>
      <c r="EF24" s="81">
        <f>SUM(EF19:EF23)</f>
        <v>12382925.56010028</v>
      </c>
      <c r="EG24" s="81"/>
      <c r="EH24" s="81">
        <f>SUM(EH19:EH23)</f>
        <v>103191.046334169</v>
      </c>
      <c r="EI24" s="81"/>
      <c r="EJ24" s="81">
        <f>SUM(EJ19:EJ23)</f>
        <v>12382925.56010028</v>
      </c>
      <c r="EK24" s="81"/>
      <c r="EL24" s="81">
        <f>SUM(EL19:EL23)</f>
        <v>103191.046334169</v>
      </c>
      <c r="EM24" s="81"/>
      <c r="EN24" s="81">
        <f>SUM(EN19:EN23)</f>
        <v>12382925.56010028</v>
      </c>
      <c r="EO24" s="81"/>
      <c r="EP24" s="81">
        <f>SUM(EP19:EP23)</f>
        <v>103191.046334169</v>
      </c>
      <c r="EQ24" s="81"/>
      <c r="ER24" s="81">
        <f>SUM(ER19:ER23)</f>
        <v>12382925.56010028</v>
      </c>
      <c r="ES24" s="81"/>
      <c r="ET24" s="81">
        <f>SUM(ET19:ET23)</f>
        <v>159946.12181796198</v>
      </c>
      <c r="EU24" s="81"/>
      <c r="EV24" s="81">
        <f>SUM(EV19:EV23)</f>
        <v>19193534.61815544</v>
      </c>
      <c r="EW24" s="81"/>
      <c r="EX24" s="81">
        <f>SUM(EX19:EX23)</f>
        <v>159946.12181796198</v>
      </c>
      <c r="EY24" s="81"/>
      <c r="EZ24" s="81">
        <f>SUM(EZ19:EZ23)</f>
        <v>19193534.61815544</v>
      </c>
      <c r="FA24" s="81"/>
      <c r="FB24" s="81">
        <f>SUM(FB19:FB23)</f>
        <v>159946.12181796198</v>
      </c>
      <c r="FC24" s="81"/>
      <c r="FD24" s="81">
        <f>SUM(FD19:FD23)</f>
        <v>19193534.61815544</v>
      </c>
      <c r="FE24" s="81"/>
      <c r="FF24" s="81">
        <f>SUM(FF19:FF23)</f>
        <v>159946.12181796198</v>
      </c>
      <c r="FG24" s="81"/>
      <c r="FH24" s="81">
        <f>SUM(FH19:FH23)</f>
        <v>19193534.61815544</v>
      </c>
      <c r="FI24" s="81"/>
      <c r="FJ24" s="81">
        <f>SUM(FJ19:FJ23)</f>
        <v>159946.12181796198</v>
      </c>
      <c r="FK24" s="81"/>
      <c r="FL24" s="81">
        <f>SUM(FL19:FL23)</f>
        <v>19193534.61815544</v>
      </c>
      <c r="FM24" s="81"/>
      <c r="FN24" s="81">
        <f>SUM(FN19:FN23)</f>
        <v>159946.12181796198</v>
      </c>
      <c r="FO24" s="81"/>
      <c r="FP24" s="81">
        <f>SUM(FP19:FP23)</f>
        <v>19193534.61815544</v>
      </c>
      <c r="FQ24" s="81"/>
      <c r="FR24" s="81">
        <f>SUM(FR19:FR23)</f>
        <v>159946.12181796198</v>
      </c>
      <c r="FS24" s="81"/>
      <c r="FT24" s="81">
        <f>SUM(FT19:FT23)</f>
        <v>19193534.61815544</v>
      </c>
      <c r="FU24" s="81"/>
      <c r="FV24" s="81">
        <f>SUM(FV19:FV23)</f>
        <v>159946.12181796198</v>
      </c>
      <c r="FW24" s="81"/>
      <c r="FX24" s="81">
        <f>SUM(FX19:FX23)</f>
        <v>19193534.61815544</v>
      </c>
      <c r="FY24" s="81"/>
      <c r="FZ24" s="81">
        <f>SUM(FZ19:FZ23)</f>
        <v>159946.12181796198</v>
      </c>
      <c r="GA24" s="81"/>
      <c r="GB24" s="81">
        <f>SUM(GB19:GB23)</f>
        <v>19193534.61815544</v>
      </c>
      <c r="GC24" s="9"/>
      <c r="GD24" s="81">
        <f>SUM(GD19:GD23)</f>
        <v>159946.12181796198</v>
      </c>
      <c r="GE24" s="81"/>
      <c r="GF24" s="81">
        <f>SUM(GF19:GF23)</f>
        <v>19193534.61815544</v>
      </c>
      <c r="GG24" s="81"/>
      <c r="GH24" s="81">
        <f>SUM(GH19:GH23)</f>
        <v>159946.12181796198</v>
      </c>
      <c r="GI24" s="81"/>
      <c r="GJ24" s="81">
        <f>SUM(GJ19:GJ23)</f>
        <v>19193534.61815544</v>
      </c>
      <c r="GK24" s="81"/>
      <c r="GL24" s="81">
        <f>SUM(GL19:GL23)</f>
        <v>159946.12181796198</v>
      </c>
      <c r="GM24" s="81"/>
      <c r="GN24" s="81">
        <f>SUM(GN19:GN23)</f>
        <v>19193534.61815544</v>
      </c>
      <c r="GO24" s="81"/>
      <c r="GP24" s="81">
        <f>SUM(GP19:GP23)</f>
        <v>231921.87663604485</v>
      </c>
      <c r="GQ24" s="81"/>
      <c r="GR24" s="81">
        <f>SUM(GR19:GR23)</f>
        <v>27830625.19632538</v>
      </c>
      <c r="GS24" s="81"/>
      <c r="GT24" s="81">
        <f>SUM(GT19:GT23)</f>
        <v>231921.87663604485</v>
      </c>
      <c r="GU24" s="81"/>
      <c r="GV24" s="81">
        <f>SUM(GV19:GV23)</f>
        <v>27830625.19632538</v>
      </c>
      <c r="GW24" s="81"/>
      <c r="GX24" s="81">
        <f>SUM(GX19:GX23)</f>
        <v>231921.87663604485</v>
      </c>
      <c r="GY24" s="81"/>
      <c r="GZ24" s="81">
        <f>SUM(GZ19:GZ23)</f>
        <v>27830625.19632538</v>
      </c>
      <c r="HA24" s="81"/>
      <c r="HB24" s="81">
        <f>SUM(HB19:HB23)</f>
        <v>231921.87663604485</v>
      </c>
      <c r="HC24" s="81"/>
      <c r="HD24" s="81">
        <f>SUM(HD19:HD23)</f>
        <v>27830625.19632538</v>
      </c>
      <c r="HE24" s="81"/>
      <c r="HF24" s="81">
        <f>SUM(HF19:HF23)</f>
        <v>231921.87663604485</v>
      </c>
      <c r="HG24" s="81"/>
      <c r="HH24" s="81">
        <f>SUM(HH19:HH23)</f>
        <v>27830625.19632538</v>
      </c>
      <c r="HI24" s="81"/>
      <c r="HJ24" s="81">
        <f>SUM(HJ19:HJ23)</f>
        <v>231921.87663604485</v>
      </c>
      <c r="HK24" s="81"/>
      <c r="HL24" s="81">
        <f>SUM(HL19:HL23)</f>
        <v>27830625.19632538</v>
      </c>
      <c r="HM24" s="81"/>
      <c r="HN24" s="81">
        <f>SUM(HN19:HN23)</f>
        <v>231921.87663604485</v>
      </c>
      <c r="HO24" s="81"/>
      <c r="HP24" s="81">
        <f>SUM(HP19:HP23)</f>
        <v>27830625.19632538</v>
      </c>
      <c r="HQ24" s="81"/>
      <c r="HR24" s="81">
        <f>SUM(HR19:HR23)</f>
        <v>231921.87663604485</v>
      </c>
      <c r="HS24" s="81"/>
      <c r="HT24" s="81">
        <f>SUM(HT19:HT23)</f>
        <v>27830625.19632538</v>
      </c>
      <c r="HU24" s="81"/>
      <c r="HV24" s="81">
        <f>SUM(HV19:HV23)</f>
        <v>231921.87663604485</v>
      </c>
      <c r="HW24" s="81"/>
      <c r="HX24" s="81">
        <f>SUM(HX19:HX23)</f>
        <v>27830625.19632538</v>
      </c>
      <c r="HY24" s="9"/>
      <c r="HZ24" s="81">
        <f>SUM(HZ19:HZ23)</f>
        <v>231921.87663604485</v>
      </c>
      <c r="IA24" s="81"/>
      <c r="IB24" s="81">
        <f>SUM(IB19:IB23)</f>
        <v>27830625.19632538</v>
      </c>
      <c r="IC24" s="81"/>
      <c r="ID24" s="81">
        <f>SUM(ID19:ID23)</f>
        <v>231921.87663604485</v>
      </c>
      <c r="IE24" s="81"/>
      <c r="IF24" s="81">
        <f>SUM(IF19:IF23)</f>
        <v>27830625.19632538</v>
      </c>
      <c r="IG24" s="81"/>
      <c r="IH24" s="81">
        <f>SUM(IH19:IH23)</f>
        <v>231921.87663604485</v>
      </c>
      <c r="II24" s="81"/>
      <c r="IJ24" s="81">
        <f>SUM(IJ19:IJ23)</f>
        <v>27830625.19632538</v>
      </c>
      <c r="IK24" s="81"/>
      <c r="IL24" s="81">
        <f>SUM(IL19:IL23)</f>
        <v>0</v>
      </c>
      <c r="IM24" s="81"/>
      <c r="IN24" s="80">
        <f>SUM(IN19:IN23)</f>
        <v>0</v>
      </c>
      <c r="IP24" s="81">
        <f>SUM(IP19:IP23)</f>
        <v>0</v>
      </c>
      <c r="IQ24" s="81"/>
      <c r="IR24" s="80">
        <f>SUM(IR19:IR23)</f>
        <v>0</v>
      </c>
      <c r="IT24" s="81">
        <f>SUM(IT19:IT23)</f>
        <v>182101.84647206296</v>
      </c>
      <c r="IU24" s="81"/>
      <c r="IV24" s="80">
        <f>SUM(IV19:IV23)</f>
        <v>14568147.717765037</v>
      </c>
      <c r="IX24" s="81">
        <f>SUM(IX19:IX23)</f>
        <v>1238292.556010028</v>
      </c>
      <c r="IY24" s="81"/>
      <c r="IZ24" s="80">
        <f>SUM(IZ19:IZ23)</f>
        <v>148595106.7212034</v>
      </c>
      <c r="JB24" s="81">
        <f>SUM(JB19:JB23)</f>
        <v>1919353.4618155442</v>
      </c>
      <c r="JC24" s="81"/>
      <c r="JD24" s="80">
        <f>SUM(JD19:JD23)</f>
        <v>230322415.4178653</v>
      </c>
      <c r="JF24" s="81">
        <f>SUM(JF19:JF23)</f>
        <v>2783062.519632539</v>
      </c>
      <c r="JG24" s="81"/>
      <c r="JH24" s="80">
        <f>SUM(JH19:JH23)</f>
        <v>333967502.3559046</v>
      </c>
    </row>
    <row r="25" ht="9.75" customHeight="1" spans="2:268" x14ac:dyDescent="0.25">
      <c r="B25" s="9"/>
      <c r="C25" s="30"/>
      <c r="D25" s="30"/>
      <c r="E25" s="30"/>
      <c r="F25" s="54"/>
      <c r="G25" s="54"/>
      <c r="H25" s="54"/>
      <c r="I25" s="54"/>
      <c r="J25" s="54"/>
      <c r="K25" s="54"/>
      <c r="L25" s="54"/>
      <c r="M25" s="54"/>
      <c r="N25" s="54"/>
      <c r="O25" s="54"/>
      <c r="P25" s="54"/>
      <c r="Q25" s="54"/>
      <c r="R25" s="54"/>
      <c r="S25" s="54"/>
      <c r="T25" s="54"/>
      <c r="U25" s="54"/>
      <c r="V25" s="54"/>
      <c r="W25" s="54"/>
      <c r="X25" s="54"/>
      <c r="Y25" s="54"/>
      <c r="Z25" s="54"/>
      <c r="AA25" s="54"/>
      <c r="AB25" s="54"/>
      <c r="AC25" s="54"/>
      <c r="AD25" s="54"/>
      <c r="AE25" s="54"/>
      <c r="AF25" s="54"/>
      <c r="AG25" s="54"/>
      <c r="AH25" s="54"/>
      <c r="AI25" s="54"/>
      <c r="AJ25" s="54"/>
      <c r="AK25" s="54"/>
      <c r="AL25" s="54"/>
      <c r="AM25" s="54"/>
      <c r="AN25" s="54"/>
      <c r="AO25" s="54"/>
      <c r="AP25" s="54"/>
      <c r="AQ25" s="54"/>
      <c r="AR25" s="54"/>
      <c r="AS25" s="54"/>
      <c r="AT25" s="54"/>
      <c r="AU25" s="54"/>
      <c r="AV25" s="54"/>
      <c r="AW25" s="54"/>
      <c r="AX25" s="54"/>
      <c r="AY25" s="54"/>
      <c r="AZ25" s="54"/>
      <c r="BA25" s="54"/>
      <c r="BB25" s="54"/>
      <c r="BC25" s="54"/>
      <c r="BD25" s="54"/>
      <c r="BE25" s="54"/>
      <c r="BF25" s="54"/>
      <c r="BG25" s="54"/>
      <c r="BH25" s="54"/>
      <c r="BI25" s="54"/>
      <c r="BJ25" s="54"/>
      <c r="BK25" s="54"/>
      <c r="BL25" s="54"/>
      <c r="BM25" s="54"/>
      <c r="BN25" s="54"/>
      <c r="BO25" s="54"/>
      <c r="BP25" s="54"/>
      <c r="BQ25" s="54"/>
      <c r="BR25" s="54"/>
      <c r="BS25" s="54"/>
      <c r="BT25" s="54"/>
      <c r="BU25" s="54"/>
      <c r="BV25" s="54"/>
      <c r="BW25" s="54"/>
      <c r="BX25" s="54"/>
      <c r="BY25" s="54"/>
      <c r="BZ25" s="54"/>
      <c r="CA25" s="54"/>
      <c r="CB25" s="54"/>
      <c r="CC25" s="54"/>
      <c r="CD25" s="54"/>
      <c r="CE25" s="54"/>
      <c r="CF25" s="54"/>
      <c r="CG25" s="54"/>
      <c r="CH25" s="54"/>
      <c r="CI25" s="54"/>
      <c r="CJ25" s="54"/>
      <c r="CK25" s="54"/>
      <c r="CL25" s="54"/>
      <c r="CM25" s="54"/>
      <c r="CN25" s="54"/>
      <c r="CO25" s="54"/>
      <c r="CP25" s="54"/>
      <c r="CQ25" s="54"/>
      <c r="CR25" s="54"/>
      <c r="CS25" s="54"/>
      <c r="CT25" s="54"/>
      <c r="CU25" s="54"/>
      <c r="CV25" s="54"/>
      <c r="CW25" s="54"/>
      <c r="CX25" s="54"/>
      <c r="CY25" s="54"/>
      <c r="CZ25" s="54"/>
      <c r="DA25" s="54"/>
      <c r="DB25" s="54"/>
      <c r="DC25" s="54"/>
      <c r="DD25" s="54"/>
      <c r="DE25" s="54"/>
      <c r="DF25" s="54"/>
      <c r="DG25" s="54"/>
      <c r="DH25" s="54"/>
      <c r="DI25" s="54"/>
      <c r="DJ25" s="54"/>
      <c r="DK25" s="54"/>
      <c r="DL25" s="54"/>
      <c r="DM25" s="54"/>
      <c r="DN25" s="54"/>
      <c r="DO25" s="54"/>
      <c r="DP25" s="54"/>
      <c r="DQ25" s="54"/>
      <c r="DR25" s="54"/>
      <c r="DS25" s="54"/>
      <c r="DT25" s="54"/>
      <c r="DU25" s="54"/>
      <c r="DV25" s="54"/>
      <c r="DW25" s="54"/>
      <c r="DX25" s="54"/>
      <c r="DY25" s="54"/>
      <c r="DZ25" s="54"/>
      <c r="EA25" s="54"/>
      <c r="EB25" s="54"/>
      <c r="EC25" s="54"/>
      <c r="ED25" s="54"/>
      <c r="EE25" s="54"/>
      <c r="EF25" s="54"/>
      <c r="EG25" s="54"/>
      <c r="EH25" s="54"/>
      <c r="EI25" s="54"/>
      <c r="EJ25" s="54"/>
      <c r="EK25" s="54"/>
      <c r="EL25" s="54"/>
      <c r="EM25" s="54"/>
      <c r="EN25" s="54"/>
      <c r="EO25" s="54"/>
      <c r="EP25" s="54"/>
      <c r="EQ25" s="54"/>
      <c r="ER25" s="54"/>
      <c r="ES25" s="54"/>
      <c r="ET25" s="54"/>
      <c r="EU25" s="54"/>
      <c r="EV25" s="54"/>
      <c r="EW25" s="54"/>
      <c r="EX25" s="54"/>
      <c r="EY25" s="54"/>
      <c r="EZ25" s="54"/>
      <c r="FA25" s="54"/>
      <c r="FB25" s="54"/>
      <c r="FC25" s="54"/>
      <c r="FD25" s="54"/>
      <c r="FE25" s="54"/>
      <c r="FF25" s="54"/>
      <c r="FG25" s="54"/>
      <c r="FH25" s="54"/>
      <c r="FI25" s="54"/>
      <c r="FJ25" s="54"/>
      <c r="FK25" s="54"/>
      <c r="FL25" s="54"/>
      <c r="FM25" s="54"/>
      <c r="FN25" s="54"/>
      <c r="FO25" s="54"/>
      <c r="FP25" s="54"/>
      <c r="FQ25" s="54"/>
      <c r="FR25" s="54"/>
      <c r="FS25" s="54"/>
      <c r="FT25" s="54"/>
      <c r="FU25" s="54"/>
      <c r="FV25" s="54"/>
      <c r="FW25" s="54"/>
      <c r="FX25" s="54"/>
      <c r="FY25" s="54"/>
      <c r="FZ25" s="54"/>
      <c r="GA25" s="54"/>
      <c r="GB25" s="54"/>
      <c r="GD25" s="54"/>
      <c r="GE25" s="54"/>
      <c r="GF25" s="54"/>
      <c r="GG25" s="54"/>
      <c r="GH25" s="54"/>
      <c r="GI25" s="54"/>
      <c r="GJ25" s="54"/>
      <c r="GK25" s="54"/>
      <c r="GL25" s="54"/>
      <c r="GM25" s="54"/>
      <c r="GN25" s="54"/>
      <c r="GO25" s="54"/>
      <c r="GP25" s="54"/>
      <c r="GQ25" s="54"/>
      <c r="GR25" s="54"/>
      <c r="GS25" s="54"/>
      <c r="GT25" s="54"/>
      <c r="GU25" s="54"/>
      <c r="GV25" s="54"/>
      <c r="GW25" s="54"/>
      <c r="GX25" s="54"/>
      <c r="GY25" s="54"/>
      <c r="GZ25" s="54"/>
      <c r="HA25" s="54"/>
      <c r="HB25" s="54"/>
      <c r="HC25" s="54"/>
      <c r="HD25" s="54"/>
      <c r="HE25" s="54"/>
      <c r="HF25" s="54"/>
      <c r="HG25" s="54"/>
      <c r="HH25" s="54"/>
      <c r="HI25" s="54"/>
      <c r="HJ25" s="54"/>
      <c r="HK25" s="54"/>
      <c r="HL25" s="54"/>
      <c r="HM25" s="54"/>
      <c r="HN25" s="54"/>
      <c r="HO25" s="54"/>
      <c r="HP25" s="54"/>
      <c r="HQ25" s="54"/>
      <c r="HR25" s="54"/>
      <c r="HS25" s="54"/>
      <c r="HT25" s="54"/>
      <c r="HU25" s="54"/>
      <c r="HV25" s="54"/>
      <c r="HW25" s="54"/>
      <c r="HX25" s="54"/>
      <c r="HZ25" s="54"/>
      <c r="IA25" s="54"/>
      <c r="IB25" s="54"/>
      <c r="IC25" s="54"/>
      <c r="ID25" s="54"/>
      <c r="IE25" s="54"/>
      <c r="IF25" s="54"/>
      <c r="IG25" s="54"/>
      <c r="IH25" s="54"/>
      <c r="II25" s="54"/>
      <c r="IJ25" s="54"/>
      <c r="IK25" s="54"/>
      <c r="IL25" s="54"/>
      <c r="IM25" s="54"/>
      <c r="IN25" s="54"/>
      <c r="IP25" s="54"/>
      <c r="IQ25" s="54"/>
      <c r="IR25" s="54"/>
      <c r="IT25" s="54"/>
      <c r="IU25" s="54"/>
      <c r="IV25" s="54"/>
      <c r="IX25" s="54"/>
      <c r="IY25" s="54"/>
      <c r="IZ25" s="54"/>
      <c r="JB25" s="54"/>
      <c r="JC25" s="54"/>
      <c r="JD25" s="54"/>
      <c r="JF25" s="54"/>
      <c r="JG25" s="54"/>
      <c r="JH25" s="54"/>
    </row>
    <row r="26" ht="18.75" customHeight="1" spans="2:268" x14ac:dyDescent="0.25">
      <c r="B26" s="9"/>
      <c r="C26" s="30"/>
      <c r="D26" s="28"/>
      <c r="E26" s="28"/>
      <c r="F26" s="28"/>
      <c r="G26" s="54"/>
      <c r="H26" s="54"/>
      <c r="I26" s="54"/>
      <c r="J26" s="78">
        <v>1</v>
      </c>
      <c r="K26" s="78">
        <f>$K$8</f>
        <v>1</v>
      </c>
      <c r="L26" s="77"/>
      <c r="M26" s="77"/>
      <c r="N26" s="78">
        <v>1</v>
      </c>
      <c r="O26" s="78">
        <v>1</v>
      </c>
      <c r="P26" s="77"/>
      <c r="Q26" s="77"/>
      <c r="R26" s="78">
        <f>N26</f>
        <v>1</v>
      </c>
      <c r="S26" s="78">
        <v>1</v>
      </c>
      <c r="T26" s="77"/>
      <c r="U26" s="77"/>
      <c r="V26" s="78">
        <f>R26</f>
        <v>1</v>
      </c>
      <c r="W26" s="78">
        <v>1</v>
      </c>
      <c r="X26" s="77"/>
      <c r="Y26" s="77"/>
      <c r="Z26" s="78">
        <f>V26</f>
        <v>1</v>
      </c>
      <c r="AA26" s="78">
        <v>1</v>
      </c>
      <c r="AB26" s="77"/>
      <c r="AC26" s="77"/>
      <c r="AD26" s="78">
        <f>Z26</f>
        <v>1</v>
      </c>
      <c r="AE26" s="78">
        <v>1</v>
      </c>
      <c r="AF26" s="77"/>
      <c r="AG26" s="77"/>
      <c r="AH26" s="78">
        <f>AD26</f>
        <v>1</v>
      </c>
      <c r="AI26" s="78">
        <v>1</v>
      </c>
      <c r="AJ26" s="77"/>
      <c r="AK26" s="77"/>
      <c r="AL26" s="78">
        <f>AH26</f>
        <v>1</v>
      </c>
      <c r="AM26" s="78">
        <v>1</v>
      </c>
      <c r="AN26" s="77"/>
      <c r="AO26" s="54"/>
      <c r="AP26" s="78">
        <v>1</v>
      </c>
      <c r="AQ26" s="78">
        <v>1</v>
      </c>
      <c r="AR26" s="77"/>
      <c r="AS26" s="54"/>
      <c r="AT26" s="78">
        <f>AP26</f>
        <v>1</v>
      </c>
      <c r="AU26" s="78">
        <v>1</v>
      </c>
      <c r="AV26" s="77"/>
      <c r="AW26" s="77"/>
      <c r="AX26" s="78">
        <f>AT26</f>
        <v>1</v>
      </c>
      <c r="AY26" s="78">
        <v>1</v>
      </c>
      <c r="AZ26" s="77"/>
      <c r="BA26" s="77"/>
      <c r="BB26" s="79">
        <f>'A.I Revenue Streams - P1'!M28+100%</f>
        <v>1</v>
      </c>
      <c r="BC26" s="79">
        <v>1</v>
      </c>
      <c r="BD26" s="77"/>
      <c r="BE26" s="77"/>
      <c r="BF26" s="78">
        <v>1</v>
      </c>
      <c r="BG26" s="78">
        <v>1</v>
      </c>
      <c r="BH26" s="77"/>
      <c r="BI26" s="77"/>
      <c r="BJ26" s="78">
        <f>BF26</f>
        <v>1</v>
      </c>
      <c r="BK26" s="78">
        <v>1</v>
      </c>
      <c r="BL26" s="77"/>
      <c r="BM26" s="77"/>
      <c r="BN26" s="79">
        <f>BJ26</f>
        <v>1</v>
      </c>
      <c r="BO26" s="79">
        <v>1</v>
      </c>
      <c r="BP26" s="77"/>
      <c r="BQ26" s="77"/>
      <c r="BR26" s="78">
        <f>BN26</f>
        <v>1</v>
      </c>
      <c r="BS26" s="78">
        <v>1</v>
      </c>
      <c r="BT26" s="77"/>
      <c r="BU26" s="77"/>
      <c r="BV26" s="78">
        <f>BR26</f>
        <v>1</v>
      </c>
      <c r="BW26" s="78">
        <v>1</v>
      </c>
      <c r="BX26" s="77"/>
      <c r="BY26" s="77"/>
      <c r="BZ26" s="78">
        <f>BV26</f>
        <v>1</v>
      </c>
      <c r="CA26" s="78">
        <v>1</v>
      </c>
      <c r="CB26" s="77"/>
      <c r="CC26" s="77"/>
      <c r="CD26" s="78">
        <f>BZ26</f>
        <v>1</v>
      </c>
      <c r="CE26" s="78">
        <v>1</v>
      </c>
      <c r="CF26" s="77"/>
      <c r="CG26" s="77"/>
      <c r="CH26" s="79">
        <f>CD26</f>
        <v>1</v>
      </c>
      <c r="CI26" s="79">
        <v>1</v>
      </c>
      <c r="CJ26" s="77"/>
      <c r="CK26" s="77"/>
      <c r="CL26" s="78">
        <v>1</v>
      </c>
      <c r="CM26" s="78">
        <v>1</v>
      </c>
      <c r="CN26" s="77"/>
      <c r="CO26" s="54"/>
      <c r="CP26" s="78">
        <v>1</v>
      </c>
      <c r="CQ26" s="78">
        <v>1</v>
      </c>
      <c r="CR26" s="77"/>
      <c r="CS26" s="77"/>
      <c r="CT26" s="78">
        <f>CP26</f>
        <v>1</v>
      </c>
      <c r="CU26" s="78">
        <v>1</v>
      </c>
      <c r="CV26" s="77"/>
      <c r="CW26" s="77"/>
      <c r="CX26" s="79">
        <f>'A.I Revenue Streams - P1'!O28+100%</f>
        <v>2.23</v>
      </c>
      <c r="CY26" s="79">
        <v>1</v>
      </c>
      <c r="CZ26" s="77"/>
      <c r="DA26" s="77"/>
      <c r="DB26" s="78">
        <v>1</v>
      </c>
      <c r="DC26" s="78">
        <v>1</v>
      </c>
      <c r="DD26" s="77"/>
      <c r="DE26" s="77"/>
      <c r="DF26" s="78">
        <f>DB26</f>
        <v>1</v>
      </c>
      <c r="DG26" s="78">
        <v>1</v>
      </c>
      <c r="DH26" s="77"/>
      <c r="DI26" s="77"/>
      <c r="DJ26" s="79">
        <f>DF26</f>
        <v>1</v>
      </c>
      <c r="DK26" s="79">
        <v>1</v>
      </c>
      <c r="DL26" s="77"/>
      <c r="DM26" s="77"/>
      <c r="DN26" s="78">
        <f>DJ26</f>
        <v>1</v>
      </c>
      <c r="DO26" s="78">
        <v>1</v>
      </c>
      <c r="DP26" s="77"/>
      <c r="DQ26" s="77"/>
      <c r="DR26" s="78">
        <f>DN26</f>
        <v>1</v>
      </c>
      <c r="DS26" s="78">
        <v>1</v>
      </c>
      <c r="DT26" s="77"/>
      <c r="DU26" s="77"/>
      <c r="DV26" s="78">
        <f>DR26</f>
        <v>1</v>
      </c>
      <c r="DW26" s="78">
        <v>1</v>
      </c>
      <c r="DX26" s="77"/>
      <c r="DY26" s="77"/>
      <c r="DZ26" s="78">
        <f>DV26</f>
        <v>1</v>
      </c>
      <c r="EA26" s="78">
        <v>1</v>
      </c>
      <c r="EB26" s="77"/>
      <c r="EC26" s="77"/>
      <c r="ED26" s="79">
        <f>DZ26</f>
        <v>1</v>
      </c>
      <c r="EE26" s="79">
        <v>1</v>
      </c>
      <c r="EF26" s="77"/>
      <c r="EG26" s="77"/>
      <c r="EH26" s="78">
        <v>1</v>
      </c>
      <c r="EI26" s="78">
        <v>1</v>
      </c>
      <c r="EJ26" s="77"/>
      <c r="EK26" s="54"/>
      <c r="EL26" s="78">
        <v>1</v>
      </c>
      <c r="EM26" s="78">
        <v>1</v>
      </c>
      <c r="EN26" s="77"/>
      <c r="EO26" s="77"/>
      <c r="EP26" s="78">
        <f>EL26</f>
        <v>1</v>
      </c>
      <c r="EQ26" s="78">
        <v>1</v>
      </c>
      <c r="ER26" s="77"/>
      <c r="ES26" s="77"/>
      <c r="ET26" s="79">
        <f>'A.I Revenue Streams - P1'!Q28+100%</f>
        <v>2.23</v>
      </c>
      <c r="EU26" s="79">
        <v>1</v>
      </c>
      <c r="EV26" s="77"/>
      <c r="EW26" s="77"/>
      <c r="EX26" s="78">
        <v>1</v>
      </c>
      <c r="EY26" s="78">
        <v>1</v>
      </c>
      <c r="EZ26" s="77"/>
      <c r="FA26" s="77"/>
      <c r="FB26" s="78">
        <f>EX26</f>
        <v>1</v>
      </c>
      <c r="FC26" s="78">
        <v>1</v>
      </c>
      <c r="FD26" s="77"/>
      <c r="FE26" s="77"/>
      <c r="FF26" s="79">
        <f>FB26</f>
        <v>1</v>
      </c>
      <c r="FG26" s="79">
        <v>1</v>
      </c>
      <c r="FH26" s="77"/>
      <c r="FI26" s="77"/>
      <c r="FJ26" s="78">
        <f>FF26</f>
        <v>1</v>
      </c>
      <c r="FK26" s="78">
        <v>1</v>
      </c>
      <c r="FL26" s="77"/>
      <c r="FM26" s="77"/>
      <c r="FN26" s="78">
        <f>FJ26</f>
        <v>1</v>
      </c>
      <c r="FO26" s="78">
        <v>1</v>
      </c>
      <c r="FP26" s="77"/>
      <c r="FQ26" s="77"/>
      <c r="FR26" s="78">
        <f>FN26</f>
        <v>1</v>
      </c>
      <c r="FS26" s="78">
        <v>1</v>
      </c>
      <c r="FT26" s="77"/>
      <c r="FU26" s="77"/>
      <c r="FV26" s="78">
        <f>FR26</f>
        <v>1</v>
      </c>
      <c r="FW26" s="78">
        <v>1</v>
      </c>
      <c r="FX26" s="77"/>
      <c r="FY26" s="77"/>
      <c r="FZ26" s="79">
        <f>FV26</f>
        <v>1</v>
      </c>
      <c r="GA26" s="79">
        <v>1</v>
      </c>
      <c r="GB26" s="77"/>
      <c r="GC26" s="28"/>
      <c r="GD26" s="78">
        <v>1</v>
      </c>
      <c r="GE26" s="78">
        <v>1</v>
      </c>
      <c r="GF26" s="77"/>
      <c r="GG26" s="54"/>
      <c r="GH26" s="78">
        <v>1</v>
      </c>
      <c r="GI26" s="78">
        <v>1</v>
      </c>
      <c r="GJ26" s="77"/>
      <c r="GK26" s="77"/>
      <c r="GL26" s="78">
        <f>GH26</f>
        <v>1</v>
      </c>
      <c r="GM26" s="78">
        <v>1</v>
      </c>
      <c r="GN26" s="77"/>
      <c r="GO26" s="77"/>
      <c r="GP26" s="79">
        <f>'A.I Revenue Streams - P1'!S28+100%</f>
        <v>1</v>
      </c>
      <c r="GQ26" s="79">
        <v>1</v>
      </c>
      <c r="GR26" s="77"/>
      <c r="GS26" s="77"/>
      <c r="GT26" s="78">
        <v>1</v>
      </c>
      <c r="GU26" s="78">
        <v>1</v>
      </c>
      <c r="GV26" s="77"/>
      <c r="GW26" s="77"/>
      <c r="GX26" s="78">
        <f>GT26</f>
        <v>1</v>
      </c>
      <c r="GY26" s="78">
        <v>1</v>
      </c>
      <c r="GZ26" s="77"/>
      <c r="HA26" s="77"/>
      <c r="HB26" s="79">
        <f>GX26</f>
        <v>1</v>
      </c>
      <c r="HC26" s="79">
        <v>1</v>
      </c>
      <c r="HD26" s="77"/>
      <c r="HE26" s="77"/>
      <c r="HF26" s="78">
        <f>HB26</f>
        <v>1</v>
      </c>
      <c r="HG26" s="78">
        <v>1</v>
      </c>
      <c r="HH26" s="77"/>
      <c r="HI26" s="77"/>
      <c r="HJ26" s="78">
        <f>HF26</f>
        <v>1</v>
      </c>
      <c r="HK26" s="78">
        <v>1</v>
      </c>
      <c r="HL26" s="77"/>
      <c r="HM26" s="77"/>
      <c r="HN26" s="78">
        <f>HJ26</f>
        <v>1</v>
      </c>
      <c r="HO26" s="78">
        <v>1</v>
      </c>
      <c r="HP26" s="77"/>
      <c r="HQ26" s="77"/>
      <c r="HR26" s="78">
        <f>HN26</f>
        <v>1</v>
      </c>
      <c r="HS26" s="78">
        <v>1</v>
      </c>
      <c r="HT26" s="77"/>
      <c r="HU26" s="77"/>
      <c r="HV26" s="79">
        <f>HR26</f>
        <v>1</v>
      </c>
      <c r="HW26" s="79">
        <v>1</v>
      </c>
      <c r="HX26" s="77"/>
      <c r="HY26" s="28"/>
      <c r="HZ26" s="78">
        <v>1</v>
      </c>
      <c r="IA26" s="78">
        <v>1</v>
      </c>
      <c r="IB26" s="77"/>
      <c r="IC26" s="54"/>
      <c r="ID26" s="78">
        <v>1</v>
      </c>
      <c r="IE26" s="78">
        <v>1</v>
      </c>
      <c r="IF26" s="77"/>
      <c r="IG26" s="77"/>
      <c r="IH26" s="78">
        <f>ID26</f>
        <v>1</v>
      </c>
      <c r="II26" s="78">
        <v>1</v>
      </c>
      <c r="IJ26" s="77"/>
      <c r="IK26" s="77"/>
      <c r="IL26" s="78">
        <f>'A.I Revenue Streams - P2'!DI28+100%</f>
        <v>1</v>
      </c>
      <c r="IM26" s="78">
        <v>1</v>
      </c>
      <c r="IN26" s="54"/>
      <c r="IP26" s="78">
        <f>'A.I Revenue Streams - P2'!DM28+100%</f>
        <v>1</v>
      </c>
      <c r="IQ26" s="78">
        <v>1</v>
      </c>
      <c r="IR26" s="54"/>
      <c r="IT26" s="78">
        <f>'A.I Revenue Streams - P2'!DQ28+100%</f>
        <v>1</v>
      </c>
      <c r="IU26" s="78">
        <v>1</v>
      </c>
      <c r="IV26" s="54"/>
      <c r="IX26" s="78">
        <f>'A.I Revenue Streams - P2'!DU28+100%</f>
        <v>1</v>
      </c>
      <c r="IY26" s="78">
        <v>1</v>
      </c>
      <c r="IZ26" s="54"/>
      <c r="JB26" s="78">
        <f>'A.I Revenue Streams - P2'!DY28+100%</f>
        <v>1</v>
      </c>
      <c r="JC26" s="78">
        <v>1</v>
      </c>
      <c r="JD26" s="54"/>
      <c r="JF26" s="78">
        <f>'A.I Revenue Streams - P2'!EC28+100%</f>
        <v>1</v>
      </c>
      <c r="JG26" s="78">
        <v>1</v>
      </c>
      <c r="JH26" s="54"/>
    </row>
    <row r="27" ht="18.75" customHeight="1" spans="2:268" x14ac:dyDescent="0.25">
      <c r="B27" s="5">
        <v>3</v>
      </c>
      <c r="C27" s="29">
        <f>'A.I Revenue Streams - P1'!D27</f>
        <v>0</v>
      </c>
      <c r="D27" s="27"/>
      <c r="E27" s="28"/>
      <c r="F27" s="51"/>
      <c r="G27" s="51"/>
      <c r="H27" s="51"/>
      <c r="I27" s="54"/>
      <c r="J27" s="51"/>
      <c r="K27" s="51"/>
      <c r="L27" s="51"/>
      <c r="M27" s="54"/>
      <c r="N27" s="51"/>
      <c r="O27" s="51"/>
      <c r="P27" s="51"/>
      <c r="Q27" s="54"/>
      <c r="R27" s="51"/>
      <c r="S27" s="51"/>
      <c r="T27" s="51"/>
      <c r="U27" s="54"/>
      <c r="V27" s="51"/>
      <c r="W27" s="51"/>
      <c r="X27" s="51"/>
      <c r="Y27" s="54"/>
      <c r="Z27" s="51"/>
      <c r="AA27" s="51"/>
      <c r="AB27" s="51"/>
      <c r="AC27" s="54"/>
      <c r="AD27" s="51"/>
      <c r="AE27" s="51"/>
      <c r="AF27" s="51"/>
      <c r="AG27" s="54"/>
      <c r="AH27" s="51"/>
      <c r="AI27" s="51"/>
      <c r="AJ27" s="51"/>
      <c r="AK27" s="54"/>
      <c r="AL27" s="51"/>
      <c r="AM27" s="51"/>
      <c r="AN27" s="51"/>
      <c r="AO27" s="54"/>
      <c r="AP27" s="51"/>
      <c r="AQ27" s="51"/>
      <c r="AR27" s="51"/>
      <c r="AS27" s="54"/>
      <c r="AT27" s="51"/>
      <c r="AU27" s="51"/>
      <c r="AV27" s="51"/>
      <c r="AW27" s="54"/>
      <c r="AX27" s="51"/>
      <c r="AY27" s="51"/>
      <c r="AZ27" s="51"/>
      <c r="BA27" s="54"/>
      <c r="BB27" s="51"/>
      <c r="BC27" s="51"/>
      <c r="BD27" s="51"/>
      <c r="BE27" s="54"/>
      <c r="BF27" s="51"/>
      <c r="BG27" s="51"/>
      <c r="BH27" s="51"/>
      <c r="BI27" s="54"/>
      <c r="BJ27" s="51"/>
      <c r="BK27" s="51"/>
      <c r="BL27" s="51"/>
      <c r="BM27" s="54"/>
      <c r="BN27" s="51"/>
      <c r="BO27" s="51"/>
      <c r="BP27" s="51"/>
      <c r="BQ27" s="54"/>
      <c r="BR27" s="51"/>
      <c r="BS27" s="51"/>
      <c r="BT27" s="51"/>
      <c r="BU27" s="54"/>
      <c r="BV27" s="51"/>
      <c r="BW27" s="51"/>
      <c r="BX27" s="51"/>
      <c r="BY27" s="54"/>
      <c r="BZ27" s="51"/>
      <c r="CA27" s="51"/>
      <c r="CB27" s="51"/>
      <c r="CC27" s="54"/>
      <c r="CD27" s="51"/>
      <c r="CE27" s="51"/>
      <c r="CF27" s="51"/>
      <c r="CG27" s="54"/>
      <c r="CH27" s="51"/>
      <c r="CI27" s="51"/>
      <c r="CJ27" s="51"/>
      <c r="CK27" s="54"/>
      <c r="CL27" s="51"/>
      <c r="CM27" s="51"/>
      <c r="CN27" s="51"/>
      <c r="CO27" s="54"/>
      <c r="CP27" s="51"/>
      <c r="CQ27" s="51"/>
      <c r="CR27" s="51"/>
      <c r="CS27" s="54"/>
      <c r="CT27" s="51"/>
      <c r="CU27" s="51"/>
      <c r="CV27" s="51"/>
      <c r="CW27" s="54"/>
      <c r="CX27" s="51"/>
      <c r="CY27" s="51"/>
      <c r="CZ27" s="51"/>
      <c r="DA27" s="54"/>
      <c r="DB27" s="51"/>
      <c r="DC27" s="51"/>
      <c r="DD27" s="51"/>
      <c r="DE27" s="54"/>
      <c r="DF27" s="51"/>
      <c r="DG27" s="51"/>
      <c r="DH27" s="51"/>
      <c r="DI27" s="54"/>
      <c r="DJ27" s="51"/>
      <c r="DK27" s="51"/>
      <c r="DL27" s="51"/>
      <c r="DM27" s="54"/>
      <c r="DN27" s="51"/>
      <c r="DO27" s="51"/>
      <c r="DP27" s="51"/>
      <c r="DQ27" s="54"/>
      <c r="DR27" s="51"/>
      <c r="DS27" s="51"/>
      <c r="DT27" s="51"/>
      <c r="DU27" s="54"/>
      <c r="DV27" s="51"/>
      <c r="DW27" s="51"/>
      <c r="DX27" s="51"/>
      <c r="DY27" s="54"/>
      <c r="DZ27" s="51"/>
      <c r="EA27" s="51"/>
      <c r="EB27" s="51"/>
      <c r="EC27" s="54"/>
      <c r="ED27" s="51"/>
      <c r="EE27" s="51"/>
      <c r="EF27" s="51"/>
      <c r="EG27" s="54"/>
      <c r="EH27" s="51"/>
      <c r="EI27" s="51"/>
      <c r="EJ27" s="51"/>
      <c r="EK27" s="54"/>
      <c r="EL27" s="51"/>
      <c r="EM27" s="51"/>
      <c r="EN27" s="51"/>
      <c r="EO27" s="54"/>
      <c r="EP27" s="51"/>
      <c r="EQ27" s="51"/>
      <c r="ER27" s="51"/>
      <c r="ES27" s="54"/>
      <c r="ET27" s="51"/>
      <c r="EU27" s="51"/>
      <c r="EV27" s="51"/>
      <c r="EW27" s="54"/>
      <c r="EX27" s="51"/>
      <c r="EY27" s="51"/>
      <c r="EZ27" s="51"/>
      <c r="FA27" s="54"/>
      <c r="FB27" s="51"/>
      <c r="FC27" s="51"/>
      <c r="FD27" s="51"/>
      <c r="FE27" s="54"/>
      <c r="FF27" s="51"/>
      <c r="FG27" s="51"/>
      <c r="FH27" s="51"/>
      <c r="FI27" s="54"/>
      <c r="FJ27" s="51"/>
      <c r="FK27" s="51"/>
      <c r="FL27" s="51"/>
      <c r="FM27" s="54"/>
      <c r="FN27" s="51"/>
      <c r="FO27" s="51"/>
      <c r="FP27" s="51"/>
      <c r="FQ27" s="54"/>
      <c r="FR27" s="51"/>
      <c r="FS27" s="51"/>
      <c r="FT27" s="51"/>
      <c r="FU27" s="54"/>
      <c r="FV27" s="51"/>
      <c r="FW27" s="51"/>
      <c r="FX27" s="51"/>
      <c r="FY27" s="54"/>
      <c r="FZ27" s="51"/>
      <c r="GA27" s="51"/>
      <c r="GB27" s="51"/>
      <c r="GD27" s="51"/>
      <c r="GE27" s="51"/>
      <c r="GF27" s="51"/>
      <c r="GG27" s="54"/>
      <c r="GH27" s="51"/>
      <c r="GI27" s="51"/>
      <c r="GJ27" s="51"/>
      <c r="GK27" s="54"/>
      <c r="GL27" s="51"/>
      <c r="GM27" s="51"/>
      <c r="GN27" s="51"/>
      <c r="GO27" s="54"/>
      <c r="GP27" s="51"/>
      <c r="GQ27" s="51"/>
      <c r="GR27" s="51"/>
      <c r="GS27" s="54"/>
      <c r="GT27" s="51"/>
      <c r="GU27" s="51"/>
      <c r="GV27" s="51"/>
      <c r="GW27" s="54"/>
      <c r="GX27" s="51"/>
      <c r="GY27" s="51"/>
      <c r="GZ27" s="51"/>
      <c r="HA27" s="54"/>
      <c r="HB27" s="51"/>
      <c r="HC27" s="51"/>
      <c r="HD27" s="51"/>
      <c r="HE27" s="54"/>
      <c r="HF27" s="51"/>
      <c r="HG27" s="51"/>
      <c r="HH27" s="51"/>
      <c r="HI27" s="54"/>
      <c r="HJ27" s="51"/>
      <c r="HK27" s="51"/>
      <c r="HL27" s="51"/>
      <c r="HM27" s="54"/>
      <c r="HN27" s="51"/>
      <c r="HO27" s="51"/>
      <c r="HP27" s="51"/>
      <c r="HQ27" s="54"/>
      <c r="HR27" s="51"/>
      <c r="HS27" s="51"/>
      <c r="HT27" s="51"/>
      <c r="HU27" s="54"/>
      <c r="HV27" s="51"/>
      <c r="HW27" s="51"/>
      <c r="HX27" s="51"/>
      <c r="HZ27" s="51"/>
      <c r="IA27" s="51"/>
      <c r="IB27" s="51"/>
      <c r="IC27" s="54"/>
      <c r="ID27" s="51"/>
      <c r="IE27" s="51"/>
      <c r="IF27" s="51"/>
      <c r="IG27" s="54"/>
      <c r="IH27" s="51"/>
      <c r="II27" s="51"/>
      <c r="IJ27" s="51"/>
      <c r="IK27" s="54"/>
      <c r="IL27" s="80"/>
      <c r="IM27" s="80"/>
      <c r="IN27" s="80"/>
      <c r="IP27" s="80"/>
      <c r="IQ27" s="80"/>
      <c r="IR27" s="80"/>
      <c r="IT27" s="80"/>
      <c r="IU27" s="80"/>
      <c r="IV27" s="80"/>
      <c r="IX27" s="80"/>
      <c r="IY27" s="80"/>
      <c r="IZ27" s="80"/>
      <c r="JB27" s="80"/>
      <c r="JC27" s="80"/>
      <c r="JD27" s="80"/>
      <c r="JF27" s="80"/>
      <c r="JG27" s="80"/>
      <c r="JH27" s="80"/>
    </row>
    <row r="28" ht="18.75" customHeight="1" spans="2:268" x14ac:dyDescent="0.25">
      <c r="B28" s="5" t="s">
        <v>65</v>
      </c>
      <c r="C28" s="29"/>
      <c r="D28" s="29">
        <f>'A.I Revenue Streams - P1'!E28</f>
        <v>0</v>
      </c>
      <c r="E28" s="30"/>
      <c r="F28" s="51">
        <f>'A.I Revenue Streams - P1'!G28</f>
        <v>0</v>
      </c>
      <c r="G28" s="51">
        <f>'A.I Revenue Streams - P1'!I28</f>
        <v>0</v>
      </c>
      <c r="H28" s="51">
        <f>F28*G28</f>
        <v>0</v>
      </c>
      <c r="I28" s="54"/>
      <c r="J28" s="51">
        <f>F28*$J$26</f>
        <v>0</v>
      </c>
      <c r="K28" s="51">
        <f>G28*$K$26</f>
        <v>0</v>
      </c>
      <c r="L28" s="51">
        <f>J28*K28</f>
        <v>0</v>
      </c>
      <c r="M28" s="54"/>
      <c r="N28" s="51">
        <f>J28*$J$26</f>
        <v>0</v>
      </c>
      <c r="O28" s="51">
        <f>K28*$O$26</f>
        <v>0</v>
      </c>
      <c r="P28" s="51">
        <f>N28*O28</f>
        <v>0</v>
      </c>
      <c r="Q28" s="54"/>
      <c r="R28" s="51">
        <f>N28*$J$26</f>
        <v>0</v>
      </c>
      <c r="S28" s="51">
        <f>O28*$S$26</f>
        <v>0</v>
      </c>
      <c r="T28" s="51">
        <f>R28*S28</f>
        <v>0</v>
      </c>
      <c r="U28" s="54"/>
      <c r="V28" s="51">
        <f>R28*$J$26</f>
        <v>0</v>
      </c>
      <c r="W28" s="51">
        <f>S28*$W$26</f>
        <v>0</v>
      </c>
      <c r="X28" s="51">
        <f>V28*W28</f>
        <v>0</v>
      </c>
      <c r="Y28" s="54"/>
      <c r="Z28" s="51">
        <f>V28*$J$26</f>
        <v>0</v>
      </c>
      <c r="AA28" s="51">
        <f>W28*$AA$26</f>
        <v>0</v>
      </c>
      <c r="AB28" s="51">
        <f>Z28*AA28</f>
        <v>0</v>
      </c>
      <c r="AC28" s="54"/>
      <c r="AD28" s="51">
        <f>Z28*$J$26</f>
        <v>0</v>
      </c>
      <c r="AE28" s="51">
        <f>AA28*$AE$26</f>
        <v>0</v>
      </c>
      <c r="AF28" s="51">
        <f>AD28*AE28</f>
        <v>0</v>
      </c>
      <c r="AG28" s="54"/>
      <c r="AH28" s="51">
        <f>AD28*$J$26</f>
        <v>0</v>
      </c>
      <c r="AI28" s="51">
        <f>AE28*$AI$26</f>
        <v>0</v>
      </c>
      <c r="AJ28" s="51">
        <f>AH28*AI28</f>
        <v>0</v>
      </c>
      <c r="AK28" s="54"/>
      <c r="AL28" s="51">
        <f>AH28*$J$26</f>
        <v>0</v>
      </c>
      <c r="AM28" s="51">
        <f>AI28*$AM$26</f>
        <v>0</v>
      </c>
      <c r="AN28" s="51">
        <f>AL28*AM28</f>
        <v>0</v>
      </c>
      <c r="AO28" s="54"/>
      <c r="AP28" s="51">
        <f>AL28*$J$26</f>
        <v>0</v>
      </c>
      <c r="AQ28" s="51">
        <f>AM28*$AQ$26</f>
        <v>0</v>
      </c>
      <c r="AR28" s="51">
        <f>AP28*AQ28</f>
        <v>0</v>
      </c>
      <c r="AS28" s="54"/>
      <c r="AT28" s="51">
        <f>AP28*$J$26</f>
        <v>0</v>
      </c>
      <c r="AU28" s="51">
        <f>AQ28*$AU$26</f>
        <v>0</v>
      </c>
      <c r="AV28" s="51">
        <f>AT28*AU28</f>
        <v>0</v>
      </c>
      <c r="AW28" s="54"/>
      <c r="AX28" s="51">
        <f>AT28*$J$26</f>
        <v>0</v>
      </c>
      <c r="AY28" s="51">
        <f>AU28*$AY$26</f>
        <v>0</v>
      </c>
      <c r="AZ28" s="51">
        <f>AX28*AY28</f>
        <v>0</v>
      </c>
      <c r="BA28" s="54"/>
      <c r="BB28" s="51">
        <f>AX28*$J$26</f>
        <v>0</v>
      </c>
      <c r="BC28" s="51">
        <f>AY28*$BC$26</f>
        <v>0</v>
      </c>
      <c r="BD28" s="51">
        <f>BB28*BC28</f>
        <v>0</v>
      </c>
      <c r="BE28" s="54"/>
      <c r="BF28" s="51">
        <f>BB28*$J$26</f>
        <v>0</v>
      </c>
      <c r="BG28" s="51">
        <f>BC28*$BG$26</f>
        <v>0</v>
      </c>
      <c r="BH28" s="51">
        <f>BF28*BG28</f>
        <v>0</v>
      </c>
      <c r="BI28" s="54"/>
      <c r="BJ28" s="51">
        <f>BF28*$J$26</f>
        <v>0</v>
      </c>
      <c r="BK28" s="51">
        <f>BG28*$BK$26</f>
        <v>0</v>
      </c>
      <c r="BL28" s="51">
        <f>BJ28*BK28</f>
        <v>0</v>
      </c>
      <c r="BM28" s="54"/>
      <c r="BN28" s="51">
        <f>BJ28*$J$26</f>
        <v>0</v>
      </c>
      <c r="BO28" s="51">
        <f>BK28*$BO$26</f>
        <v>0</v>
      </c>
      <c r="BP28" s="51">
        <f>BN28*BO28</f>
        <v>0</v>
      </c>
      <c r="BQ28" s="54"/>
      <c r="BR28" s="51">
        <f>BN28*$J$26</f>
        <v>0</v>
      </c>
      <c r="BS28" s="51">
        <f>BO28*$BS$26</f>
        <v>0</v>
      </c>
      <c r="BT28" s="51">
        <f>BR28*BS28</f>
        <v>0</v>
      </c>
      <c r="BU28" s="54"/>
      <c r="BV28" s="51">
        <f>BR28*$J$26</f>
        <v>0</v>
      </c>
      <c r="BW28" s="51">
        <f>BS28*$BW$26</f>
        <v>0</v>
      </c>
      <c r="BX28" s="51">
        <f>BV28*BW28</f>
        <v>0</v>
      </c>
      <c r="BY28" s="54"/>
      <c r="BZ28" s="51">
        <f>BV28*$J$26</f>
        <v>0</v>
      </c>
      <c r="CA28" s="51">
        <f>BW28*$CA$26</f>
        <v>0</v>
      </c>
      <c r="CB28" s="51">
        <f>BZ28*CA28</f>
        <v>0</v>
      </c>
      <c r="CC28" s="54"/>
      <c r="CD28" s="51">
        <f>BZ28*$J$26</f>
        <v>0</v>
      </c>
      <c r="CE28" s="51">
        <f>CA28*$CE$26</f>
        <v>0</v>
      </c>
      <c r="CF28" s="51">
        <f>CD28*CE28</f>
        <v>0</v>
      </c>
      <c r="CG28" s="54"/>
      <c r="CH28" s="51">
        <f>CD28*$J$26</f>
        <v>0</v>
      </c>
      <c r="CI28" s="51">
        <f>CE28*$CI$26</f>
        <v>0</v>
      </c>
      <c r="CJ28" s="51">
        <f>CH28*CI28</f>
        <v>0</v>
      </c>
      <c r="CK28" s="54"/>
      <c r="CL28" s="51">
        <f>CH28*$J$26</f>
        <v>0</v>
      </c>
      <c r="CM28" s="51">
        <f>CI28*$CM$26</f>
        <v>0</v>
      </c>
      <c r="CN28" s="51">
        <f>CL28*CM28</f>
        <v>0</v>
      </c>
      <c r="CO28" s="54"/>
      <c r="CP28" s="51">
        <f>CL28*$J$26</f>
        <v>0</v>
      </c>
      <c r="CQ28" s="51">
        <f>CM28*$CQ$26</f>
        <v>0</v>
      </c>
      <c r="CR28" s="51">
        <f>CP28*CQ28</f>
        <v>0</v>
      </c>
      <c r="CS28" s="54"/>
      <c r="CT28" s="51">
        <f>CP28*$J$26</f>
        <v>0</v>
      </c>
      <c r="CU28" s="51">
        <f>CQ28*$CU$26</f>
        <v>0</v>
      </c>
      <c r="CV28" s="51">
        <f>CT28*CU28</f>
        <v>0</v>
      </c>
      <c r="CW28" s="54"/>
      <c r="CX28" s="51">
        <f>CT28*$J$26</f>
        <v>0</v>
      </c>
      <c r="CY28" s="51">
        <f>CU28*$CY$26</f>
        <v>0</v>
      </c>
      <c r="CZ28" s="51">
        <f>CX28*CY28</f>
        <v>0</v>
      </c>
      <c r="DA28" s="54"/>
      <c r="DB28" s="51">
        <f>CX28*$J$26</f>
        <v>0</v>
      </c>
      <c r="DC28" s="51">
        <f>CY28*$DC$26</f>
        <v>0</v>
      </c>
      <c r="DD28" s="51">
        <f>DB28*DC28</f>
        <v>0</v>
      </c>
      <c r="DE28" s="54"/>
      <c r="DF28" s="51">
        <f>DB28*$J$26</f>
        <v>0</v>
      </c>
      <c r="DG28" s="51">
        <f>DC28*$DG$26</f>
        <v>0</v>
      </c>
      <c r="DH28" s="51">
        <f>DF28*DG28</f>
        <v>0</v>
      </c>
      <c r="DI28" s="54"/>
      <c r="DJ28" s="51">
        <f>DF28*$J$26</f>
        <v>0</v>
      </c>
      <c r="DK28" s="51">
        <f>DG28*$DK$26</f>
        <v>0</v>
      </c>
      <c r="DL28" s="51">
        <f>DJ28*DK28</f>
        <v>0</v>
      </c>
      <c r="DM28" s="54"/>
      <c r="DN28" s="51">
        <f>DJ28*$J$26</f>
        <v>0</v>
      </c>
      <c r="DO28" s="51">
        <f>DK28*$DO$26</f>
        <v>0</v>
      </c>
      <c r="DP28" s="51">
        <f>DN28*DO28</f>
        <v>0</v>
      </c>
      <c r="DQ28" s="54"/>
      <c r="DR28" s="51">
        <f>DN28*$J$26</f>
        <v>0</v>
      </c>
      <c r="DS28" s="51">
        <f>DO28*$DS$26</f>
        <v>0</v>
      </c>
      <c r="DT28" s="51">
        <f>DR28*DS28</f>
        <v>0</v>
      </c>
      <c r="DU28" s="54"/>
      <c r="DV28" s="51">
        <f>DR28*$J$26</f>
        <v>0</v>
      </c>
      <c r="DW28" s="51">
        <f>DS28*$DW$26</f>
        <v>0</v>
      </c>
      <c r="DX28" s="51">
        <f>DV28*DW28</f>
        <v>0</v>
      </c>
      <c r="DY28" s="54"/>
      <c r="DZ28" s="51">
        <f>DV28*$J$26</f>
        <v>0</v>
      </c>
      <c r="EA28" s="51">
        <f>DW28*$EA$26</f>
        <v>0</v>
      </c>
      <c r="EB28" s="51">
        <f>DZ28*EA28</f>
        <v>0</v>
      </c>
      <c r="EC28" s="54"/>
      <c r="ED28" s="51">
        <f>DZ28*$J$26</f>
        <v>0</v>
      </c>
      <c r="EE28" s="51">
        <f>EA28*$EE$26</f>
        <v>0</v>
      </c>
      <c r="EF28" s="51">
        <f>ED28*EE28</f>
        <v>0</v>
      </c>
      <c r="EG28" s="54"/>
      <c r="EH28" s="51">
        <f>ED28*$J$26</f>
        <v>0</v>
      </c>
      <c r="EI28" s="51">
        <f>EE28*$EI$26</f>
        <v>0</v>
      </c>
      <c r="EJ28" s="51">
        <f>EH28*EI28</f>
        <v>0</v>
      </c>
      <c r="EK28" s="54"/>
      <c r="EL28" s="51">
        <f>EH28*$J$26</f>
        <v>0</v>
      </c>
      <c r="EM28" s="51">
        <f>EI28*$EM$26</f>
        <v>0</v>
      </c>
      <c r="EN28" s="51">
        <f>EL28*EM28</f>
        <v>0</v>
      </c>
      <c r="EO28" s="54"/>
      <c r="EP28" s="51">
        <f>EL28*$J$26</f>
        <v>0</v>
      </c>
      <c r="EQ28" s="51">
        <f>EM28*$EQ$26</f>
        <v>0</v>
      </c>
      <c r="ER28" s="51">
        <f>EP28*EQ28</f>
        <v>0</v>
      </c>
      <c r="ES28" s="54"/>
      <c r="ET28" s="51">
        <f>EP28*$J$26</f>
        <v>0</v>
      </c>
      <c r="EU28" s="51">
        <f>EQ28*$EU$26</f>
        <v>0</v>
      </c>
      <c r="EV28" s="51">
        <f>ET28*EU28</f>
        <v>0</v>
      </c>
      <c r="EW28" s="54"/>
      <c r="EX28" s="51">
        <f>ET28*$J$26</f>
        <v>0</v>
      </c>
      <c r="EY28" s="51">
        <f>EU28*$EY$26</f>
        <v>0</v>
      </c>
      <c r="EZ28" s="51">
        <f>EX28*EY28</f>
        <v>0</v>
      </c>
      <c r="FA28" s="54"/>
      <c r="FB28" s="51">
        <f>EX28*$J$26</f>
        <v>0</v>
      </c>
      <c r="FC28" s="51">
        <f>EY28*$FC$26</f>
        <v>0</v>
      </c>
      <c r="FD28" s="51">
        <f>FB28*FC28</f>
        <v>0</v>
      </c>
      <c r="FE28" s="54"/>
      <c r="FF28" s="51">
        <f>FB28*$J$26</f>
        <v>0</v>
      </c>
      <c r="FG28" s="51">
        <f>FC28*$FG$26</f>
        <v>0</v>
      </c>
      <c r="FH28" s="51">
        <f>FF28*FG28</f>
        <v>0</v>
      </c>
      <c r="FI28" s="54"/>
      <c r="FJ28" s="51">
        <f>FF28*$J$26</f>
        <v>0</v>
      </c>
      <c r="FK28" s="51">
        <f>FG28*$FK$26</f>
        <v>0</v>
      </c>
      <c r="FL28" s="51">
        <f>FJ28*FK28</f>
        <v>0</v>
      </c>
      <c r="FM28" s="54"/>
      <c r="FN28" s="51">
        <f>FJ28*$J$26</f>
        <v>0</v>
      </c>
      <c r="FO28" s="51">
        <f>FK28*$FO$26</f>
        <v>0</v>
      </c>
      <c r="FP28" s="51">
        <f>FN28*FO28</f>
        <v>0</v>
      </c>
      <c r="FQ28" s="54"/>
      <c r="FR28" s="51">
        <f>FN28*$J$26</f>
        <v>0</v>
      </c>
      <c r="FS28" s="51">
        <f>FO28*$FS$26</f>
        <v>0</v>
      </c>
      <c r="FT28" s="51">
        <f>FR28*FS28</f>
        <v>0</v>
      </c>
      <c r="FU28" s="54"/>
      <c r="FV28" s="51">
        <f>FR28*$J$26</f>
        <v>0</v>
      </c>
      <c r="FW28" s="51">
        <f>FS28*$FW$26</f>
        <v>0</v>
      </c>
      <c r="FX28" s="51">
        <f>FV28*FW28</f>
        <v>0</v>
      </c>
      <c r="FY28" s="54"/>
      <c r="FZ28" s="51">
        <f>FV28*$J$26</f>
        <v>0</v>
      </c>
      <c r="GA28" s="51">
        <f>FW28*$GA$26</f>
        <v>0</v>
      </c>
      <c r="GB28" s="51">
        <f>FZ28*GA28</f>
        <v>0</v>
      </c>
      <c r="GD28" s="51">
        <f>FZ28*$J$26</f>
        <v>0</v>
      </c>
      <c r="GE28" s="51">
        <f>GA28*$GE$26</f>
        <v>0</v>
      </c>
      <c r="GF28" s="51">
        <f>GD28*GE28</f>
        <v>0</v>
      </c>
      <c r="GG28" s="54"/>
      <c r="GH28" s="51">
        <f>GD28*$J$26</f>
        <v>0</v>
      </c>
      <c r="GI28" s="51">
        <f>GE28*$GI$26</f>
        <v>0</v>
      </c>
      <c r="GJ28" s="51">
        <f>GH28*GI28</f>
        <v>0</v>
      </c>
      <c r="GK28" s="54"/>
      <c r="GL28" s="51">
        <f>GH28*$J$26</f>
        <v>0</v>
      </c>
      <c r="GM28" s="51">
        <f>GI28*$GM$26</f>
        <v>0</v>
      </c>
      <c r="GN28" s="51">
        <f>GL28*GM28</f>
        <v>0</v>
      </c>
      <c r="GO28" s="54"/>
      <c r="GP28" s="51">
        <f>GL28*$J$26</f>
        <v>0</v>
      </c>
      <c r="GQ28" s="51">
        <f>GM28*$GQ$26</f>
        <v>0</v>
      </c>
      <c r="GR28" s="51">
        <f>GP28*GQ28</f>
        <v>0</v>
      </c>
      <c r="GS28" s="54"/>
      <c r="GT28" s="51">
        <f>GP28*$J$26</f>
        <v>0</v>
      </c>
      <c r="GU28" s="51">
        <f>GQ28*$GU$26</f>
        <v>0</v>
      </c>
      <c r="GV28" s="51">
        <f>GT28*GU28</f>
        <v>0</v>
      </c>
      <c r="GW28" s="54"/>
      <c r="GX28" s="51">
        <f>GT28*$J$26</f>
        <v>0</v>
      </c>
      <c r="GY28" s="51">
        <f>GU28*$GY$26</f>
        <v>0</v>
      </c>
      <c r="GZ28" s="51">
        <f>GX28*GY28</f>
        <v>0</v>
      </c>
      <c r="HA28" s="54"/>
      <c r="HB28" s="51">
        <f>GX28*$J$26</f>
        <v>0</v>
      </c>
      <c r="HC28" s="51">
        <f>GY28*$HC$26</f>
        <v>0</v>
      </c>
      <c r="HD28" s="51">
        <f>HB28*HC28</f>
        <v>0</v>
      </c>
      <c r="HE28" s="54"/>
      <c r="HF28" s="51">
        <f>HB28*$J$26</f>
        <v>0</v>
      </c>
      <c r="HG28" s="51">
        <f>HC28*$HG$26</f>
        <v>0</v>
      </c>
      <c r="HH28" s="51">
        <f>HF28*HG28</f>
        <v>0</v>
      </c>
      <c r="HI28" s="54"/>
      <c r="HJ28" s="51">
        <f>HF28*$J$26</f>
        <v>0</v>
      </c>
      <c r="HK28" s="51">
        <f>HG28*$HK$26</f>
        <v>0</v>
      </c>
      <c r="HL28" s="51">
        <f>HJ28*HK28</f>
        <v>0</v>
      </c>
      <c r="HM28" s="54"/>
      <c r="HN28" s="51">
        <f>HJ28*$J$26</f>
        <v>0</v>
      </c>
      <c r="HO28" s="51">
        <f>HK28*$HO$26</f>
        <v>0</v>
      </c>
      <c r="HP28" s="51">
        <f>HN28*HO28</f>
        <v>0</v>
      </c>
      <c r="HQ28" s="54"/>
      <c r="HR28" s="51">
        <f>HN28*$J$26</f>
        <v>0</v>
      </c>
      <c r="HS28" s="51">
        <f>HO28*$HS$26</f>
        <v>0</v>
      </c>
      <c r="HT28" s="51">
        <f>HR28*HS28</f>
        <v>0</v>
      </c>
      <c r="HU28" s="54"/>
      <c r="HV28" s="51">
        <f>HR28*$J$26</f>
        <v>0</v>
      </c>
      <c r="HW28" s="51">
        <f>HS28*$HW$26</f>
        <v>0</v>
      </c>
      <c r="HX28" s="51">
        <f>HV28*HW28</f>
        <v>0</v>
      </c>
      <c r="HZ28" s="51">
        <f>HV28*$J$26</f>
        <v>0</v>
      </c>
      <c r="IA28" s="51">
        <f>HW28*$IA$26</f>
        <v>0</v>
      </c>
      <c r="IB28" s="51">
        <f>HZ28*IA28</f>
        <v>0</v>
      </c>
      <c r="IC28" s="54"/>
      <c r="ID28" s="51">
        <f>HZ28*$J$26</f>
        <v>0</v>
      </c>
      <c r="IE28" s="51">
        <f>IA28*$IE$26</f>
        <v>0</v>
      </c>
      <c r="IF28" s="51">
        <f>ID28*IE28</f>
        <v>0</v>
      </c>
      <c r="IG28" s="54"/>
      <c r="IH28" s="51">
        <f>ID28*$J$26</f>
        <v>0</v>
      </c>
      <c r="II28" s="51">
        <f>IE28*$II$26</f>
        <v>0</v>
      </c>
      <c r="IJ28" s="51">
        <f>IH28*II28</f>
        <v>0</v>
      </c>
      <c r="IK28" s="54"/>
      <c r="IL28" s="80">
        <f>SUMIFS($F28:$IK28,$F$3:$IK$3,IL$5,$F$6:$IK$6,IL$6)</f>
        <v>0</v>
      </c>
      <c r="IM28" s="80">
        <v>0</v>
      </c>
      <c r="IN28" s="80">
        <f>SUMIFS($F28:$IK28,$F$3:$IK$3,IL$5,$F$6:$IK$6,IN$6)</f>
        <v>0</v>
      </c>
      <c r="IP28" s="80">
        <f>SUMIFS($F28:$IK28,$F$3:$IK$3,IP$5,$F$6:$IK$6,IP$6)</f>
        <v>0</v>
      </c>
      <c r="IQ28" s="80" t="e">
        <f>IR28/IP28</f>
        <v>#DIV/0!</v>
      </c>
      <c r="IR28" s="80">
        <f>SUMIFS($F28:$IK28,$F$3:$IK$3,IP$5,$F$6:$IK$6,IR$6)</f>
        <v>0</v>
      </c>
      <c r="IT28" s="80">
        <f>SUMIFS($F28:$IK28,$F$3:$IK$3,IT$5,$F$6:$IK$6,IT$6)</f>
        <v>0</v>
      </c>
      <c r="IU28" s="80" t="e">
        <f>IV28/IT28</f>
        <v>#DIV/0!</v>
      </c>
      <c r="IV28" s="80">
        <f>SUMIFS($F28:$IK28,$F$3:$IK$3,IT$5,$F$6:$IK$6,IV$6)</f>
        <v>0</v>
      </c>
      <c r="IX28" s="80">
        <f>SUMIFS($F28:$IK28,$F$3:$IK$3,IX$5,$F$6:$IK$6,IX$6)</f>
        <v>0</v>
      </c>
      <c r="IY28" s="80" t="e">
        <f>IZ28/IX28</f>
        <v>#DIV/0!</v>
      </c>
      <c r="IZ28" s="80">
        <f>SUMIFS($F28:$IK28,$F$3:$IK$3,IX$5,$F$6:$IK$6,IZ$6)</f>
        <v>0</v>
      </c>
      <c r="JB28" s="80">
        <f>SUMIFS($F28:$IK28,$F$3:$IK$3,JB$5,$F$6:$IK$6,JB$6)</f>
        <v>0</v>
      </c>
      <c r="JC28" s="80" t="e">
        <f>JD28/JB28</f>
        <v>#DIV/0!</v>
      </c>
      <c r="JD28" s="80">
        <f>SUMIFS($F28:$IK28,$F$3:$IK$3,JB$5,$F$6:$IK$6,JD$6)</f>
        <v>0</v>
      </c>
      <c r="JF28" s="80">
        <f>SUMIFS($F28:$IK28,$F$3:$IK$3,JF$5,$F$6:$IK$6,JF$6)</f>
        <v>0</v>
      </c>
      <c r="JG28" s="80" t="e">
        <f>JH28/JF28</f>
        <v>#DIV/0!</v>
      </c>
      <c r="JH28" s="80">
        <f>SUMIFS($F28:$IK28,$F$3:$IK$3,JF$5,$F$6:$IK$6,JH$6)</f>
        <v>0</v>
      </c>
    </row>
    <row r="29" ht="18.75" customHeight="1" spans="2:268" x14ac:dyDescent="0.25">
      <c r="B29" s="5" t="s">
        <v>66</v>
      </c>
      <c r="C29" s="29"/>
      <c r="D29" s="29">
        <f>'A.I Revenue Streams - P1'!E29</f>
        <v>0</v>
      </c>
      <c r="E29" s="30"/>
      <c r="F29" s="51">
        <f>'A.I Revenue Streams - P1'!G29</f>
        <v>0</v>
      </c>
      <c r="G29" s="51">
        <f>'A.I Revenue Streams - P1'!I29</f>
        <v>0</v>
      </c>
      <c r="H29" s="51">
        <f>F29*G29</f>
        <v>0</v>
      </c>
      <c r="I29" s="54"/>
      <c r="J29" s="51">
        <f>F29*$J$26</f>
        <v>0</v>
      </c>
      <c r="K29" s="51">
        <f>G29*$K$26</f>
        <v>0</v>
      </c>
      <c r="L29" s="51">
        <f>J29*K29</f>
        <v>0</v>
      </c>
      <c r="M29" s="54"/>
      <c r="N29" s="51">
        <f>J29*$N$26</f>
        <v>0</v>
      </c>
      <c r="O29" s="51">
        <f>K29*$O$26</f>
        <v>0</v>
      </c>
      <c r="P29" s="51">
        <f t="shared" ref="P29:P30" si="349">N29*O29</f>
        <v>0</v>
      </c>
      <c r="Q29" s="54"/>
      <c r="R29" s="51">
        <f>N29*$R$26</f>
        <v>0</v>
      </c>
      <c r="S29" s="51">
        <f>O29*$S$26</f>
        <v>0</v>
      </c>
      <c r="T29" s="51">
        <f t="shared" ref="T29:T30" si="350">R29*S29</f>
        <v>0</v>
      </c>
      <c r="U29" s="54"/>
      <c r="V29" s="51">
        <f>R29*$V$26</f>
        <v>0</v>
      </c>
      <c r="W29" s="51">
        <f>S29*$W$26</f>
        <v>0</v>
      </c>
      <c r="X29" s="51">
        <f t="shared" ref="X29:X30" si="351">V29*W29</f>
        <v>0</v>
      </c>
      <c r="Y29" s="54"/>
      <c r="Z29" s="51">
        <f>V29*$Z$26</f>
        <v>0</v>
      </c>
      <c r="AA29" s="51">
        <f>W29*$AA$26</f>
        <v>0</v>
      </c>
      <c r="AB29" s="51">
        <f t="shared" ref="AB29:AB30" si="352">Z29*AA29</f>
        <v>0</v>
      </c>
      <c r="AC29" s="54"/>
      <c r="AD29" s="51">
        <f>Z29*$AD$26</f>
        <v>0</v>
      </c>
      <c r="AE29" s="51">
        <f>AA29*$AE$26</f>
        <v>0</v>
      </c>
      <c r="AF29" s="51">
        <f t="shared" ref="AF29:AF30" si="353">AD29*AE29</f>
        <v>0</v>
      </c>
      <c r="AG29" s="54"/>
      <c r="AH29" s="51">
        <f>AD29*$AH$26</f>
        <v>0</v>
      </c>
      <c r="AI29" s="51">
        <f>AE29*$AI$26</f>
        <v>0</v>
      </c>
      <c r="AJ29" s="51">
        <f t="shared" ref="AJ29:AJ30" si="354">AH29*AI29</f>
        <v>0</v>
      </c>
      <c r="AK29" s="54"/>
      <c r="AL29" s="51">
        <f>AH29*$AL$26</f>
        <v>0</v>
      </c>
      <c r="AM29" s="51">
        <f>AI29*$AM$26</f>
        <v>0</v>
      </c>
      <c r="AN29" s="51">
        <f t="shared" ref="AN29:AN30" si="355">AL29*AM29</f>
        <v>0</v>
      </c>
      <c r="AO29" s="54"/>
      <c r="AP29" s="51">
        <f>AL29*$AP$26</f>
        <v>0</v>
      </c>
      <c r="AQ29" s="51">
        <f>AM29*$AQ$26</f>
        <v>0</v>
      </c>
      <c r="AR29" s="51">
        <f t="shared" ref="AR29:AR30" si="356">AP29*AQ29</f>
        <v>0</v>
      </c>
      <c r="AS29" s="54"/>
      <c r="AT29" s="51">
        <f t="shared" ref="AT29:AT30" si="357">AP29*$AT$26</f>
        <v>0</v>
      </c>
      <c r="AU29" s="51">
        <f t="shared" ref="AU29:AU30" si="358">AQ29*$AU$26</f>
        <v>0</v>
      </c>
      <c r="AV29" s="51">
        <f t="shared" ref="AV29:AV30" si="359">AT29*AU29</f>
        <v>0</v>
      </c>
      <c r="AW29" s="54"/>
      <c r="AX29" s="51">
        <f t="shared" ref="AX29:AX30" si="360">AT29*$AX$26</f>
        <v>0</v>
      </c>
      <c r="AY29" s="51">
        <f t="shared" ref="AY29:AY30" si="361">AU29*$AY$26</f>
        <v>0</v>
      </c>
      <c r="AZ29" s="51">
        <f t="shared" ref="AZ29:AZ30" si="362">AX29*AY29</f>
        <v>0</v>
      </c>
      <c r="BA29" s="54"/>
      <c r="BB29" s="51">
        <f t="shared" ref="BB29:BB30" si="363">AX29*$BB$26</f>
        <v>0</v>
      </c>
      <c r="BC29" s="51">
        <f t="shared" ref="BC29:BC30" si="364">AY29*$BC$26</f>
        <v>0</v>
      </c>
      <c r="BD29" s="51">
        <f t="shared" ref="BD29:BD30" si="365">BB29*BC29</f>
        <v>0</v>
      </c>
      <c r="BE29" s="54"/>
      <c r="BF29" s="51">
        <f t="shared" ref="BF29:BF30" si="366">BB29*$BF$26</f>
        <v>0</v>
      </c>
      <c r="BG29" s="51">
        <f t="shared" ref="BG29:BG30" si="367">BC29*$BG$26</f>
        <v>0</v>
      </c>
      <c r="BH29" s="51">
        <f t="shared" ref="BH29:BH30" si="368">BF29*BG29</f>
        <v>0</v>
      </c>
      <c r="BI29" s="54"/>
      <c r="BJ29" s="51">
        <f t="shared" ref="BJ29:BJ30" si="369">BF29*$BJ$26</f>
        <v>0</v>
      </c>
      <c r="BK29" s="51">
        <f t="shared" ref="BK29:BK30" si="370">BG29*$BK$26</f>
        <v>0</v>
      </c>
      <c r="BL29" s="51">
        <f t="shared" ref="BL29:BL30" si="371">BJ29*BK29</f>
        <v>0</v>
      </c>
      <c r="BM29" s="54"/>
      <c r="BN29" s="51">
        <f t="shared" ref="BN29:BN30" si="372">BJ29*$BN$26</f>
        <v>0</v>
      </c>
      <c r="BO29" s="51">
        <f t="shared" ref="BO29:BO30" si="373">BK29*$BO$26</f>
        <v>0</v>
      </c>
      <c r="BP29" s="51">
        <f t="shared" ref="BP29:BP30" si="374">BN29*BO29</f>
        <v>0</v>
      </c>
      <c r="BQ29" s="54"/>
      <c r="BR29" s="51">
        <f t="shared" ref="BR29:BR30" si="375">BN29*$BR$26</f>
        <v>0</v>
      </c>
      <c r="BS29" s="51">
        <f t="shared" ref="BS29:BS30" si="376">BO29*$BS$26</f>
        <v>0</v>
      </c>
      <c r="BT29" s="51">
        <f t="shared" ref="BT29:BT30" si="377">BR29*BS29</f>
        <v>0</v>
      </c>
      <c r="BU29" s="54"/>
      <c r="BV29" s="51">
        <f t="shared" ref="BV29:BV30" si="378">BR29*$BV$26</f>
        <v>0</v>
      </c>
      <c r="BW29" s="51">
        <f t="shared" ref="BW29:BW30" si="379">BS29*$BW$26</f>
        <v>0</v>
      </c>
      <c r="BX29" s="51">
        <f t="shared" ref="BX29:BX30" si="380">BV29*BW29</f>
        <v>0</v>
      </c>
      <c r="BY29" s="54"/>
      <c r="BZ29" s="51">
        <f t="shared" ref="BZ29:BZ30" si="381">BV29*$BZ$26</f>
        <v>0</v>
      </c>
      <c r="CA29" s="51">
        <f t="shared" ref="CA29:CA30" si="382">BW29*$CA$26</f>
        <v>0</v>
      </c>
      <c r="CB29" s="51">
        <f t="shared" ref="CB29:CB30" si="383">BZ29*CA29</f>
        <v>0</v>
      </c>
      <c r="CC29" s="54"/>
      <c r="CD29" s="51">
        <f t="shared" ref="CD29:CD30" si="384">BZ29*$CD$26</f>
        <v>0</v>
      </c>
      <c r="CE29" s="51">
        <f t="shared" ref="CE29:CE30" si="385">CA29*$CE$26</f>
        <v>0</v>
      </c>
      <c r="CF29" s="51">
        <f t="shared" ref="CF29:CF30" si="386">CD29*CE29</f>
        <v>0</v>
      </c>
      <c r="CG29" s="54"/>
      <c r="CH29" s="51">
        <f t="shared" ref="CH29:CH30" si="387">CD29*$CH$26</f>
        <v>0</v>
      </c>
      <c r="CI29" s="51">
        <f t="shared" ref="CI29:CI30" si="388">CE29*$CI$26</f>
        <v>0</v>
      </c>
      <c r="CJ29" s="51">
        <f t="shared" ref="CJ29:CJ30" si="389">CH29*CI29</f>
        <v>0</v>
      </c>
      <c r="CK29" s="54"/>
      <c r="CL29" s="51">
        <f>CH29*$CL$26</f>
        <v>0</v>
      </c>
      <c r="CM29" s="51">
        <f>CI29*$CM$26</f>
        <v>0</v>
      </c>
      <c r="CN29" s="51">
        <f t="shared" ref="CN29:CN30" si="390">CL29*CM29</f>
        <v>0</v>
      </c>
      <c r="CO29" s="54"/>
      <c r="CP29" s="51">
        <f t="shared" ref="CP29:CP30" si="391">CL29*$CP$26</f>
        <v>0</v>
      </c>
      <c r="CQ29" s="51">
        <f t="shared" ref="CQ29:CQ30" si="392">CM29*$CQ$26</f>
        <v>0</v>
      </c>
      <c r="CR29" s="51">
        <f t="shared" ref="CR29:CR30" si="393">CP29*CQ29</f>
        <v>0</v>
      </c>
      <c r="CS29" s="54"/>
      <c r="CT29" s="51">
        <f t="shared" ref="CT29:CT30" si="394">CP29*$CT$26</f>
        <v>0</v>
      </c>
      <c r="CU29" s="51">
        <f t="shared" ref="CU29:CU30" si="395">CQ29*$CU$26</f>
        <v>0</v>
      </c>
      <c r="CV29" s="51">
        <f t="shared" ref="CV29:CV30" si="396">CT29*CU29</f>
        <v>0</v>
      </c>
      <c r="CW29" s="54"/>
      <c r="CX29" s="51">
        <f t="shared" ref="CX29:CX30" si="397">CT29*$CX$26</f>
        <v>0</v>
      </c>
      <c r="CY29" s="51">
        <f t="shared" ref="CY29:CY30" si="398">CU29*$CY$26</f>
        <v>0</v>
      </c>
      <c r="CZ29" s="51">
        <f t="shared" ref="CZ29:CZ30" si="399">CX29*CY29</f>
        <v>0</v>
      </c>
      <c r="DA29" s="54"/>
      <c r="DB29" s="51">
        <f t="shared" ref="DB29:DB30" si="400">CX29*$DB$26</f>
        <v>0</v>
      </c>
      <c r="DC29" s="51">
        <f t="shared" ref="DC29:DC30" si="401">CY29*$DC$26</f>
        <v>0</v>
      </c>
      <c r="DD29" s="51">
        <f t="shared" ref="DD29:DD30" si="402">DB29*DC29</f>
        <v>0</v>
      </c>
      <c r="DE29" s="54"/>
      <c r="DF29" s="51">
        <f t="shared" ref="DF29:DF30" si="403">DB29*$DF$26</f>
        <v>0</v>
      </c>
      <c r="DG29" s="51">
        <f t="shared" ref="DG29:DG30" si="404">DC29*$DG$26</f>
        <v>0</v>
      </c>
      <c r="DH29" s="51">
        <f t="shared" ref="DH29:DH30" si="405">DF29*DG29</f>
        <v>0</v>
      </c>
      <c r="DI29" s="54"/>
      <c r="DJ29" s="51">
        <f t="shared" ref="DJ29:DJ30" si="406">DF29*$DJ$26</f>
        <v>0</v>
      </c>
      <c r="DK29" s="51">
        <f t="shared" ref="DK29:DK30" si="407">DG29*$DK$26</f>
        <v>0</v>
      </c>
      <c r="DL29" s="51">
        <f t="shared" ref="DL29:DL30" si="408">DJ29*DK29</f>
        <v>0</v>
      </c>
      <c r="DM29" s="54"/>
      <c r="DN29" s="51">
        <f t="shared" ref="DN29:DN30" si="409">DJ29*$DN$26</f>
        <v>0</v>
      </c>
      <c r="DO29" s="51">
        <f t="shared" ref="DO29:DO30" si="410">DK29*$DO$26</f>
        <v>0</v>
      </c>
      <c r="DP29" s="51">
        <f t="shared" ref="DP29:DP30" si="411">DN29*DO29</f>
        <v>0</v>
      </c>
      <c r="DQ29" s="54"/>
      <c r="DR29" s="51">
        <f t="shared" ref="DR29:DR30" si="412">DN29*$DR$26</f>
        <v>0</v>
      </c>
      <c r="DS29" s="51">
        <f t="shared" ref="DS29:DS30" si="413">DO29*$DS$26</f>
        <v>0</v>
      </c>
      <c r="DT29" s="51">
        <f t="shared" ref="DT29:DT30" si="414">DR29*DS29</f>
        <v>0</v>
      </c>
      <c r="DU29" s="54"/>
      <c r="DV29" s="51">
        <f t="shared" ref="DV29:DV30" si="415">DR29*$DV$26</f>
        <v>0</v>
      </c>
      <c r="DW29" s="51">
        <f t="shared" ref="DW29:DW30" si="416">DS29*$DW$26</f>
        <v>0</v>
      </c>
      <c r="DX29" s="51">
        <f t="shared" ref="DX29:DX30" si="417">DV29*DW29</f>
        <v>0</v>
      </c>
      <c r="DY29" s="54"/>
      <c r="DZ29" s="51">
        <f t="shared" ref="DZ29:DZ30" si="418">DV29*$DZ$26</f>
        <v>0</v>
      </c>
      <c r="EA29" s="51">
        <f t="shared" ref="EA29:EA30" si="419">DW29*$EA$26</f>
        <v>0</v>
      </c>
      <c r="EB29" s="51">
        <f t="shared" ref="EB29:EB30" si="420">DZ29*EA29</f>
        <v>0</v>
      </c>
      <c r="EC29" s="54"/>
      <c r="ED29" s="51">
        <f t="shared" ref="ED29:ED30" si="421">DZ29*$ED$26</f>
        <v>0</v>
      </c>
      <c r="EE29" s="51">
        <f t="shared" ref="EE29:EE30" si="422">EA29*$EE$26</f>
        <v>0</v>
      </c>
      <c r="EF29" s="51">
        <f t="shared" ref="EF29:EF30" si="423">ED29*EE29</f>
        <v>0</v>
      </c>
      <c r="EG29" s="54"/>
      <c r="EH29" s="51">
        <f>ED29*$EH$26</f>
        <v>0</v>
      </c>
      <c r="EI29" s="51">
        <f>EE29*$EI$26</f>
        <v>0</v>
      </c>
      <c r="EJ29" s="51">
        <f t="shared" ref="EJ29:EJ30" si="424">EH29*EI29</f>
        <v>0</v>
      </c>
      <c r="EK29" s="54"/>
      <c r="EL29" s="51">
        <f t="shared" ref="EL29:EL30" si="425">EH29*$EL$26</f>
        <v>0</v>
      </c>
      <c r="EM29" s="51">
        <f t="shared" ref="EM29:EM30" si="426">EI29*$EM$26</f>
        <v>0</v>
      </c>
      <c r="EN29" s="51">
        <f t="shared" ref="EN29:EN30" si="427">EL29*EM29</f>
        <v>0</v>
      </c>
      <c r="EO29" s="54"/>
      <c r="EP29" s="51">
        <f t="shared" ref="EP29:EP30" si="428">EL29*$EP$26</f>
        <v>0</v>
      </c>
      <c r="EQ29" s="51">
        <f t="shared" ref="EQ29:EQ30" si="429">EM29*$EQ$26</f>
        <v>0</v>
      </c>
      <c r="ER29" s="51">
        <f t="shared" ref="ER29:ER30" si="430">EP29*EQ29</f>
        <v>0</v>
      </c>
      <c r="ES29" s="54"/>
      <c r="ET29" s="51">
        <f t="shared" ref="ET29:ET30" si="431">EP29*$ET$26</f>
        <v>0</v>
      </c>
      <c r="EU29" s="51">
        <f t="shared" ref="EU29:EU30" si="432">EQ29*$EU$26</f>
        <v>0</v>
      </c>
      <c r="EV29" s="51">
        <f t="shared" ref="EV29:EV30" si="433">ET29*EU29</f>
        <v>0</v>
      </c>
      <c r="EW29" s="54"/>
      <c r="EX29" s="51">
        <f>ET29*$EX$26</f>
        <v>0</v>
      </c>
      <c r="EY29" s="51">
        <f>EU29*$EY$26</f>
        <v>0</v>
      </c>
      <c r="EZ29" s="51">
        <f t="shared" ref="EZ29:EZ30" si="434">EX29*EY29</f>
        <v>0</v>
      </c>
      <c r="FA29" s="54"/>
      <c r="FB29" s="51">
        <f t="shared" ref="FB29:FB30" si="435">EX29*$FB$26</f>
        <v>0</v>
      </c>
      <c r="FC29" s="51">
        <f t="shared" ref="FC29:FC30" si="436">EY29*$FC$26</f>
        <v>0</v>
      </c>
      <c r="FD29" s="51">
        <f t="shared" ref="FD29:FD30" si="437">FB29*FC29</f>
        <v>0</v>
      </c>
      <c r="FE29" s="54"/>
      <c r="FF29" s="51">
        <f t="shared" ref="FF29" si="438">FB29*$FF$26</f>
        <v>0</v>
      </c>
      <c r="FG29" s="51">
        <f t="shared" ref="FG29" si="439">FC29*$FG$26</f>
        <v>0</v>
      </c>
      <c r="FH29" s="51">
        <f t="shared" ref="FH29:FH30" si="440">FF29*FG29</f>
        <v>0</v>
      </c>
      <c r="FI29" s="54"/>
      <c r="FJ29" s="51">
        <f t="shared" ref="FJ29:FJ30" si="441">FF29*$FJ$26</f>
        <v>0</v>
      </c>
      <c r="FK29" s="51">
        <f t="shared" ref="FK29:FK30" si="442">FG29*$FK$26</f>
        <v>0</v>
      </c>
      <c r="FL29" s="51">
        <f t="shared" ref="FL29:FL30" si="443">FJ29*FK29</f>
        <v>0</v>
      </c>
      <c r="FM29" s="54"/>
      <c r="FN29" s="51">
        <f t="shared" ref="FN29:FN30" si="444">FJ29*$FN$26</f>
        <v>0</v>
      </c>
      <c r="FO29" s="51">
        <f t="shared" ref="FO29:FO30" si="445">FK29*$FO$26</f>
        <v>0</v>
      </c>
      <c r="FP29" s="51">
        <f t="shared" ref="FP29:FP30" si="446">FN29*FO29</f>
        <v>0</v>
      </c>
      <c r="FQ29" s="54"/>
      <c r="FR29" s="51">
        <f t="shared" ref="FR29:FR30" si="447">FN29*$FR$26</f>
        <v>0</v>
      </c>
      <c r="FS29" s="51">
        <f t="shared" ref="FS29:FS30" si="448">FO29*$FS$26</f>
        <v>0</v>
      </c>
      <c r="FT29" s="51">
        <f t="shared" ref="FT29:FT30" si="449">FR29*FS29</f>
        <v>0</v>
      </c>
      <c r="FU29" s="54"/>
      <c r="FV29" s="51">
        <f t="shared" ref="FV29:FV30" si="450">FR29*$FV$26</f>
        <v>0</v>
      </c>
      <c r="FW29" s="51">
        <f t="shared" ref="FW29:FW30" si="451">FS29*$FW$26</f>
        <v>0</v>
      </c>
      <c r="FX29" s="51">
        <f t="shared" ref="FX29:FX30" si="452">FV29*FW29</f>
        <v>0</v>
      </c>
      <c r="FY29" s="54"/>
      <c r="FZ29" s="51">
        <f t="shared" ref="FZ29:FZ30" si="453">FV29*$FZ$26</f>
        <v>0</v>
      </c>
      <c r="GA29" s="51">
        <f t="shared" ref="GA29:GA30" si="454">FW29*$GA$26</f>
        <v>0</v>
      </c>
      <c r="GB29" s="51">
        <f t="shared" ref="GB29:GB30" si="455">FZ29*GA29</f>
        <v>0</v>
      </c>
      <c r="GD29" s="51">
        <f>FZ29*$GD$26</f>
        <v>0</v>
      </c>
      <c r="GE29" s="51">
        <f>GA29*$GE$26</f>
        <v>0</v>
      </c>
      <c r="GF29" s="51">
        <f t="shared" ref="GF29:GF30" si="456">GD29*GE29</f>
        <v>0</v>
      </c>
      <c r="GG29" s="54"/>
      <c r="GH29" s="51">
        <f>GD29*$GH$26</f>
        <v>0</v>
      </c>
      <c r="GI29" s="51">
        <f t="shared" ref="GI29" si="457">GE29*$GI$26</f>
        <v>0</v>
      </c>
      <c r="GJ29" s="51">
        <f t="shared" ref="GJ29:GJ30" si="458">GH29*GI29</f>
        <v>0</v>
      </c>
      <c r="GK29" s="54"/>
      <c r="GL29" s="51">
        <f t="shared" ref="GL29:GL30" si="459">GH29*$GL$26</f>
        <v>0</v>
      </c>
      <c r="GM29" s="51">
        <f t="shared" ref="GM29:GM30" si="460">GI29*$GM$26</f>
        <v>0</v>
      </c>
      <c r="GN29" s="51">
        <f t="shared" ref="GN29:GN30" si="461">GL29*GM29</f>
        <v>0</v>
      </c>
      <c r="GO29" s="54"/>
      <c r="GP29" s="51">
        <f t="shared" ref="GP29:GP30" si="462">GL29*$GP$26</f>
        <v>0</v>
      </c>
      <c r="GQ29" s="51">
        <f t="shared" ref="GQ29" si="463">GM29*$GQ$26</f>
        <v>0</v>
      </c>
      <c r="GR29" s="51">
        <f t="shared" ref="GR29:GR30" si="464">GP29*GQ29</f>
        <v>0</v>
      </c>
      <c r="GS29" s="54"/>
      <c r="GT29" s="51">
        <f t="shared" ref="GT29:GT30" si="465">GP29*$GT$26</f>
        <v>0</v>
      </c>
      <c r="GU29" s="51">
        <f t="shared" ref="GU29:GU30" si="466">GQ29*$GU$26</f>
        <v>0</v>
      </c>
      <c r="GV29" s="51">
        <f t="shared" ref="GV29:GV30" si="467">GT29*GU29</f>
        <v>0</v>
      </c>
      <c r="GW29" s="54"/>
      <c r="GX29" s="51">
        <f t="shared" ref="GX29:GX30" si="468">GT29*$GX$26</f>
        <v>0</v>
      </c>
      <c r="GY29" s="51">
        <f t="shared" ref="GY29:GY30" si="469">GU29*$GY$26</f>
        <v>0</v>
      </c>
      <c r="GZ29" s="51">
        <f t="shared" ref="GZ29:GZ30" si="470">GX29*GY29</f>
        <v>0</v>
      </c>
      <c r="HA29" s="54"/>
      <c r="HB29" s="51">
        <f t="shared" ref="HB29:HB30" si="471">GX29*$HB$26</f>
        <v>0</v>
      </c>
      <c r="HC29" s="51">
        <f t="shared" ref="HC29:HC30" si="472">GY29*$HC$26</f>
        <v>0</v>
      </c>
      <c r="HD29" s="51">
        <f t="shared" ref="HD29:HD30" si="473">HB29*HC29</f>
        <v>0</v>
      </c>
      <c r="HE29" s="54"/>
      <c r="HF29" s="51">
        <f t="shared" ref="HF29:HF30" si="474">HB29*$HF$26</f>
        <v>0</v>
      </c>
      <c r="HG29" s="51">
        <f t="shared" ref="HG29:HG30" si="475">HC29*$HG$26</f>
        <v>0</v>
      </c>
      <c r="HH29" s="51">
        <f t="shared" ref="HH29:HH30" si="476">HF29*HG29</f>
        <v>0</v>
      </c>
      <c r="HI29" s="54"/>
      <c r="HJ29" s="51">
        <f t="shared" ref="HJ29:HJ30" si="477">HF29*$HJ$26</f>
        <v>0</v>
      </c>
      <c r="HK29" s="51">
        <f t="shared" ref="HK29:HK30" si="478">HG29*$HK$26</f>
        <v>0</v>
      </c>
      <c r="HL29" s="51">
        <f t="shared" ref="HL29:HL30" si="479">HJ29*HK29</f>
        <v>0</v>
      </c>
      <c r="HM29" s="54"/>
      <c r="HN29" s="51">
        <f t="shared" ref="HN29:HN30" si="480">HJ29*$HN$26</f>
        <v>0</v>
      </c>
      <c r="HO29" s="51">
        <f t="shared" ref="HO29:HO30" si="481">HK29*$HO$26</f>
        <v>0</v>
      </c>
      <c r="HP29" s="51">
        <f t="shared" ref="HP29:HP30" si="482">HN29*HO29</f>
        <v>0</v>
      </c>
      <c r="HQ29" s="54"/>
      <c r="HR29" s="51">
        <f t="shared" ref="HR29:HR30" si="483">HN29*$HR$26</f>
        <v>0</v>
      </c>
      <c r="HS29" s="51">
        <f t="shared" ref="HS29:HS30" si="484">HO29*$HS$26</f>
        <v>0</v>
      </c>
      <c r="HT29" s="51">
        <f t="shared" ref="HT29:HT30" si="485">HR29*HS29</f>
        <v>0</v>
      </c>
      <c r="HU29" s="54"/>
      <c r="HV29" s="51">
        <f t="shared" ref="HV29:HV30" si="486">HR29*$HV$26</f>
        <v>0</v>
      </c>
      <c r="HW29" s="51">
        <f t="shared" ref="HW29:HW30" si="487">HS29*$HW$26</f>
        <v>0</v>
      </c>
      <c r="HX29" s="51">
        <f t="shared" ref="HX29:HX30" si="488">HV29*HW29</f>
        <v>0</v>
      </c>
      <c r="HZ29" s="51">
        <f>HV29*$HZ$26</f>
        <v>0</v>
      </c>
      <c r="IA29" s="51">
        <f>HW29*$IA$26</f>
        <v>0</v>
      </c>
      <c r="IB29" s="51">
        <f t="shared" ref="IB29:IB30" si="489">HZ29*IA29</f>
        <v>0</v>
      </c>
      <c r="IC29" s="54"/>
      <c r="ID29" s="51">
        <f t="shared" ref="ID29:ID30" si="490">HZ29*$ID$26</f>
        <v>0</v>
      </c>
      <c r="IE29" s="51">
        <f t="shared" ref="IE29:IE30" si="491">IA29*$IE$26</f>
        <v>0</v>
      </c>
      <c r="IF29" s="51">
        <f t="shared" ref="IF29:IF30" si="492">ID29*IE29</f>
        <v>0</v>
      </c>
      <c r="IG29" s="54"/>
      <c r="IH29" s="51">
        <f t="shared" ref="IH29:IH30" si="493">ID29*$IH$26</f>
        <v>0</v>
      </c>
      <c r="II29" s="51">
        <f t="shared" ref="II29:II30" si="494">IE29*$II$26</f>
        <v>0</v>
      </c>
      <c r="IJ29" s="51">
        <f t="shared" ref="IJ29:IJ30" si="495">IH29*II29</f>
        <v>0</v>
      </c>
      <c r="IK29" s="54"/>
      <c r="IL29" s="80">
        <f>SUMIFS($F29:$IK29,$F$3:$IK$3,IL$5,$F$6:$IK$6,IL$6)</f>
        <v>0</v>
      </c>
      <c r="IM29" s="80">
        <v>0</v>
      </c>
      <c r="IN29" s="80">
        <f>SUMIFS($F29:$IK29,$F$3:$IK$3,IL$5,$F$6:$IK$6,IN$6)</f>
        <v>0</v>
      </c>
      <c r="IP29" s="80">
        <f>SUMIFS($F29:$IK29,$F$3:$IK$3,IP$5,$F$6:$IK$6,IP$6)</f>
        <v>0</v>
      </c>
      <c r="IQ29" s="80">
        <v>0</v>
      </c>
      <c r="IR29" s="80">
        <f>SUMIFS($F29:$IK29,$F$3:$IK$3,IP$5,$F$6:$IK$6,IR$6)</f>
        <v>0</v>
      </c>
      <c r="IT29" s="80">
        <f>SUMIFS($F29:$IK29,$F$3:$IK$3,IT$5,$F$6:$IK$6,IT$6)</f>
        <v>0</v>
      </c>
      <c r="IU29" s="80">
        <v>0</v>
      </c>
      <c r="IV29" s="80">
        <f>SUMIFS($F29:$IK29,$F$3:$IK$3,IT$5,$F$6:$IK$6,IV$6)</f>
        <v>0</v>
      </c>
      <c r="IX29" s="80">
        <f>SUMIFS($F29:$IK29,$F$3:$IK$3,IX$5,$F$6:$IK$6,IX$6)</f>
        <v>0</v>
      </c>
      <c r="IY29" s="80">
        <v>0</v>
      </c>
      <c r="IZ29" s="80">
        <f>SUMIFS($F29:$IK29,$F$3:$IK$3,IX$5,$F$6:$IK$6,IZ$6)</f>
        <v>0</v>
      </c>
      <c r="JB29" s="80">
        <f>SUMIFS($F29:$IK29,$F$3:$IK$3,JB$5,$F$6:$IK$6,JB$6)</f>
        <v>0</v>
      </c>
      <c r="JC29" s="80">
        <v>0</v>
      </c>
      <c r="JD29" s="80">
        <f>SUMIFS($F29:$IK29,$F$3:$IK$3,JB$5,$F$6:$IK$6,JD$6)</f>
        <v>0</v>
      </c>
      <c r="JF29" s="80">
        <f>SUMIFS($F29:$IK29,$F$3:$IK$3,JF$5,$F$6:$IK$6,JF$6)</f>
        <v>0</v>
      </c>
      <c r="JG29" s="80">
        <v>0</v>
      </c>
      <c r="JH29" s="80">
        <f>SUMIFS($F29:$IK29,$F$3:$IK$3,JF$5,$F$6:$IK$6,JH$6)</f>
        <v>0</v>
      </c>
    </row>
    <row r="30" ht="18.75" customHeight="1" spans="2:268" x14ac:dyDescent="0.25">
      <c r="B30" s="5" t="s">
        <v>67</v>
      </c>
      <c r="C30" s="29"/>
      <c r="D30" s="29">
        <f>'A.I Revenue Streams - P1'!E30</f>
        <v>0</v>
      </c>
      <c r="E30" s="30"/>
      <c r="F30" s="51">
        <f>'A.I Revenue Streams - P1'!G30</f>
        <v>0</v>
      </c>
      <c r="G30" s="51">
        <f>'A.I Revenue Streams - P1'!I30</f>
        <v>0</v>
      </c>
      <c r="H30" s="51">
        <f>F30*G30</f>
        <v>0</v>
      </c>
      <c r="I30" s="54"/>
      <c r="J30" s="51">
        <f>F30*$J$26</f>
        <v>0</v>
      </c>
      <c r="K30" s="51">
        <f>G30*$K$26</f>
        <v>0</v>
      </c>
      <c r="L30" s="51">
        <f t="shared" ref="L30" si="496">J30*K30</f>
        <v>0</v>
      </c>
      <c r="M30" s="54"/>
      <c r="N30" s="51">
        <f>J30*$N$26</f>
        <v>0</v>
      </c>
      <c r="O30" s="51">
        <f>K30*$O$26</f>
        <v>0</v>
      </c>
      <c r="P30" s="51">
        <f t="shared" si="349"/>
        <v>0</v>
      </c>
      <c r="Q30" s="54"/>
      <c r="R30" s="51">
        <f>N30*$R$26</f>
        <v>0</v>
      </c>
      <c r="S30" s="51">
        <f>O30*$S$26</f>
        <v>0</v>
      </c>
      <c r="T30" s="51">
        <f t="shared" si="350"/>
        <v>0</v>
      </c>
      <c r="U30" s="54"/>
      <c r="V30" s="51">
        <f>R30*$V$26</f>
        <v>0</v>
      </c>
      <c r="W30" s="51">
        <f>S30*$W$26</f>
        <v>0</v>
      </c>
      <c r="X30" s="51">
        <f t="shared" si="351"/>
        <v>0</v>
      </c>
      <c r="Y30" s="54"/>
      <c r="Z30" s="51">
        <f>V30*$Z$26</f>
        <v>0</v>
      </c>
      <c r="AA30" s="51">
        <f>W30*$AA$26</f>
        <v>0</v>
      </c>
      <c r="AB30" s="51">
        <f t="shared" si="352"/>
        <v>0</v>
      </c>
      <c r="AC30" s="54"/>
      <c r="AD30" s="51">
        <f>Z30*$AD$26</f>
        <v>0</v>
      </c>
      <c r="AE30" s="51">
        <f>AA30*$AE$26</f>
        <v>0</v>
      </c>
      <c r="AF30" s="51">
        <f t="shared" si="353"/>
        <v>0</v>
      </c>
      <c r="AG30" s="54"/>
      <c r="AH30" s="51">
        <f>AD30*$AH$26</f>
        <v>0</v>
      </c>
      <c r="AI30" s="51">
        <f>AE30*$AI$26</f>
        <v>0</v>
      </c>
      <c r="AJ30" s="51">
        <f t="shared" si="354"/>
        <v>0</v>
      </c>
      <c r="AK30" s="54"/>
      <c r="AL30" s="51">
        <f>AH30*$AL$26</f>
        <v>0</v>
      </c>
      <c r="AM30" s="51">
        <f>AI30*$AM$26</f>
        <v>0</v>
      </c>
      <c r="AN30" s="51">
        <f t="shared" si="355"/>
        <v>0</v>
      </c>
      <c r="AO30" s="54"/>
      <c r="AP30" s="51">
        <f>AL30*$AP$26</f>
        <v>0</v>
      </c>
      <c r="AQ30" s="51">
        <f>AM30*$AQ$26</f>
        <v>0</v>
      </c>
      <c r="AR30" s="51">
        <f t="shared" si="356"/>
        <v>0</v>
      </c>
      <c r="AS30" s="54"/>
      <c r="AT30" s="51">
        <f t="shared" si="357"/>
        <v>0</v>
      </c>
      <c r="AU30" s="51">
        <f t="shared" si="358"/>
        <v>0</v>
      </c>
      <c r="AV30" s="51">
        <f t="shared" si="359"/>
        <v>0</v>
      </c>
      <c r="AW30" s="54"/>
      <c r="AX30" s="51">
        <f t="shared" si="360"/>
        <v>0</v>
      </c>
      <c r="AY30" s="51">
        <f t="shared" si="361"/>
        <v>0</v>
      </c>
      <c r="AZ30" s="51">
        <f t="shared" si="362"/>
        <v>0</v>
      </c>
      <c r="BA30" s="54"/>
      <c r="BB30" s="51">
        <f t="shared" si="363"/>
        <v>0</v>
      </c>
      <c r="BC30" s="51">
        <f t="shared" si="364"/>
        <v>0</v>
      </c>
      <c r="BD30" s="51">
        <f t="shared" si="365"/>
        <v>0</v>
      </c>
      <c r="BE30" s="54"/>
      <c r="BF30" s="51">
        <f t="shared" si="366"/>
        <v>0</v>
      </c>
      <c r="BG30" s="51">
        <f t="shared" si="367"/>
        <v>0</v>
      </c>
      <c r="BH30" s="51">
        <f t="shared" si="368"/>
        <v>0</v>
      </c>
      <c r="BI30" s="54"/>
      <c r="BJ30" s="51">
        <f t="shared" si="369"/>
        <v>0</v>
      </c>
      <c r="BK30" s="51">
        <f t="shared" si="370"/>
        <v>0</v>
      </c>
      <c r="BL30" s="51">
        <f t="shared" si="371"/>
        <v>0</v>
      </c>
      <c r="BM30" s="54"/>
      <c r="BN30" s="51">
        <f t="shared" si="372"/>
        <v>0</v>
      </c>
      <c r="BO30" s="51">
        <f t="shared" si="373"/>
        <v>0</v>
      </c>
      <c r="BP30" s="51">
        <f t="shared" si="374"/>
        <v>0</v>
      </c>
      <c r="BQ30" s="54"/>
      <c r="BR30" s="51">
        <f t="shared" si="375"/>
        <v>0</v>
      </c>
      <c r="BS30" s="51">
        <f t="shared" si="376"/>
        <v>0</v>
      </c>
      <c r="BT30" s="51">
        <f t="shared" si="377"/>
        <v>0</v>
      </c>
      <c r="BU30" s="54"/>
      <c r="BV30" s="51">
        <f t="shared" si="378"/>
        <v>0</v>
      </c>
      <c r="BW30" s="51">
        <f t="shared" si="379"/>
        <v>0</v>
      </c>
      <c r="BX30" s="51">
        <f t="shared" si="380"/>
        <v>0</v>
      </c>
      <c r="BY30" s="54"/>
      <c r="BZ30" s="51">
        <f t="shared" si="381"/>
        <v>0</v>
      </c>
      <c r="CA30" s="51">
        <f t="shared" si="382"/>
        <v>0</v>
      </c>
      <c r="CB30" s="51">
        <f t="shared" si="383"/>
        <v>0</v>
      </c>
      <c r="CC30" s="54"/>
      <c r="CD30" s="51">
        <f t="shared" si="384"/>
        <v>0</v>
      </c>
      <c r="CE30" s="51">
        <f t="shared" si="385"/>
        <v>0</v>
      </c>
      <c r="CF30" s="51">
        <f t="shared" si="386"/>
        <v>0</v>
      </c>
      <c r="CG30" s="54"/>
      <c r="CH30" s="51">
        <f t="shared" si="387"/>
        <v>0</v>
      </c>
      <c r="CI30" s="51">
        <f t="shared" si="388"/>
        <v>0</v>
      </c>
      <c r="CJ30" s="51">
        <f t="shared" si="389"/>
        <v>0</v>
      </c>
      <c r="CK30" s="54"/>
      <c r="CL30" s="51">
        <f>CH30*$CL$26</f>
        <v>0</v>
      </c>
      <c r="CM30" s="51">
        <f>CI30*$CM$26</f>
        <v>0</v>
      </c>
      <c r="CN30" s="51">
        <f t="shared" si="390"/>
        <v>0</v>
      </c>
      <c r="CO30" s="54"/>
      <c r="CP30" s="51">
        <f t="shared" si="391"/>
        <v>0</v>
      </c>
      <c r="CQ30" s="51">
        <f t="shared" si="392"/>
        <v>0</v>
      </c>
      <c r="CR30" s="51">
        <f t="shared" si="393"/>
        <v>0</v>
      </c>
      <c r="CS30" s="54"/>
      <c r="CT30" s="51">
        <f t="shared" si="394"/>
        <v>0</v>
      </c>
      <c r="CU30" s="51">
        <f t="shared" si="395"/>
        <v>0</v>
      </c>
      <c r="CV30" s="51">
        <f t="shared" si="396"/>
        <v>0</v>
      </c>
      <c r="CW30" s="54"/>
      <c r="CX30" s="51">
        <f t="shared" si="397"/>
        <v>0</v>
      </c>
      <c r="CY30" s="51">
        <f t="shared" si="398"/>
        <v>0</v>
      </c>
      <c r="CZ30" s="51">
        <f t="shared" si="399"/>
        <v>0</v>
      </c>
      <c r="DA30" s="54"/>
      <c r="DB30" s="51">
        <f t="shared" si="400"/>
        <v>0</v>
      </c>
      <c r="DC30" s="51">
        <f t="shared" si="401"/>
        <v>0</v>
      </c>
      <c r="DD30" s="51">
        <f t="shared" si="402"/>
        <v>0</v>
      </c>
      <c r="DE30" s="54"/>
      <c r="DF30" s="51">
        <f t="shared" si="403"/>
        <v>0</v>
      </c>
      <c r="DG30" s="51">
        <f t="shared" si="404"/>
        <v>0</v>
      </c>
      <c r="DH30" s="51">
        <f t="shared" si="405"/>
        <v>0</v>
      </c>
      <c r="DI30" s="54"/>
      <c r="DJ30" s="51">
        <f t="shared" si="406"/>
        <v>0</v>
      </c>
      <c r="DK30" s="51">
        <f t="shared" si="407"/>
        <v>0</v>
      </c>
      <c r="DL30" s="51">
        <f t="shared" si="408"/>
        <v>0</v>
      </c>
      <c r="DM30" s="54"/>
      <c r="DN30" s="51">
        <f t="shared" si="409"/>
        <v>0</v>
      </c>
      <c r="DO30" s="51">
        <f t="shared" si="410"/>
        <v>0</v>
      </c>
      <c r="DP30" s="51">
        <f t="shared" si="411"/>
        <v>0</v>
      </c>
      <c r="DQ30" s="54"/>
      <c r="DR30" s="51">
        <f t="shared" si="412"/>
        <v>0</v>
      </c>
      <c r="DS30" s="51">
        <f t="shared" si="413"/>
        <v>0</v>
      </c>
      <c r="DT30" s="51">
        <f t="shared" si="414"/>
        <v>0</v>
      </c>
      <c r="DU30" s="54"/>
      <c r="DV30" s="51">
        <f t="shared" si="415"/>
        <v>0</v>
      </c>
      <c r="DW30" s="51">
        <f t="shared" si="416"/>
        <v>0</v>
      </c>
      <c r="DX30" s="51">
        <f t="shared" si="417"/>
        <v>0</v>
      </c>
      <c r="DY30" s="54"/>
      <c r="DZ30" s="51">
        <f t="shared" si="418"/>
        <v>0</v>
      </c>
      <c r="EA30" s="51">
        <f t="shared" si="419"/>
        <v>0</v>
      </c>
      <c r="EB30" s="51">
        <f t="shared" si="420"/>
        <v>0</v>
      </c>
      <c r="EC30" s="54"/>
      <c r="ED30" s="51">
        <f t="shared" si="421"/>
        <v>0</v>
      </c>
      <c r="EE30" s="51">
        <f t="shared" si="422"/>
        <v>0</v>
      </c>
      <c r="EF30" s="51">
        <f t="shared" si="423"/>
        <v>0</v>
      </c>
      <c r="EG30" s="54"/>
      <c r="EH30" s="51">
        <f>ED30*$EH$26</f>
        <v>0</v>
      </c>
      <c r="EI30" s="51">
        <f>EE30*$EI$26</f>
        <v>0</v>
      </c>
      <c r="EJ30" s="51">
        <f t="shared" si="424"/>
        <v>0</v>
      </c>
      <c r="EK30" s="54"/>
      <c r="EL30" s="51">
        <f t="shared" si="425"/>
        <v>0</v>
      </c>
      <c r="EM30" s="51">
        <f t="shared" si="426"/>
        <v>0</v>
      </c>
      <c r="EN30" s="51">
        <f t="shared" si="427"/>
        <v>0</v>
      </c>
      <c r="EO30" s="54"/>
      <c r="EP30" s="51">
        <f t="shared" si="428"/>
        <v>0</v>
      </c>
      <c r="EQ30" s="51">
        <f t="shared" si="429"/>
        <v>0</v>
      </c>
      <c r="ER30" s="51">
        <f t="shared" si="430"/>
        <v>0</v>
      </c>
      <c r="ES30" s="54"/>
      <c r="ET30" s="51">
        <f t="shared" si="431"/>
        <v>0</v>
      </c>
      <c r="EU30" s="51">
        <f t="shared" si="432"/>
        <v>0</v>
      </c>
      <c r="EV30" s="51">
        <f t="shared" si="433"/>
        <v>0</v>
      </c>
      <c r="EW30" s="54"/>
      <c r="EX30" s="51">
        <f t="shared" ref="EX30" si="497">ET30*$EX$26</f>
        <v>0</v>
      </c>
      <c r="EY30" s="51">
        <f t="shared" ref="EY30" si="498">EU30*$EY$26</f>
        <v>0</v>
      </c>
      <c r="EZ30" s="51">
        <f t="shared" si="434"/>
        <v>0</v>
      </c>
      <c r="FA30" s="54"/>
      <c r="FB30" s="51">
        <f t="shared" si="435"/>
        <v>0</v>
      </c>
      <c r="FC30" s="51">
        <f t="shared" si="436"/>
        <v>0</v>
      </c>
      <c r="FD30" s="51">
        <f t="shared" si="437"/>
        <v>0</v>
      </c>
      <c r="FE30" s="54"/>
      <c r="FF30" s="51">
        <f>FB30*$FF$26</f>
        <v>0</v>
      </c>
      <c r="FG30" s="51">
        <f>FC30*$FG$26</f>
        <v>0</v>
      </c>
      <c r="FH30" s="51">
        <f t="shared" si="440"/>
        <v>0</v>
      </c>
      <c r="FI30" s="54"/>
      <c r="FJ30" s="51">
        <f t="shared" si="441"/>
        <v>0</v>
      </c>
      <c r="FK30" s="51">
        <f t="shared" si="442"/>
        <v>0</v>
      </c>
      <c r="FL30" s="51">
        <f t="shared" si="443"/>
        <v>0</v>
      </c>
      <c r="FM30" s="54"/>
      <c r="FN30" s="51">
        <f t="shared" si="444"/>
        <v>0</v>
      </c>
      <c r="FO30" s="51">
        <f t="shared" si="445"/>
        <v>0</v>
      </c>
      <c r="FP30" s="51">
        <f t="shared" si="446"/>
        <v>0</v>
      </c>
      <c r="FQ30" s="54"/>
      <c r="FR30" s="51">
        <f t="shared" si="447"/>
        <v>0</v>
      </c>
      <c r="FS30" s="51">
        <f t="shared" si="448"/>
        <v>0</v>
      </c>
      <c r="FT30" s="51">
        <f t="shared" si="449"/>
        <v>0</v>
      </c>
      <c r="FU30" s="54"/>
      <c r="FV30" s="51">
        <f t="shared" si="450"/>
        <v>0</v>
      </c>
      <c r="FW30" s="51">
        <f t="shared" si="451"/>
        <v>0</v>
      </c>
      <c r="FX30" s="51">
        <f t="shared" si="452"/>
        <v>0</v>
      </c>
      <c r="FY30" s="54"/>
      <c r="FZ30" s="51">
        <f t="shared" si="453"/>
        <v>0</v>
      </c>
      <c r="GA30" s="51">
        <f t="shared" si="454"/>
        <v>0</v>
      </c>
      <c r="GB30" s="51">
        <f t="shared" si="455"/>
        <v>0</v>
      </c>
      <c r="GD30" s="51">
        <f>FZ30*$GD$26</f>
        <v>0</v>
      </c>
      <c r="GE30" s="51">
        <f>GA30*$GE$26</f>
        <v>0</v>
      </c>
      <c r="GF30" s="51">
        <f t="shared" si="456"/>
        <v>0</v>
      </c>
      <c r="GG30" s="54"/>
      <c r="GH30" s="51">
        <f t="shared" ref="GH30" si="499">GD30*$GH$26</f>
        <v>0</v>
      </c>
      <c r="GI30" s="51">
        <f>GE30*$GI$26</f>
        <v>0</v>
      </c>
      <c r="GJ30" s="51">
        <f t="shared" si="458"/>
        <v>0</v>
      </c>
      <c r="GK30" s="54"/>
      <c r="GL30" s="51">
        <f t="shared" si="459"/>
        <v>0</v>
      </c>
      <c r="GM30" s="51">
        <f t="shared" si="460"/>
        <v>0</v>
      </c>
      <c r="GN30" s="51">
        <f t="shared" si="461"/>
        <v>0</v>
      </c>
      <c r="GO30" s="54"/>
      <c r="GP30" s="51">
        <f t="shared" si="462"/>
        <v>0</v>
      </c>
      <c r="GQ30" s="51">
        <f>GM30*$GQ$26</f>
        <v>0</v>
      </c>
      <c r="GR30" s="51">
        <f t="shared" si="464"/>
        <v>0</v>
      </c>
      <c r="GS30" s="54"/>
      <c r="GT30" s="51">
        <f t="shared" si="465"/>
        <v>0</v>
      </c>
      <c r="GU30" s="51">
        <f t="shared" si="466"/>
        <v>0</v>
      </c>
      <c r="GV30" s="51">
        <f t="shared" si="467"/>
        <v>0</v>
      </c>
      <c r="GW30" s="54"/>
      <c r="GX30" s="51">
        <f t="shared" si="468"/>
        <v>0</v>
      </c>
      <c r="GY30" s="51">
        <f t="shared" si="469"/>
        <v>0</v>
      </c>
      <c r="GZ30" s="51">
        <f t="shared" si="470"/>
        <v>0</v>
      </c>
      <c r="HA30" s="54"/>
      <c r="HB30" s="51">
        <f t="shared" si="471"/>
        <v>0</v>
      </c>
      <c r="HC30" s="51">
        <f t="shared" si="472"/>
        <v>0</v>
      </c>
      <c r="HD30" s="51">
        <f t="shared" si="473"/>
        <v>0</v>
      </c>
      <c r="HE30" s="54"/>
      <c r="HF30" s="51">
        <f t="shared" si="474"/>
        <v>0</v>
      </c>
      <c r="HG30" s="51">
        <f t="shared" si="475"/>
        <v>0</v>
      </c>
      <c r="HH30" s="51">
        <f t="shared" si="476"/>
        <v>0</v>
      </c>
      <c r="HI30" s="54"/>
      <c r="HJ30" s="51">
        <f t="shared" si="477"/>
        <v>0</v>
      </c>
      <c r="HK30" s="51">
        <f t="shared" si="478"/>
        <v>0</v>
      </c>
      <c r="HL30" s="51">
        <f t="shared" si="479"/>
        <v>0</v>
      </c>
      <c r="HM30" s="54"/>
      <c r="HN30" s="51">
        <f t="shared" si="480"/>
        <v>0</v>
      </c>
      <c r="HO30" s="51">
        <f t="shared" si="481"/>
        <v>0</v>
      </c>
      <c r="HP30" s="51">
        <f t="shared" si="482"/>
        <v>0</v>
      </c>
      <c r="HQ30" s="54"/>
      <c r="HR30" s="51">
        <f t="shared" si="483"/>
        <v>0</v>
      </c>
      <c r="HS30" s="51">
        <f t="shared" si="484"/>
        <v>0</v>
      </c>
      <c r="HT30" s="51">
        <f t="shared" si="485"/>
        <v>0</v>
      </c>
      <c r="HU30" s="54"/>
      <c r="HV30" s="51">
        <f t="shared" si="486"/>
        <v>0</v>
      </c>
      <c r="HW30" s="51">
        <f t="shared" si="487"/>
        <v>0</v>
      </c>
      <c r="HX30" s="51">
        <f t="shared" si="488"/>
        <v>0</v>
      </c>
      <c r="HZ30" s="51">
        <f>HV30*$HZ$26</f>
        <v>0</v>
      </c>
      <c r="IA30" s="51">
        <f>HW30*$IA$26</f>
        <v>0</v>
      </c>
      <c r="IB30" s="51">
        <f t="shared" si="489"/>
        <v>0</v>
      </c>
      <c r="IC30" s="54"/>
      <c r="ID30" s="51">
        <f t="shared" si="490"/>
        <v>0</v>
      </c>
      <c r="IE30" s="51">
        <f t="shared" si="491"/>
        <v>0</v>
      </c>
      <c r="IF30" s="51">
        <f t="shared" si="492"/>
        <v>0</v>
      </c>
      <c r="IG30" s="54"/>
      <c r="IH30" s="51">
        <f t="shared" si="493"/>
        <v>0</v>
      </c>
      <c r="II30" s="51">
        <f t="shared" si="494"/>
        <v>0</v>
      </c>
      <c r="IJ30" s="51">
        <f t="shared" si="495"/>
        <v>0</v>
      </c>
      <c r="IK30" s="54"/>
      <c r="IL30" s="80">
        <f>SUMIFS($F30:$IK30,$F$3:$IK$3,IL$5,$F$6:$IK$6,IL$6)</f>
        <v>0</v>
      </c>
      <c r="IM30" s="80">
        <v>0</v>
      </c>
      <c r="IN30" s="80">
        <f>SUMIFS($F30:$IK30,$F$3:$IK$3,IL$5,$F$6:$IK$6,IN$6)</f>
        <v>0</v>
      </c>
      <c r="IP30" s="80">
        <f>SUMIFS($F30:$IK30,$F$3:$IK$3,IP$5,$F$6:$IK$6,IP$6)</f>
        <v>0</v>
      </c>
      <c r="IQ30" s="80">
        <v>0</v>
      </c>
      <c r="IR30" s="80">
        <f>SUMIFS($F30:$IK30,$F$3:$IK$3,IP$5,$F$6:$IK$6,IR$6)</f>
        <v>0</v>
      </c>
      <c r="IT30" s="80">
        <f>SUMIFS($F30:$IK30,$F$3:$IK$3,IT$5,$F$6:$IK$6,IT$6)</f>
        <v>0</v>
      </c>
      <c r="IU30" s="80">
        <v>0</v>
      </c>
      <c r="IV30" s="80">
        <f>SUMIFS($F30:$IK30,$F$3:$IK$3,IT$5,$F$6:$IK$6,IV$6)</f>
        <v>0</v>
      </c>
      <c r="IX30" s="80">
        <f>SUMIFS($F30:$IK30,$F$3:$IK$3,IX$5,$F$6:$IK$6,IX$6)</f>
        <v>0</v>
      </c>
      <c r="IY30" s="80">
        <v>0</v>
      </c>
      <c r="IZ30" s="80">
        <f>SUMIFS($F30:$IK30,$F$3:$IK$3,IX$5,$F$6:$IK$6,IZ$6)</f>
        <v>0</v>
      </c>
      <c r="JB30" s="80">
        <f>SUMIFS($F30:$IK30,$F$3:$IK$3,JB$5,$F$6:$IK$6,JB$6)</f>
        <v>0</v>
      </c>
      <c r="JC30" s="80">
        <v>0</v>
      </c>
      <c r="JD30" s="80">
        <f>SUMIFS($F30:$IK30,$F$3:$IK$3,JB$5,$F$6:$IK$6,JD$6)</f>
        <v>0</v>
      </c>
      <c r="JF30" s="80">
        <f>SUMIFS($F30:$IK30,$F$3:$IK$3,JF$5,$F$6:$IK$6,JF$6)</f>
        <v>0</v>
      </c>
      <c r="JG30" s="80">
        <v>0</v>
      </c>
      <c r="JH30" s="80">
        <f>SUMIFS($F30:$IK30,$F$3:$IK$3,JF$5,$F$6:$IK$6,JH$6)</f>
        <v>0</v>
      </c>
    </row>
    <row r="31" ht="18.75" customHeight="1" spans="2:268" x14ac:dyDescent="0.25">
      <c r="B31" s="5" t="s">
        <v>68</v>
      </c>
      <c r="C31" s="29"/>
      <c r="D31" s="29">
        <f>'A.I Revenue Streams - P1'!E31</f>
        <v>0</v>
      </c>
      <c r="E31" s="30"/>
      <c r="F31" s="51">
        <f>'A.I Revenue Streams - P1'!G31</f>
        <v>0</v>
      </c>
      <c r="G31" s="51">
        <f>'A.I Revenue Streams - P1'!I31</f>
        <v>0</v>
      </c>
      <c r="H31" s="51">
        <f>F31*G31</f>
        <v>0</v>
      </c>
      <c r="I31" s="54"/>
      <c r="J31" s="51">
        <f>F31*$J$26</f>
        <v>0</v>
      </c>
      <c r="K31" s="51">
        <f>G31*$K$26</f>
        <v>0</v>
      </c>
      <c r="L31" s="51">
        <f t="shared" ref="L31:L32" si="500">J31*K31</f>
        <v>0</v>
      </c>
      <c r="M31" s="54"/>
      <c r="N31" s="51">
        <f>J31*$N$26</f>
        <v>0</v>
      </c>
      <c r="O31" s="51">
        <f>K31*$O$26</f>
        <v>0</v>
      </c>
      <c r="P31" s="51">
        <f t="shared" ref="P31:P32" si="501">N31*O31</f>
        <v>0</v>
      </c>
      <c r="Q31" s="54"/>
      <c r="R31" s="51">
        <f>N31*$R$26</f>
        <v>0</v>
      </c>
      <c r="S31" s="51">
        <f>O31*$S$26</f>
        <v>0</v>
      </c>
      <c r="T31" s="51">
        <f t="shared" ref="T31:T32" si="502">R31*S31</f>
        <v>0</v>
      </c>
      <c r="U31" s="54"/>
      <c r="V31" s="51">
        <f>R31*$V$26</f>
        <v>0</v>
      </c>
      <c r="W31" s="51">
        <f>S31*$W$26</f>
        <v>0</v>
      </c>
      <c r="X31" s="51">
        <f t="shared" ref="X31:X32" si="503">V31*W31</f>
        <v>0</v>
      </c>
      <c r="Y31" s="54"/>
      <c r="Z31" s="51">
        <f>V31*$Z$26</f>
        <v>0</v>
      </c>
      <c r="AA31" s="51">
        <f>W31*$AA$26</f>
        <v>0</v>
      </c>
      <c r="AB31" s="51">
        <f t="shared" ref="AB31:AB32" si="504">Z31*AA31</f>
        <v>0</v>
      </c>
      <c r="AC31" s="54"/>
      <c r="AD31" s="51">
        <f>Z31*$AD$26</f>
        <v>0</v>
      </c>
      <c r="AE31" s="51">
        <f>AA31*$AE$26</f>
        <v>0</v>
      </c>
      <c r="AF31" s="51">
        <f t="shared" ref="AF31:AF32" si="505">AD31*AE31</f>
        <v>0</v>
      </c>
      <c r="AG31" s="54"/>
      <c r="AH31" s="51">
        <f>AD31*$AH$26</f>
        <v>0</v>
      </c>
      <c r="AI31" s="51">
        <f>AE31*$AI$26</f>
        <v>0</v>
      </c>
      <c r="AJ31" s="51">
        <f t="shared" ref="AJ31:AJ32" si="506">AH31*AI31</f>
        <v>0</v>
      </c>
      <c r="AK31" s="54"/>
      <c r="AL31" s="51">
        <f>AH31*$AL$26</f>
        <v>0</v>
      </c>
      <c r="AM31" s="51">
        <f>AI31*$AM$26</f>
        <v>0</v>
      </c>
      <c r="AN31" s="51">
        <f t="shared" ref="AN31:AN32" si="507">AL31*AM31</f>
        <v>0</v>
      </c>
      <c r="AO31" s="54"/>
      <c r="AP31" s="51">
        <f>AL31*$AP$26</f>
        <v>0</v>
      </c>
      <c r="AQ31" s="51">
        <f>AM31*$AQ$26</f>
        <v>0</v>
      </c>
      <c r="AR31" s="51">
        <f t="shared" ref="AR31" si="508">AP31*AQ31</f>
        <v>0</v>
      </c>
      <c r="AS31" s="54"/>
      <c r="AT31" s="51">
        <f t="shared" ref="AT31" si="509">AP31*$AT$26</f>
        <v>0</v>
      </c>
      <c r="AU31" s="51">
        <f t="shared" ref="AU31" si="510">AQ31*$AU$26</f>
        <v>0</v>
      </c>
      <c r="AV31" s="51">
        <f t="shared" ref="AV31" si="511">AT31*AU31</f>
        <v>0</v>
      </c>
      <c r="AW31" s="54"/>
      <c r="AX31" s="51">
        <f t="shared" ref="AX31" si="512">AT31*$AX$26</f>
        <v>0</v>
      </c>
      <c r="AY31" s="51">
        <f t="shared" ref="AY31" si="513">AU31*$AY$26</f>
        <v>0</v>
      </c>
      <c r="AZ31" s="51">
        <f t="shared" ref="AZ31" si="514">AX31*AY31</f>
        <v>0</v>
      </c>
      <c r="BA31" s="54"/>
      <c r="BB31" s="51">
        <f t="shared" ref="BB31" si="515">AX31*$BB$26</f>
        <v>0</v>
      </c>
      <c r="BC31" s="51">
        <f t="shared" ref="BC31" si="516">AY31*$BC$26</f>
        <v>0</v>
      </c>
      <c r="BD31" s="51">
        <f t="shared" ref="BD31" si="517">BB31*BC31</f>
        <v>0</v>
      </c>
      <c r="BE31" s="54"/>
      <c r="BF31" s="51">
        <f t="shared" ref="BF31" si="518">BB31*$BF$26</f>
        <v>0</v>
      </c>
      <c r="BG31" s="51">
        <f t="shared" ref="BG31" si="519">BC31*$BG$26</f>
        <v>0</v>
      </c>
      <c r="BH31" s="51">
        <f t="shared" ref="BH31" si="520">BF31*BG31</f>
        <v>0</v>
      </c>
      <c r="BI31" s="54"/>
      <c r="BJ31" s="51">
        <f t="shared" ref="BJ31" si="521">BF31*$BJ$26</f>
        <v>0</v>
      </c>
      <c r="BK31" s="51">
        <f t="shared" ref="BK31" si="522">BG31*$BK$26</f>
        <v>0</v>
      </c>
      <c r="BL31" s="51">
        <f t="shared" ref="BL31" si="523">BJ31*BK31</f>
        <v>0</v>
      </c>
      <c r="BM31" s="54"/>
      <c r="BN31" s="51">
        <f t="shared" ref="BN31" si="524">BJ31*$BN$26</f>
        <v>0</v>
      </c>
      <c r="BO31" s="51">
        <f t="shared" ref="BO31" si="525">BK31*$BO$26</f>
        <v>0</v>
      </c>
      <c r="BP31" s="51">
        <f t="shared" ref="BP31" si="526">BN31*BO31</f>
        <v>0</v>
      </c>
      <c r="BQ31" s="54"/>
      <c r="BR31" s="51">
        <f t="shared" ref="BR31" si="527">BN31*$BR$26</f>
        <v>0</v>
      </c>
      <c r="BS31" s="51">
        <f t="shared" ref="BS31" si="528">BO31*$BS$26</f>
        <v>0</v>
      </c>
      <c r="BT31" s="51">
        <f t="shared" ref="BT31" si="529">BR31*BS31</f>
        <v>0</v>
      </c>
      <c r="BU31" s="54"/>
      <c r="BV31" s="51">
        <f t="shared" ref="BV31" si="530">BR31*$BV$26</f>
        <v>0</v>
      </c>
      <c r="BW31" s="51">
        <f t="shared" ref="BW31" si="531">BS31*$BW$26</f>
        <v>0</v>
      </c>
      <c r="BX31" s="51">
        <f t="shared" ref="BX31" si="532">BV31*BW31</f>
        <v>0</v>
      </c>
      <c r="BY31" s="54"/>
      <c r="BZ31" s="51">
        <f t="shared" ref="BZ31" si="533">BV31*$BZ$26</f>
        <v>0</v>
      </c>
      <c r="CA31" s="51">
        <f t="shared" ref="CA31" si="534">BW31*$CA$26</f>
        <v>0</v>
      </c>
      <c r="CB31" s="51">
        <f t="shared" ref="CB31" si="535">BZ31*CA31</f>
        <v>0</v>
      </c>
      <c r="CC31" s="54"/>
      <c r="CD31" s="51">
        <f t="shared" ref="CD31" si="536">BZ31*$CD$26</f>
        <v>0</v>
      </c>
      <c r="CE31" s="51">
        <f t="shared" ref="CE31" si="537">CA31*$CE$26</f>
        <v>0</v>
      </c>
      <c r="CF31" s="51">
        <f t="shared" ref="CF31" si="538">CD31*CE31</f>
        <v>0</v>
      </c>
      <c r="CG31" s="54"/>
      <c r="CH31" s="51">
        <f t="shared" ref="CH31" si="539">CD31*$CH$26</f>
        <v>0</v>
      </c>
      <c r="CI31" s="51">
        <f t="shared" ref="CI31" si="540">CE31*$CI$26</f>
        <v>0</v>
      </c>
      <c r="CJ31" s="51">
        <f t="shared" ref="CJ31" si="541">CH31*CI31</f>
        <v>0</v>
      </c>
      <c r="CK31" s="54"/>
      <c r="CL31" s="51">
        <f>CH31*$CL$26</f>
        <v>0</v>
      </c>
      <c r="CM31" s="51">
        <f>CI31*$CM$26</f>
        <v>0</v>
      </c>
      <c r="CN31" s="51">
        <f t="shared" ref="CN31" si="542">CL31*CM31</f>
        <v>0</v>
      </c>
      <c r="CO31" s="54"/>
      <c r="CP31" s="51">
        <f t="shared" ref="CP31" si="543">CL31*$CP$26</f>
        <v>0</v>
      </c>
      <c r="CQ31" s="51">
        <f t="shared" ref="CQ31" si="544">CM31*$CQ$26</f>
        <v>0</v>
      </c>
      <c r="CR31" s="51">
        <f t="shared" ref="CR31" si="545">CP31*CQ31</f>
        <v>0</v>
      </c>
      <c r="CS31" s="54"/>
      <c r="CT31" s="51">
        <f t="shared" ref="CT31" si="546">CP31*$CT$26</f>
        <v>0</v>
      </c>
      <c r="CU31" s="51">
        <f t="shared" ref="CU31" si="547">CQ31*$CU$26</f>
        <v>0</v>
      </c>
      <c r="CV31" s="51">
        <f t="shared" ref="CV31" si="548">CT31*CU31</f>
        <v>0</v>
      </c>
      <c r="CW31" s="54"/>
      <c r="CX31" s="51">
        <f t="shared" ref="CX31" si="549">CT31*$CX$26</f>
        <v>0</v>
      </c>
      <c r="CY31" s="51">
        <f t="shared" ref="CY31" si="550">CU31*$CY$26</f>
        <v>0</v>
      </c>
      <c r="CZ31" s="51">
        <f t="shared" ref="CZ31" si="551">CX31*CY31</f>
        <v>0</v>
      </c>
      <c r="DA31" s="54"/>
      <c r="DB31" s="51">
        <f t="shared" ref="DB31" si="552">CX31*$DB$26</f>
        <v>0</v>
      </c>
      <c r="DC31" s="51">
        <f t="shared" ref="DC31" si="553">CY31*$DC$26</f>
        <v>0</v>
      </c>
      <c r="DD31" s="51">
        <f t="shared" ref="DD31" si="554">DB31*DC31</f>
        <v>0</v>
      </c>
      <c r="DE31" s="54"/>
      <c r="DF31" s="51">
        <f t="shared" ref="DF31" si="555">DB31*$DF$26</f>
        <v>0</v>
      </c>
      <c r="DG31" s="51">
        <f t="shared" ref="DG31" si="556">DC31*$DG$26</f>
        <v>0</v>
      </c>
      <c r="DH31" s="51">
        <f t="shared" ref="DH31" si="557">DF31*DG31</f>
        <v>0</v>
      </c>
      <c r="DI31" s="54"/>
      <c r="DJ31" s="51">
        <f t="shared" ref="DJ31" si="558">DF31*$DJ$26</f>
        <v>0</v>
      </c>
      <c r="DK31" s="51">
        <f t="shared" ref="DK31" si="559">DG31*$DK$26</f>
        <v>0</v>
      </c>
      <c r="DL31" s="51">
        <f t="shared" ref="DL31" si="560">DJ31*DK31</f>
        <v>0</v>
      </c>
      <c r="DM31" s="54"/>
      <c r="DN31" s="51">
        <f t="shared" ref="DN31" si="561">DJ31*$DN$26</f>
        <v>0</v>
      </c>
      <c r="DO31" s="51">
        <f t="shared" ref="DO31" si="562">DK31*$DO$26</f>
        <v>0</v>
      </c>
      <c r="DP31" s="51">
        <f t="shared" ref="DP31" si="563">DN31*DO31</f>
        <v>0</v>
      </c>
      <c r="DQ31" s="54"/>
      <c r="DR31" s="51">
        <f t="shared" ref="DR31" si="564">DN31*$DR$26</f>
        <v>0</v>
      </c>
      <c r="DS31" s="51">
        <f t="shared" ref="DS31" si="565">DO31*$DS$26</f>
        <v>0</v>
      </c>
      <c r="DT31" s="51">
        <f t="shared" ref="DT31" si="566">DR31*DS31</f>
        <v>0</v>
      </c>
      <c r="DU31" s="54"/>
      <c r="DV31" s="51">
        <f t="shared" ref="DV31" si="567">DR31*$DV$26</f>
        <v>0</v>
      </c>
      <c r="DW31" s="51">
        <f t="shared" ref="DW31" si="568">DS31*$DW$26</f>
        <v>0</v>
      </c>
      <c r="DX31" s="51">
        <f t="shared" ref="DX31" si="569">DV31*DW31</f>
        <v>0</v>
      </c>
      <c r="DY31" s="54"/>
      <c r="DZ31" s="51">
        <f t="shared" ref="DZ31" si="570">DV31*$DZ$26</f>
        <v>0</v>
      </c>
      <c r="EA31" s="51">
        <f t="shared" ref="EA31" si="571">DW31*$EA$26</f>
        <v>0</v>
      </c>
      <c r="EB31" s="51">
        <f t="shared" ref="EB31" si="572">DZ31*EA31</f>
        <v>0</v>
      </c>
      <c r="EC31" s="54"/>
      <c r="ED31" s="51">
        <f t="shared" ref="ED31" si="573">DZ31*$ED$26</f>
        <v>0</v>
      </c>
      <c r="EE31" s="51">
        <f t="shared" ref="EE31" si="574">EA31*$EE$26</f>
        <v>0</v>
      </c>
      <c r="EF31" s="51">
        <f t="shared" ref="EF31" si="575">ED31*EE31</f>
        <v>0</v>
      </c>
      <c r="EG31" s="54"/>
      <c r="EH31" s="51">
        <f>ED31*$EH$26</f>
        <v>0</v>
      </c>
      <c r="EI31" s="51">
        <f>EE31*$EI$26</f>
        <v>0</v>
      </c>
      <c r="EJ31" s="51">
        <f t="shared" ref="EJ31" si="576">EH31*EI31</f>
        <v>0</v>
      </c>
      <c r="EK31" s="54"/>
      <c r="EL31" s="51">
        <f t="shared" ref="EL31" si="577">EH31*$EL$26</f>
        <v>0</v>
      </c>
      <c r="EM31" s="51">
        <f t="shared" ref="EM31" si="578">EI31*$EM$26</f>
        <v>0</v>
      </c>
      <c r="EN31" s="51">
        <f t="shared" ref="EN31" si="579">EL31*EM31</f>
        <v>0</v>
      </c>
      <c r="EO31" s="54"/>
      <c r="EP31" s="51">
        <f t="shared" ref="EP31" si="580">EL31*$EP$26</f>
        <v>0</v>
      </c>
      <c r="EQ31" s="51">
        <f t="shared" ref="EQ31" si="581">EM31*$EQ$26</f>
        <v>0</v>
      </c>
      <c r="ER31" s="51">
        <f t="shared" ref="ER31" si="582">EP31*EQ31</f>
        <v>0</v>
      </c>
      <c r="ES31" s="54"/>
      <c r="ET31" s="51">
        <f t="shared" ref="ET31" si="583">EP31*$ET$26</f>
        <v>0</v>
      </c>
      <c r="EU31" s="51">
        <f t="shared" ref="EU31" si="584">EQ31*$EU$26</f>
        <v>0</v>
      </c>
      <c r="EV31" s="51">
        <f t="shared" ref="EV31" si="585">ET31*EU31</f>
        <v>0</v>
      </c>
      <c r="EW31" s="54"/>
      <c r="EX31" s="51">
        <f t="shared" ref="EX31" si="586">ET31*$EX$26</f>
        <v>0</v>
      </c>
      <c r="EY31" s="51">
        <f t="shared" ref="EY31" si="587">EU31*$EY$26</f>
        <v>0</v>
      </c>
      <c r="EZ31" s="51">
        <f t="shared" ref="EZ31" si="588">EX31*EY31</f>
        <v>0</v>
      </c>
      <c r="FA31" s="54"/>
      <c r="FB31" s="51">
        <f t="shared" ref="FB31" si="589">EX31*$FB$26</f>
        <v>0</v>
      </c>
      <c r="FC31" s="51">
        <f t="shared" ref="FC31" si="590">EY31*$FC$26</f>
        <v>0</v>
      </c>
      <c r="FD31" s="51">
        <f t="shared" ref="FD31" si="591">FB31*FC31</f>
        <v>0</v>
      </c>
      <c r="FE31" s="54"/>
      <c r="FF31" s="51">
        <f>FB31*$FF$26</f>
        <v>0</v>
      </c>
      <c r="FG31" s="51">
        <f>FC31*$FG$26</f>
        <v>0</v>
      </c>
      <c r="FH31" s="51">
        <f t="shared" ref="FH31" si="592">FF31*FG31</f>
        <v>0</v>
      </c>
      <c r="FI31" s="54"/>
      <c r="FJ31" s="51">
        <f t="shared" ref="FJ31" si="593">FF31*$FJ$26</f>
        <v>0</v>
      </c>
      <c r="FK31" s="51">
        <f t="shared" ref="FK31" si="594">FG31*$FK$26</f>
        <v>0</v>
      </c>
      <c r="FL31" s="51">
        <f t="shared" ref="FL31" si="595">FJ31*FK31</f>
        <v>0</v>
      </c>
      <c r="FM31" s="54"/>
      <c r="FN31" s="51">
        <f t="shared" ref="FN31" si="596">FJ31*$FN$26</f>
        <v>0</v>
      </c>
      <c r="FO31" s="51">
        <f t="shared" ref="FO31" si="597">FK31*$FO$26</f>
        <v>0</v>
      </c>
      <c r="FP31" s="51">
        <f t="shared" ref="FP31" si="598">FN31*FO31</f>
        <v>0</v>
      </c>
      <c r="FQ31" s="54"/>
      <c r="FR31" s="51">
        <f t="shared" ref="FR31" si="599">FN31*$FR$26</f>
        <v>0</v>
      </c>
      <c r="FS31" s="51">
        <f t="shared" ref="FS31" si="600">FO31*$FS$26</f>
        <v>0</v>
      </c>
      <c r="FT31" s="51">
        <f t="shared" ref="FT31" si="601">FR31*FS31</f>
        <v>0</v>
      </c>
      <c r="FU31" s="54"/>
      <c r="FV31" s="51">
        <f t="shared" ref="FV31" si="602">FR31*$FV$26</f>
        <v>0</v>
      </c>
      <c r="FW31" s="51">
        <f t="shared" ref="FW31" si="603">FS31*$FW$26</f>
        <v>0</v>
      </c>
      <c r="FX31" s="51">
        <f t="shared" ref="FX31" si="604">FV31*FW31</f>
        <v>0</v>
      </c>
      <c r="FY31" s="54"/>
      <c r="FZ31" s="51">
        <f t="shared" ref="FZ31" si="605">FV31*$FZ$26</f>
        <v>0</v>
      </c>
      <c r="GA31" s="51">
        <f t="shared" ref="GA31" si="606">FW31*$GA$26</f>
        <v>0</v>
      </c>
      <c r="GB31" s="51">
        <f t="shared" ref="GB31" si="607">FZ31*GA31</f>
        <v>0</v>
      </c>
      <c r="GD31" s="51">
        <f>FZ31*$GD$26</f>
        <v>0</v>
      </c>
      <c r="GE31" s="51">
        <f>GA31*$GE$26</f>
        <v>0</v>
      </c>
      <c r="GF31" s="51">
        <f t="shared" ref="GF31" si="608">GD31*GE31</f>
        <v>0</v>
      </c>
      <c r="GG31" s="54"/>
      <c r="GH31" s="51">
        <f t="shared" ref="GH31" si="609">GD31*$GH$26</f>
        <v>0</v>
      </c>
      <c r="GI31" s="51">
        <f>GE31*$GI$26</f>
        <v>0</v>
      </c>
      <c r="GJ31" s="51">
        <f t="shared" ref="GJ31" si="610">GH31*GI31</f>
        <v>0</v>
      </c>
      <c r="GK31" s="54"/>
      <c r="GL31" s="51">
        <f t="shared" ref="GL31" si="611">GH31*$GL$26</f>
        <v>0</v>
      </c>
      <c r="GM31" s="51">
        <f t="shared" ref="GM31" si="612">GI31*$GM$26</f>
        <v>0</v>
      </c>
      <c r="GN31" s="51">
        <f t="shared" ref="GN31" si="613">GL31*GM31</f>
        <v>0</v>
      </c>
      <c r="GO31" s="54"/>
      <c r="GP31" s="51">
        <f t="shared" ref="GP31" si="614">GL31*$GP$26</f>
        <v>0</v>
      </c>
      <c r="GQ31" s="51">
        <f>GM31*$GQ$26</f>
        <v>0</v>
      </c>
      <c r="GR31" s="51">
        <f t="shared" ref="GR31" si="615">GP31*GQ31</f>
        <v>0</v>
      </c>
      <c r="GS31" s="54"/>
      <c r="GT31" s="51">
        <f t="shared" ref="GT31" si="616">GP31*$GT$26</f>
        <v>0</v>
      </c>
      <c r="GU31" s="51">
        <f t="shared" ref="GU31" si="617">GQ31*$GU$26</f>
        <v>0</v>
      </c>
      <c r="GV31" s="51">
        <f t="shared" ref="GV31" si="618">GT31*GU31</f>
        <v>0</v>
      </c>
      <c r="GW31" s="54"/>
      <c r="GX31" s="51">
        <f t="shared" ref="GX31" si="619">GT31*$GX$26</f>
        <v>0</v>
      </c>
      <c r="GY31" s="51">
        <f t="shared" ref="GY31" si="620">GU31*$GY$26</f>
        <v>0</v>
      </c>
      <c r="GZ31" s="51">
        <f t="shared" ref="GZ31" si="621">GX31*GY31</f>
        <v>0</v>
      </c>
      <c r="HA31" s="54"/>
      <c r="HB31" s="51">
        <f t="shared" ref="HB31" si="622">GX31*$HB$26</f>
        <v>0</v>
      </c>
      <c r="HC31" s="51">
        <f t="shared" ref="HC31" si="623">GY31*$HC$26</f>
        <v>0</v>
      </c>
      <c r="HD31" s="51">
        <f t="shared" ref="HD31" si="624">HB31*HC31</f>
        <v>0</v>
      </c>
      <c r="HE31" s="54"/>
      <c r="HF31" s="51">
        <f t="shared" ref="HF31" si="625">HB31*$HF$26</f>
        <v>0</v>
      </c>
      <c r="HG31" s="51">
        <f t="shared" ref="HG31" si="626">HC31*$HG$26</f>
        <v>0</v>
      </c>
      <c r="HH31" s="51">
        <f t="shared" ref="HH31" si="627">HF31*HG31</f>
        <v>0</v>
      </c>
      <c r="HI31" s="54"/>
      <c r="HJ31" s="51">
        <f t="shared" ref="HJ31" si="628">HF31*$HJ$26</f>
        <v>0</v>
      </c>
      <c r="HK31" s="51">
        <f t="shared" ref="HK31" si="629">HG31*$HK$26</f>
        <v>0</v>
      </c>
      <c r="HL31" s="51">
        <f t="shared" ref="HL31" si="630">HJ31*HK31</f>
        <v>0</v>
      </c>
      <c r="HM31" s="54"/>
      <c r="HN31" s="51">
        <f t="shared" ref="HN31" si="631">HJ31*$HN$26</f>
        <v>0</v>
      </c>
      <c r="HO31" s="51">
        <f t="shared" ref="HO31" si="632">HK31*$HO$26</f>
        <v>0</v>
      </c>
      <c r="HP31" s="51">
        <f t="shared" ref="HP31" si="633">HN31*HO31</f>
        <v>0</v>
      </c>
      <c r="HQ31" s="54"/>
      <c r="HR31" s="51">
        <f t="shared" ref="HR31" si="634">HN31*$HR$26</f>
        <v>0</v>
      </c>
      <c r="HS31" s="51">
        <f t="shared" ref="HS31" si="635">HO31*$HS$26</f>
        <v>0</v>
      </c>
      <c r="HT31" s="51">
        <f t="shared" ref="HT31" si="636">HR31*HS31</f>
        <v>0</v>
      </c>
      <c r="HU31" s="54"/>
      <c r="HV31" s="51">
        <f t="shared" ref="HV31" si="637">HR31*$HV$26</f>
        <v>0</v>
      </c>
      <c r="HW31" s="51">
        <f t="shared" ref="HW31" si="638">HS31*$HW$26</f>
        <v>0</v>
      </c>
      <c r="HX31" s="51">
        <f t="shared" ref="HX31" si="639">HV31*HW31</f>
        <v>0</v>
      </c>
      <c r="HZ31" s="51">
        <f>HV31*$HZ$26</f>
        <v>0</v>
      </c>
      <c r="IA31" s="51">
        <f>HW31*$IA$26</f>
        <v>0</v>
      </c>
      <c r="IB31" s="51">
        <f t="shared" ref="IB31" si="640">HZ31*IA31</f>
        <v>0</v>
      </c>
      <c r="IC31" s="54"/>
      <c r="ID31" s="51">
        <f t="shared" ref="ID31" si="641">HZ31*$ID$26</f>
        <v>0</v>
      </c>
      <c r="IE31" s="51">
        <f t="shared" ref="IE31" si="642">IA31*$IE$26</f>
        <v>0</v>
      </c>
      <c r="IF31" s="51">
        <f t="shared" ref="IF31" si="643">ID31*IE31</f>
        <v>0</v>
      </c>
      <c r="IG31" s="54"/>
      <c r="IH31" s="51">
        <f t="shared" ref="IH31" si="644">ID31*$IH$26</f>
        <v>0</v>
      </c>
      <c r="II31" s="51">
        <f t="shared" ref="II31" si="645">IE31*$II$26</f>
        <v>0</v>
      </c>
      <c r="IJ31" s="51">
        <f t="shared" ref="IJ31" si="646">IH31*II31</f>
        <v>0</v>
      </c>
      <c r="IK31" s="54"/>
      <c r="IL31" s="80">
        <f>SUMIFS($F31:$IK31,$F$3:$IK$3,IL$5,$F$6:$IK$6,IL$6)</f>
        <v>0</v>
      </c>
      <c r="IM31" s="80">
        <v>0</v>
      </c>
      <c r="IN31" s="80">
        <f>SUMIFS($F31:$IK31,$F$3:$IK$3,IL$5,$F$6:$IK$6,IN$6)</f>
        <v>0</v>
      </c>
      <c r="IP31" s="80">
        <f>SUMIFS($F31:$IK31,$F$3:$IK$3,IP$5,$F$6:$IK$6,IP$6)</f>
        <v>0</v>
      </c>
      <c r="IQ31" s="80">
        <v>0</v>
      </c>
      <c r="IR31" s="80">
        <f>SUMIFS($F31:$IK31,$F$3:$IK$3,IP$5,$F$6:$IK$6,IR$6)</f>
        <v>0</v>
      </c>
      <c r="IT31" s="80">
        <f>SUMIFS($F31:$IK31,$F$3:$IK$3,IT$5,$F$6:$IK$6,IT$6)</f>
        <v>0</v>
      </c>
      <c r="IU31" s="80">
        <v>0</v>
      </c>
      <c r="IV31" s="80">
        <f>SUMIFS($F31:$IK31,$F$3:$IK$3,IT$5,$F$6:$IK$6,IV$6)</f>
        <v>0</v>
      </c>
      <c r="IX31" s="80">
        <f>SUMIFS($F31:$IK31,$F$3:$IK$3,IX$5,$F$6:$IK$6,IX$6)</f>
        <v>0</v>
      </c>
      <c r="IY31" s="80">
        <v>0</v>
      </c>
      <c r="IZ31" s="80">
        <f>SUMIFS($F31:$IK31,$F$3:$IK$3,IX$5,$F$6:$IK$6,IZ$6)</f>
        <v>0</v>
      </c>
      <c r="JB31" s="80">
        <f>SUMIFS($F31:$IK31,$F$3:$IK$3,JB$5,$F$6:$IK$6,JB$6)</f>
        <v>0</v>
      </c>
      <c r="JC31" s="80">
        <v>0</v>
      </c>
      <c r="JD31" s="80">
        <f>SUMIFS($F31:$IK31,$F$3:$IK$3,JB$5,$F$6:$IK$6,JD$6)</f>
        <v>0</v>
      </c>
      <c r="JF31" s="80">
        <f>SUMIFS($F31:$IK31,$F$3:$IK$3,JF$5,$F$6:$IK$6,JF$6)</f>
        <v>0</v>
      </c>
      <c r="JG31" s="80">
        <v>0</v>
      </c>
      <c r="JH31" s="80">
        <f>SUMIFS($F31:$IK31,$F$3:$IK$3,JF$5,$F$6:$IK$6,JH$6)</f>
        <v>0</v>
      </c>
    </row>
    <row r="32" ht="18.75" customHeight="1" spans="2:268" x14ac:dyDescent="0.25">
      <c r="B32" s="5" t="s">
        <v>69</v>
      </c>
      <c r="C32" s="29"/>
      <c r="D32" s="29">
        <f>'A.I Revenue Streams - P1'!E32</f>
        <v>0</v>
      </c>
      <c r="E32" s="30"/>
      <c r="F32" s="51">
        <f>'A.I Revenue Streams - P1'!G32</f>
        <v>0</v>
      </c>
      <c r="G32" s="51">
        <f>'A.I Revenue Streams - P1'!I32</f>
        <v>0</v>
      </c>
      <c r="H32" s="51">
        <f>F32*G32</f>
        <v>0</v>
      </c>
      <c r="I32" s="54"/>
      <c r="J32" s="51">
        <f>F32*$J$26</f>
        <v>0</v>
      </c>
      <c r="K32" s="51">
        <f>G32*$K$26</f>
        <v>0</v>
      </c>
      <c r="L32" s="51">
        <f t="shared" si="500"/>
        <v>0</v>
      </c>
      <c r="M32" s="54"/>
      <c r="N32" s="51">
        <f>J32*$N$26</f>
        <v>0</v>
      </c>
      <c r="O32" s="51">
        <f>K32*$O$26</f>
        <v>0</v>
      </c>
      <c r="P32" s="51">
        <f t="shared" si="501"/>
        <v>0</v>
      </c>
      <c r="Q32" s="54"/>
      <c r="R32" s="51">
        <f>N32*$R$26</f>
        <v>0</v>
      </c>
      <c r="S32" s="51">
        <f>O32*$S$26</f>
        <v>0</v>
      </c>
      <c r="T32" s="51">
        <f t="shared" si="502"/>
        <v>0</v>
      </c>
      <c r="U32" s="54"/>
      <c r="V32" s="51">
        <f>R32*$V$26</f>
        <v>0</v>
      </c>
      <c r="W32" s="51">
        <f>S32*$W$26</f>
        <v>0</v>
      </c>
      <c r="X32" s="51">
        <f t="shared" si="503"/>
        <v>0</v>
      </c>
      <c r="Y32" s="54"/>
      <c r="Z32" s="51">
        <f>V32*$Z$26</f>
        <v>0</v>
      </c>
      <c r="AA32" s="51">
        <f>W32*$AA$26</f>
        <v>0</v>
      </c>
      <c r="AB32" s="51">
        <f t="shared" si="504"/>
        <v>0</v>
      </c>
      <c r="AC32" s="54"/>
      <c r="AD32" s="51">
        <f>Z32*$AD$26</f>
        <v>0</v>
      </c>
      <c r="AE32" s="51">
        <f>AA32*$AE$26</f>
        <v>0</v>
      </c>
      <c r="AF32" s="51">
        <f t="shared" si="505"/>
        <v>0</v>
      </c>
      <c r="AG32" s="54"/>
      <c r="AH32" s="51">
        <f>AD32*$AH$26</f>
        <v>0</v>
      </c>
      <c r="AI32" s="51">
        <f>AE32*$AI$26</f>
        <v>0</v>
      </c>
      <c r="AJ32" s="51">
        <f t="shared" si="506"/>
        <v>0</v>
      </c>
      <c r="AK32" s="54"/>
      <c r="AL32" s="51">
        <f>AH32*$AL$26</f>
        <v>0</v>
      </c>
      <c r="AM32" s="51">
        <f>AI32*$AM$26</f>
        <v>0</v>
      </c>
      <c r="AN32" s="51">
        <f t="shared" si="507"/>
        <v>0</v>
      </c>
      <c r="AO32" s="54"/>
      <c r="AP32" s="51">
        <f>AL32*$AP$26</f>
        <v>0</v>
      </c>
      <c r="AQ32" s="51">
        <f>AM32*$AQ$26</f>
        <v>0</v>
      </c>
      <c r="AR32" s="51">
        <f t="shared" ref="AR32" si="647">AP32*AQ32</f>
        <v>0</v>
      </c>
      <c r="AS32" s="54"/>
      <c r="AT32" s="51">
        <f t="shared" ref="AT32" si="648">AP32*$AT$26</f>
        <v>0</v>
      </c>
      <c r="AU32" s="51">
        <f t="shared" ref="AU32" si="649">AQ32*$AU$26</f>
        <v>0</v>
      </c>
      <c r="AV32" s="51">
        <f t="shared" ref="AV32" si="650">AT32*AU32</f>
        <v>0</v>
      </c>
      <c r="AW32" s="54"/>
      <c r="AX32" s="51">
        <f t="shared" ref="AX32" si="651">AT32*$AX$26</f>
        <v>0</v>
      </c>
      <c r="AY32" s="51">
        <f t="shared" ref="AY32" si="652">AU32*$AY$26</f>
        <v>0</v>
      </c>
      <c r="AZ32" s="51">
        <f t="shared" ref="AZ32" si="653">AX32*AY32</f>
        <v>0</v>
      </c>
      <c r="BA32" s="54"/>
      <c r="BB32" s="51">
        <f t="shared" ref="BB32" si="654">AX32*$BB$26</f>
        <v>0</v>
      </c>
      <c r="BC32" s="51">
        <f t="shared" ref="BC32" si="655">AY32*$BC$26</f>
        <v>0</v>
      </c>
      <c r="BD32" s="51">
        <f t="shared" ref="BD32" si="656">BB32*BC32</f>
        <v>0</v>
      </c>
      <c r="BE32" s="54"/>
      <c r="BF32" s="51">
        <f t="shared" ref="BF32" si="657">BB32*$BF$26</f>
        <v>0</v>
      </c>
      <c r="BG32" s="51">
        <f t="shared" ref="BG32" si="658">BC32*$BG$26</f>
        <v>0</v>
      </c>
      <c r="BH32" s="51">
        <f t="shared" ref="BH32" si="659">BF32*BG32</f>
        <v>0</v>
      </c>
      <c r="BI32" s="54"/>
      <c r="BJ32" s="51">
        <f t="shared" ref="BJ32" si="660">BF32*$BJ$26</f>
        <v>0</v>
      </c>
      <c r="BK32" s="51">
        <f t="shared" ref="BK32" si="661">BG32*$BK$26</f>
        <v>0</v>
      </c>
      <c r="BL32" s="51">
        <f t="shared" ref="BL32" si="662">BJ32*BK32</f>
        <v>0</v>
      </c>
      <c r="BM32" s="54"/>
      <c r="BN32" s="51">
        <f t="shared" ref="BN32" si="663">BJ32*$BN$26</f>
        <v>0</v>
      </c>
      <c r="BO32" s="51">
        <f t="shared" ref="BO32" si="664">BK32*$BO$26</f>
        <v>0</v>
      </c>
      <c r="BP32" s="51">
        <f t="shared" ref="BP32" si="665">BN32*BO32</f>
        <v>0</v>
      </c>
      <c r="BQ32" s="54"/>
      <c r="BR32" s="51">
        <f t="shared" ref="BR32" si="666">BN32*$BR$26</f>
        <v>0</v>
      </c>
      <c r="BS32" s="51">
        <f t="shared" ref="BS32" si="667">BO32*$BS$26</f>
        <v>0</v>
      </c>
      <c r="BT32" s="51">
        <f t="shared" ref="BT32" si="668">BR32*BS32</f>
        <v>0</v>
      </c>
      <c r="BU32" s="54"/>
      <c r="BV32" s="51">
        <f t="shared" ref="BV32" si="669">BR32*$BV$26</f>
        <v>0</v>
      </c>
      <c r="BW32" s="51">
        <f t="shared" ref="BW32" si="670">BS32*$BW$26</f>
        <v>0</v>
      </c>
      <c r="BX32" s="51">
        <f t="shared" ref="BX32" si="671">BV32*BW32</f>
        <v>0</v>
      </c>
      <c r="BY32" s="54"/>
      <c r="BZ32" s="51">
        <f t="shared" ref="BZ32" si="672">BV32*$BZ$26</f>
        <v>0</v>
      </c>
      <c r="CA32" s="51">
        <f t="shared" ref="CA32" si="673">BW32*$CA$26</f>
        <v>0</v>
      </c>
      <c r="CB32" s="51">
        <f t="shared" ref="CB32" si="674">BZ32*CA32</f>
        <v>0</v>
      </c>
      <c r="CC32" s="54"/>
      <c r="CD32" s="51">
        <f t="shared" ref="CD32" si="675">BZ32*$CD$26</f>
        <v>0</v>
      </c>
      <c r="CE32" s="51">
        <f t="shared" ref="CE32" si="676">CA32*$CE$26</f>
        <v>0</v>
      </c>
      <c r="CF32" s="51">
        <f t="shared" ref="CF32" si="677">CD32*CE32</f>
        <v>0</v>
      </c>
      <c r="CG32" s="54"/>
      <c r="CH32" s="51">
        <f t="shared" ref="CH32" si="678">CD32*$CH$26</f>
        <v>0</v>
      </c>
      <c r="CI32" s="51">
        <f t="shared" ref="CI32" si="679">CE32*$CI$26</f>
        <v>0</v>
      </c>
      <c r="CJ32" s="51">
        <f t="shared" ref="CJ32" si="680">CH32*CI32</f>
        <v>0</v>
      </c>
      <c r="CK32" s="54"/>
      <c r="CL32" s="51">
        <f>CH32*$CL$26</f>
        <v>0</v>
      </c>
      <c r="CM32" s="51">
        <f>CI32*$CM$26</f>
        <v>0</v>
      </c>
      <c r="CN32" s="51">
        <f t="shared" ref="CN32" si="681">CL32*CM32</f>
        <v>0</v>
      </c>
      <c r="CO32" s="54"/>
      <c r="CP32" s="51">
        <f t="shared" ref="CP32" si="682">CL32*$CP$26</f>
        <v>0</v>
      </c>
      <c r="CQ32" s="51">
        <f t="shared" ref="CQ32" si="683">CM32*$CQ$26</f>
        <v>0</v>
      </c>
      <c r="CR32" s="51">
        <f t="shared" ref="CR32" si="684">CP32*CQ32</f>
        <v>0</v>
      </c>
      <c r="CS32" s="54"/>
      <c r="CT32" s="51">
        <f t="shared" ref="CT32" si="685">CP32*$CT$26</f>
        <v>0</v>
      </c>
      <c r="CU32" s="51">
        <f t="shared" ref="CU32" si="686">CQ32*$CU$26</f>
        <v>0</v>
      </c>
      <c r="CV32" s="51">
        <f t="shared" ref="CV32" si="687">CT32*CU32</f>
        <v>0</v>
      </c>
      <c r="CW32" s="54"/>
      <c r="CX32" s="51">
        <f t="shared" ref="CX32" si="688">CT32*$CX$26</f>
        <v>0</v>
      </c>
      <c r="CY32" s="51">
        <f t="shared" ref="CY32" si="689">CU32*$CY$26</f>
        <v>0</v>
      </c>
      <c r="CZ32" s="51">
        <f t="shared" ref="CZ32" si="690">CX32*CY32</f>
        <v>0</v>
      </c>
      <c r="DA32" s="54"/>
      <c r="DB32" s="51">
        <f t="shared" ref="DB32" si="691">CX32*$DB$26</f>
        <v>0</v>
      </c>
      <c r="DC32" s="51">
        <f t="shared" ref="DC32" si="692">CY32*$DC$26</f>
        <v>0</v>
      </c>
      <c r="DD32" s="51">
        <f t="shared" ref="DD32" si="693">DB32*DC32</f>
        <v>0</v>
      </c>
      <c r="DE32" s="54"/>
      <c r="DF32" s="51">
        <f t="shared" ref="DF32" si="694">DB32*$DF$26</f>
        <v>0</v>
      </c>
      <c r="DG32" s="51">
        <f t="shared" ref="DG32" si="695">DC32*$DG$26</f>
        <v>0</v>
      </c>
      <c r="DH32" s="51">
        <f t="shared" ref="DH32" si="696">DF32*DG32</f>
        <v>0</v>
      </c>
      <c r="DI32" s="54"/>
      <c r="DJ32" s="51">
        <f t="shared" ref="DJ32" si="697">DF32*$DJ$26</f>
        <v>0</v>
      </c>
      <c r="DK32" s="51">
        <f t="shared" ref="DK32" si="698">DG32*$DK$26</f>
        <v>0</v>
      </c>
      <c r="DL32" s="51">
        <f t="shared" ref="DL32" si="699">DJ32*DK32</f>
        <v>0</v>
      </c>
      <c r="DM32" s="54"/>
      <c r="DN32" s="51">
        <f t="shared" ref="DN32" si="700">DJ32*$DN$26</f>
        <v>0</v>
      </c>
      <c r="DO32" s="51">
        <f t="shared" ref="DO32" si="701">DK32*$DO$26</f>
        <v>0</v>
      </c>
      <c r="DP32" s="51">
        <f t="shared" ref="DP32" si="702">DN32*DO32</f>
        <v>0</v>
      </c>
      <c r="DQ32" s="54"/>
      <c r="DR32" s="51">
        <f t="shared" ref="DR32" si="703">DN32*$DR$26</f>
        <v>0</v>
      </c>
      <c r="DS32" s="51">
        <f t="shared" ref="DS32" si="704">DO32*$DS$26</f>
        <v>0</v>
      </c>
      <c r="DT32" s="51">
        <f t="shared" ref="DT32" si="705">DR32*DS32</f>
        <v>0</v>
      </c>
      <c r="DU32" s="54"/>
      <c r="DV32" s="51">
        <f t="shared" ref="DV32" si="706">DR32*$DV$26</f>
        <v>0</v>
      </c>
      <c r="DW32" s="51">
        <f t="shared" ref="DW32" si="707">DS32*$DW$26</f>
        <v>0</v>
      </c>
      <c r="DX32" s="51">
        <f t="shared" ref="DX32" si="708">DV32*DW32</f>
        <v>0</v>
      </c>
      <c r="DY32" s="54"/>
      <c r="DZ32" s="51">
        <f t="shared" ref="DZ32" si="709">DV32*$DZ$26</f>
        <v>0</v>
      </c>
      <c r="EA32" s="51">
        <f t="shared" ref="EA32" si="710">DW32*$EA$26</f>
        <v>0</v>
      </c>
      <c r="EB32" s="51">
        <f t="shared" ref="EB32" si="711">DZ32*EA32</f>
        <v>0</v>
      </c>
      <c r="EC32" s="54"/>
      <c r="ED32" s="51">
        <f t="shared" ref="ED32" si="712">DZ32*$ED$26</f>
        <v>0</v>
      </c>
      <c r="EE32" s="51">
        <f t="shared" ref="EE32" si="713">EA32*$EE$26</f>
        <v>0</v>
      </c>
      <c r="EF32" s="51">
        <f t="shared" ref="EF32" si="714">ED32*EE32</f>
        <v>0</v>
      </c>
      <c r="EG32" s="54"/>
      <c r="EH32" s="51">
        <f>ED32*$EH$26</f>
        <v>0</v>
      </c>
      <c r="EI32" s="51">
        <f>EE32*$EI$26</f>
        <v>0</v>
      </c>
      <c r="EJ32" s="51">
        <f t="shared" ref="EJ32" si="715">EH32*EI32</f>
        <v>0</v>
      </c>
      <c r="EK32" s="54"/>
      <c r="EL32" s="51">
        <f t="shared" ref="EL32" si="716">EH32*$EL$26</f>
        <v>0</v>
      </c>
      <c r="EM32" s="51">
        <f t="shared" ref="EM32" si="717">EI32*$EM$26</f>
        <v>0</v>
      </c>
      <c r="EN32" s="51">
        <f t="shared" ref="EN32" si="718">EL32*EM32</f>
        <v>0</v>
      </c>
      <c r="EO32" s="54"/>
      <c r="EP32" s="51">
        <f t="shared" ref="EP32" si="719">EL32*$EP$26</f>
        <v>0</v>
      </c>
      <c r="EQ32" s="51">
        <f t="shared" ref="EQ32" si="720">EM32*$EQ$26</f>
        <v>0</v>
      </c>
      <c r="ER32" s="51">
        <f t="shared" ref="ER32" si="721">EP32*EQ32</f>
        <v>0</v>
      </c>
      <c r="ES32" s="54"/>
      <c r="ET32" s="51">
        <f t="shared" ref="ET32" si="722">EP32*$ET$26</f>
        <v>0</v>
      </c>
      <c r="EU32" s="51">
        <f t="shared" ref="EU32" si="723">EQ32*$EU$26</f>
        <v>0</v>
      </c>
      <c r="EV32" s="51">
        <f t="shared" ref="EV32" si="724">ET32*EU32</f>
        <v>0</v>
      </c>
      <c r="EW32" s="54"/>
      <c r="EX32" s="51">
        <f t="shared" ref="EX32" si="725">ET32*$EX$26</f>
        <v>0</v>
      </c>
      <c r="EY32" s="51">
        <f t="shared" ref="EY32" si="726">EU32*$EY$26</f>
        <v>0</v>
      </c>
      <c r="EZ32" s="51">
        <f t="shared" ref="EZ32" si="727">EX32*EY32</f>
        <v>0</v>
      </c>
      <c r="FA32" s="54"/>
      <c r="FB32" s="51">
        <f t="shared" ref="FB32" si="728">EX32*$FB$26</f>
        <v>0</v>
      </c>
      <c r="FC32" s="51">
        <f t="shared" ref="FC32" si="729">EY32*$FC$26</f>
        <v>0</v>
      </c>
      <c r="FD32" s="51">
        <f t="shared" ref="FD32" si="730">FB32*FC32</f>
        <v>0</v>
      </c>
      <c r="FE32" s="54"/>
      <c r="FF32" s="51">
        <f>FB32*$FF$26</f>
        <v>0</v>
      </c>
      <c r="FG32" s="51">
        <f>FC32*$FG$26</f>
        <v>0</v>
      </c>
      <c r="FH32" s="51">
        <f t="shared" ref="FH32" si="731">FF32*FG32</f>
        <v>0</v>
      </c>
      <c r="FI32" s="54"/>
      <c r="FJ32" s="51">
        <f t="shared" ref="FJ32" si="732">FF32*$FJ$26</f>
        <v>0</v>
      </c>
      <c r="FK32" s="51">
        <f t="shared" ref="FK32" si="733">FG32*$FK$26</f>
        <v>0</v>
      </c>
      <c r="FL32" s="51">
        <f t="shared" ref="FL32" si="734">FJ32*FK32</f>
        <v>0</v>
      </c>
      <c r="FM32" s="54"/>
      <c r="FN32" s="51">
        <f t="shared" ref="FN32" si="735">FJ32*$FN$26</f>
        <v>0</v>
      </c>
      <c r="FO32" s="51">
        <f t="shared" ref="FO32" si="736">FK32*$FO$26</f>
        <v>0</v>
      </c>
      <c r="FP32" s="51">
        <f t="shared" ref="FP32" si="737">FN32*FO32</f>
        <v>0</v>
      </c>
      <c r="FQ32" s="54"/>
      <c r="FR32" s="51">
        <f t="shared" ref="FR32" si="738">FN32*$FR$26</f>
        <v>0</v>
      </c>
      <c r="FS32" s="51">
        <f t="shared" ref="FS32" si="739">FO32*$FS$26</f>
        <v>0</v>
      </c>
      <c r="FT32" s="51">
        <f t="shared" ref="FT32" si="740">FR32*FS32</f>
        <v>0</v>
      </c>
      <c r="FU32" s="54"/>
      <c r="FV32" s="51">
        <f t="shared" ref="FV32" si="741">FR32*$FV$26</f>
        <v>0</v>
      </c>
      <c r="FW32" s="51">
        <f t="shared" ref="FW32" si="742">FS32*$FW$26</f>
        <v>0</v>
      </c>
      <c r="FX32" s="51">
        <f t="shared" ref="FX32" si="743">FV32*FW32</f>
        <v>0</v>
      </c>
      <c r="FY32" s="54"/>
      <c r="FZ32" s="51">
        <f t="shared" ref="FZ32" si="744">FV32*$FZ$26</f>
        <v>0</v>
      </c>
      <c r="GA32" s="51">
        <f t="shared" ref="GA32" si="745">FW32*$GA$26</f>
        <v>0</v>
      </c>
      <c r="GB32" s="51">
        <f t="shared" ref="GB32" si="746">FZ32*GA32</f>
        <v>0</v>
      </c>
      <c r="GD32" s="51">
        <f>FZ32*$GD$26</f>
        <v>0</v>
      </c>
      <c r="GE32" s="51">
        <f>GA32*$GE$26</f>
        <v>0</v>
      </c>
      <c r="GF32" s="51">
        <f t="shared" ref="GF32" si="747">GD32*GE32</f>
        <v>0</v>
      </c>
      <c r="GG32" s="54"/>
      <c r="GH32" s="51">
        <f t="shared" ref="GH32" si="748">GD32*$GH$26</f>
        <v>0</v>
      </c>
      <c r="GI32" s="51">
        <f>GE32*$GI$26</f>
        <v>0</v>
      </c>
      <c r="GJ32" s="51">
        <f t="shared" ref="GJ32" si="749">GH32*GI32</f>
        <v>0</v>
      </c>
      <c r="GK32" s="54"/>
      <c r="GL32" s="51">
        <f t="shared" ref="GL32" si="750">GH32*$GL$26</f>
        <v>0</v>
      </c>
      <c r="GM32" s="51">
        <f t="shared" ref="GM32" si="751">GI32*$GM$26</f>
        <v>0</v>
      </c>
      <c r="GN32" s="51">
        <f t="shared" ref="GN32" si="752">GL32*GM32</f>
        <v>0</v>
      </c>
      <c r="GO32" s="54"/>
      <c r="GP32" s="51">
        <f t="shared" ref="GP32" si="753">GL32*$GP$26</f>
        <v>0</v>
      </c>
      <c r="GQ32" s="51">
        <f>GM32*$GQ$26</f>
        <v>0</v>
      </c>
      <c r="GR32" s="51">
        <f t="shared" ref="GR32" si="754">GP32*GQ32</f>
        <v>0</v>
      </c>
      <c r="GS32" s="54"/>
      <c r="GT32" s="51">
        <f t="shared" ref="GT32" si="755">GP32*$GT$26</f>
        <v>0</v>
      </c>
      <c r="GU32" s="51">
        <f t="shared" ref="GU32" si="756">GQ32*$GU$26</f>
        <v>0</v>
      </c>
      <c r="GV32" s="51">
        <f t="shared" ref="GV32" si="757">GT32*GU32</f>
        <v>0</v>
      </c>
      <c r="GW32" s="54"/>
      <c r="GX32" s="51">
        <f t="shared" ref="GX32" si="758">GT32*$GX$26</f>
        <v>0</v>
      </c>
      <c r="GY32" s="51">
        <f t="shared" ref="GY32" si="759">GU32*$GY$26</f>
        <v>0</v>
      </c>
      <c r="GZ32" s="51">
        <f t="shared" ref="GZ32" si="760">GX32*GY32</f>
        <v>0</v>
      </c>
      <c r="HA32" s="54"/>
      <c r="HB32" s="51">
        <f t="shared" ref="HB32" si="761">GX32*$HB$26</f>
        <v>0</v>
      </c>
      <c r="HC32" s="51">
        <f t="shared" ref="HC32" si="762">GY32*$HC$26</f>
        <v>0</v>
      </c>
      <c r="HD32" s="51">
        <f t="shared" ref="HD32" si="763">HB32*HC32</f>
        <v>0</v>
      </c>
      <c r="HE32" s="54"/>
      <c r="HF32" s="51">
        <f t="shared" ref="HF32" si="764">HB32*$HF$26</f>
        <v>0</v>
      </c>
      <c r="HG32" s="51">
        <f t="shared" ref="HG32" si="765">HC32*$HG$26</f>
        <v>0</v>
      </c>
      <c r="HH32" s="51">
        <f t="shared" ref="HH32" si="766">HF32*HG32</f>
        <v>0</v>
      </c>
      <c r="HI32" s="54"/>
      <c r="HJ32" s="51">
        <f t="shared" ref="HJ32" si="767">HF32*$HJ$26</f>
        <v>0</v>
      </c>
      <c r="HK32" s="51">
        <f t="shared" ref="HK32" si="768">HG32*$HK$26</f>
        <v>0</v>
      </c>
      <c r="HL32" s="51">
        <f t="shared" ref="HL32" si="769">HJ32*HK32</f>
        <v>0</v>
      </c>
      <c r="HM32" s="54"/>
      <c r="HN32" s="51">
        <f t="shared" ref="HN32" si="770">HJ32*$HN$26</f>
        <v>0</v>
      </c>
      <c r="HO32" s="51">
        <f t="shared" ref="HO32" si="771">HK32*$HO$26</f>
        <v>0</v>
      </c>
      <c r="HP32" s="51">
        <f t="shared" ref="HP32" si="772">HN32*HO32</f>
        <v>0</v>
      </c>
      <c r="HQ32" s="54"/>
      <c r="HR32" s="51">
        <f t="shared" ref="HR32" si="773">HN32*$HR$26</f>
        <v>0</v>
      </c>
      <c r="HS32" s="51">
        <f t="shared" ref="HS32" si="774">HO32*$HS$26</f>
        <v>0</v>
      </c>
      <c r="HT32" s="51">
        <f t="shared" ref="HT32" si="775">HR32*HS32</f>
        <v>0</v>
      </c>
      <c r="HU32" s="54"/>
      <c r="HV32" s="51">
        <f t="shared" ref="HV32" si="776">HR32*$HV$26</f>
        <v>0</v>
      </c>
      <c r="HW32" s="51">
        <f t="shared" ref="HW32" si="777">HS32*$HW$26</f>
        <v>0</v>
      </c>
      <c r="HX32" s="51">
        <f t="shared" ref="HX32" si="778">HV32*HW32</f>
        <v>0</v>
      </c>
      <c r="HZ32" s="51">
        <f>HV32*$HZ$26</f>
        <v>0</v>
      </c>
      <c r="IA32" s="51">
        <f>HW32*$IA$26</f>
        <v>0</v>
      </c>
      <c r="IB32" s="51">
        <f t="shared" ref="IB32" si="779">HZ32*IA32</f>
        <v>0</v>
      </c>
      <c r="IC32" s="54"/>
      <c r="ID32" s="51">
        <f t="shared" ref="ID32" si="780">HZ32*$ID$26</f>
        <v>0</v>
      </c>
      <c r="IE32" s="51">
        <f t="shared" ref="IE32" si="781">IA32*$IE$26</f>
        <v>0</v>
      </c>
      <c r="IF32" s="51">
        <f t="shared" ref="IF32" si="782">ID32*IE32</f>
        <v>0</v>
      </c>
      <c r="IG32" s="54"/>
      <c r="IH32" s="51">
        <f t="shared" ref="IH32" si="783">ID32*$IH$26</f>
        <v>0</v>
      </c>
      <c r="II32" s="51">
        <f t="shared" ref="II32" si="784">IE32*$II$26</f>
        <v>0</v>
      </c>
      <c r="IJ32" s="51">
        <f t="shared" ref="IJ32" si="785">IH32*II32</f>
        <v>0</v>
      </c>
      <c r="IK32" s="54"/>
      <c r="IL32" s="80">
        <f>SUMIFS($F32:$IK32,$F$3:$IK$3,IL$5,$F$6:$IK$6,IL$6)</f>
        <v>0</v>
      </c>
      <c r="IM32" s="80">
        <v>0</v>
      </c>
      <c r="IN32" s="80">
        <f>SUMIFS($F32:$IK32,$F$3:$IK$3,IL$5,$F$6:$IK$6,IN$6)</f>
        <v>0</v>
      </c>
      <c r="IP32" s="80">
        <f>SUMIFS($F32:$IK32,$F$3:$IK$3,IP$5,$F$6:$IK$6,IP$6)</f>
        <v>0</v>
      </c>
      <c r="IQ32" s="80">
        <v>0</v>
      </c>
      <c r="IR32" s="80">
        <f>SUMIFS($F32:$IK32,$F$3:$IK$3,IP$5,$F$6:$IK$6,IR$6)</f>
        <v>0</v>
      </c>
      <c r="IT32" s="80">
        <f>SUMIFS($F32:$IK32,$F$3:$IK$3,IT$5,$F$6:$IK$6,IT$6)</f>
        <v>0</v>
      </c>
      <c r="IU32" s="80">
        <v>0</v>
      </c>
      <c r="IV32" s="80">
        <f>SUMIFS($F32:$IK32,$F$3:$IK$3,IT$5,$F$6:$IK$6,IV$6)</f>
        <v>0</v>
      </c>
      <c r="IX32" s="80">
        <f>SUMIFS($F32:$IK32,$F$3:$IK$3,IX$5,$F$6:$IK$6,IX$6)</f>
        <v>0</v>
      </c>
      <c r="IY32" s="80">
        <v>0</v>
      </c>
      <c r="IZ32" s="80">
        <f>SUMIFS($F32:$IK32,$F$3:$IK$3,IX$5,$F$6:$IK$6,IZ$6)</f>
        <v>0</v>
      </c>
      <c r="JB32" s="80">
        <f>SUMIFS($F32:$IK32,$F$3:$IK$3,JB$5,$F$6:$IK$6,JB$6)</f>
        <v>0</v>
      </c>
      <c r="JC32" s="80">
        <v>0</v>
      </c>
      <c r="JD32" s="80">
        <f>SUMIFS($F32:$IK32,$F$3:$IK$3,JB$5,$F$6:$IK$6,JD$6)</f>
        <v>0</v>
      </c>
      <c r="JF32" s="80">
        <f>SUMIFS($F32:$IK32,$F$3:$IK$3,JF$5,$F$6:$IK$6,JF$6)</f>
        <v>0</v>
      </c>
      <c r="JG32" s="80">
        <v>0</v>
      </c>
      <c r="JH32" s="80">
        <f>SUMIFS($F32:$IK32,$F$3:$IK$3,JF$5,$F$6:$IK$6,JH$6)</f>
        <v>0</v>
      </c>
    </row>
    <row r="33" ht="18.75" customHeight="1" spans="2:268" x14ac:dyDescent="0.25">
      <c r="B33" s="34" t="s">
        <v>58</v>
      </c>
      <c r="C33" s="34"/>
      <c r="D33" s="34"/>
      <c r="E33" s="30"/>
      <c r="F33" s="81">
        <f>SUM(F28:F32)</f>
        <v>0</v>
      </c>
      <c r="G33" s="81"/>
      <c r="H33" s="81">
        <f>SUM(H28:H32)</f>
        <v>0</v>
      </c>
      <c r="I33" s="81"/>
      <c r="J33" s="81">
        <f>SUM(J28:J32)</f>
        <v>0</v>
      </c>
      <c r="K33" s="81"/>
      <c r="L33" s="81">
        <f>SUM(L28:L32)</f>
        <v>0</v>
      </c>
      <c r="M33" s="81"/>
      <c r="N33" s="81">
        <f>SUM(N28:N32)</f>
        <v>0</v>
      </c>
      <c r="O33" s="81"/>
      <c r="P33" s="81">
        <f>SUM(P28:P32)</f>
        <v>0</v>
      </c>
      <c r="Q33" s="81"/>
      <c r="R33" s="81">
        <f>SUM(R28:R32)</f>
        <v>0</v>
      </c>
      <c r="S33" s="81"/>
      <c r="T33" s="81">
        <f>SUM(T28:T32)</f>
        <v>0</v>
      </c>
      <c r="U33" s="81"/>
      <c r="V33" s="81">
        <f>SUM(V28:V32)</f>
        <v>0</v>
      </c>
      <c r="W33" s="81"/>
      <c r="X33" s="81">
        <f>SUM(X28:X32)</f>
        <v>0</v>
      </c>
      <c r="Y33" s="81"/>
      <c r="Z33" s="81">
        <f>SUM(Z28:Z32)</f>
        <v>0</v>
      </c>
      <c r="AA33" s="81"/>
      <c r="AB33" s="81">
        <f>SUM(AB28:AB32)</f>
        <v>0</v>
      </c>
      <c r="AC33" s="81"/>
      <c r="AD33" s="81">
        <f>SUM(AD28:AD32)</f>
        <v>0</v>
      </c>
      <c r="AE33" s="81"/>
      <c r="AF33" s="81">
        <f>SUM(AF28:AF32)</f>
        <v>0</v>
      </c>
      <c r="AG33" s="81"/>
      <c r="AH33" s="81">
        <f>SUM(AH28:AH32)</f>
        <v>0</v>
      </c>
      <c r="AI33" s="81"/>
      <c r="AJ33" s="81">
        <f>SUM(AJ28:AJ32)</f>
        <v>0</v>
      </c>
      <c r="AK33" s="81"/>
      <c r="AL33" s="81">
        <f>SUM(AL28:AL32)</f>
        <v>0</v>
      </c>
      <c r="AM33" s="81"/>
      <c r="AN33" s="81">
        <f>SUM(AN28:AN32)</f>
        <v>0</v>
      </c>
      <c r="AO33" s="81"/>
      <c r="AP33" s="81">
        <f>SUM(AP27:AP32)</f>
        <v>0</v>
      </c>
      <c r="AQ33" s="81"/>
      <c r="AR33" s="81">
        <f>SUM(AR27:AR32)</f>
        <v>0</v>
      </c>
      <c r="AS33" s="81"/>
      <c r="AT33" s="81">
        <f>SUM(AT27:AT32)</f>
        <v>0</v>
      </c>
      <c r="AU33" s="81"/>
      <c r="AV33" s="81">
        <f>SUM(AV27:AV32)</f>
        <v>0</v>
      </c>
      <c r="AW33" s="81"/>
      <c r="AX33" s="81">
        <f>SUM(AX27:AX32)</f>
        <v>0</v>
      </c>
      <c r="AY33" s="81"/>
      <c r="AZ33" s="81">
        <f>SUM(AZ27:AZ32)</f>
        <v>0</v>
      </c>
      <c r="BA33" s="81"/>
      <c r="BB33" s="81">
        <f>SUM(BB27:BB32)</f>
        <v>0</v>
      </c>
      <c r="BC33" s="81"/>
      <c r="BD33" s="81">
        <f>SUM(BD27:BD32)</f>
        <v>0</v>
      </c>
      <c r="BE33" s="81"/>
      <c r="BF33" s="81">
        <f>SUM(BF27:BF32)</f>
        <v>0</v>
      </c>
      <c r="BG33" s="81"/>
      <c r="BH33" s="81">
        <f>SUM(BH27:BH32)</f>
        <v>0</v>
      </c>
      <c r="BI33" s="81"/>
      <c r="BJ33" s="81">
        <f>SUM(BJ27:BJ32)</f>
        <v>0</v>
      </c>
      <c r="BK33" s="81"/>
      <c r="BL33" s="81">
        <f>SUM(BL27:BL32)</f>
        <v>0</v>
      </c>
      <c r="BM33" s="81"/>
      <c r="BN33" s="81">
        <f>SUM(BN27:BN32)</f>
        <v>0</v>
      </c>
      <c r="BO33" s="81"/>
      <c r="BP33" s="81">
        <f>SUM(BP27:BP32)</f>
        <v>0</v>
      </c>
      <c r="BQ33" s="81"/>
      <c r="BR33" s="81">
        <f>SUM(BR27:BR32)</f>
        <v>0</v>
      </c>
      <c r="BS33" s="81"/>
      <c r="BT33" s="81">
        <f>SUM(BT27:BT32)</f>
        <v>0</v>
      </c>
      <c r="BU33" s="81"/>
      <c r="BV33" s="81">
        <f>SUM(BV27:BV32)</f>
        <v>0</v>
      </c>
      <c r="BW33" s="81"/>
      <c r="BX33" s="81">
        <f>SUM(BX27:BX32)</f>
        <v>0</v>
      </c>
      <c r="BY33" s="81"/>
      <c r="BZ33" s="81">
        <f>SUM(BZ27:BZ32)</f>
        <v>0</v>
      </c>
      <c r="CA33" s="81"/>
      <c r="CB33" s="81">
        <f>SUM(CB27:CB32)</f>
        <v>0</v>
      </c>
      <c r="CC33" s="81"/>
      <c r="CD33" s="81">
        <f>SUM(CD27:CD32)</f>
        <v>0</v>
      </c>
      <c r="CE33" s="81"/>
      <c r="CF33" s="81">
        <f>SUM(CF27:CF32)</f>
        <v>0</v>
      </c>
      <c r="CG33" s="81"/>
      <c r="CH33" s="81">
        <f>SUM(CH27:CH32)</f>
        <v>0</v>
      </c>
      <c r="CI33" s="81"/>
      <c r="CJ33" s="81">
        <f>SUM(CJ27:CJ32)</f>
        <v>0</v>
      </c>
      <c r="CK33" s="81"/>
      <c r="CL33" s="81">
        <f>SUM(CL27:CL32)</f>
        <v>0</v>
      </c>
      <c r="CM33" s="81"/>
      <c r="CN33" s="81">
        <f>SUM(CN27:CN32)</f>
        <v>0</v>
      </c>
      <c r="CO33" s="81"/>
      <c r="CP33" s="81">
        <f>SUM(CP27:CP32)</f>
        <v>0</v>
      </c>
      <c r="CQ33" s="81"/>
      <c r="CR33" s="81">
        <f>SUM(CR27:CR32)</f>
        <v>0</v>
      </c>
      <c r="CS33" s="81"/>
      <c r="CT33" s="81">
        <f>SUM(CT27:CT32)</f>
        <v>0</v>
      </c>
      <c r="CU33" s="81"/>
      <c r="CV33" s="81">
        <f>SUM(CV27:CV32)</f>
        <v>0</v>
      </c>
      <c r="CW33" s="81"/>
      <c r="CX33" s="81">
        <f>SUM(CX27:CX32)</f>
        <v>0</v>
      </c>
      <c r="CY33" s="81"/>
      <c r="CZ33" s="81">
        <f>SUM(CZ27:CZ32)</f>
        <v>0</v>
      </c>
      <c r="DA33" s="81"/>
      <c r="DB33" s="81">
        <f>SUM(DB27:DB32)</f>
        <v>0</v>
      </c>
      <c r="DC33" s="81"/>
      <c r="DD33" s="81">
        <f>SUM(DD27:DD32)</f>
        <v>0</v>
      </c>
      <c r="DE33" s="81"/>
      <c r="DF33" s="81">
        <f>SUM(DF27:DF32)</f>
        <v>0</v>
      </c>
      <c r="DG33" s="81"/>
      <c r="DH33" s="81">
        <f>SUM(DH27:DH32)</f>
        <v>0</v>
      </c>
      <c r="DI33" s="81"/>
      <c r="DJ33" s="81">
        <f>SUM(DJ27:DJ32)</f>
        <v>0</v>
      </c>
      <c r="DK33" s="81"/>
      <c r="DL33" s="81">
        <f>SUM(DL27:DL32)</f>
        <v>0</v>
      </c>
      <c r="DM33" s="81"/>
      <c r="DN33" s="81">
        <f>SUM(DN27:DN32)</f>
        <v>0</v>
      </c>
      <c r="DO33" s="81"/>
      <c r="DP33" s="81">
        <f>SUM(DP27:DP32)</f>
        <v>0</v>
      </c>
      <c r="DQ33" s="81"/>
      <c r="DR33" s="81">
        <f>SUM(DR27:DR32)</f>
        <v>0</v>
      </c>
      <c r="DS33" s="81"/>
      <c r="DT33" s="81">
        <f>SUM(DT27:DT32)</f>
        <v>0</v>
      </c>
      <c r="DU33" s="81"/>
      <c r="DV33" s="81">
        <f>SUM(DV27:DV32)</f>
        <v>0</v>
      </c>
      <c r="DW33" s="81"/>
      <c r="DX33" s="81">
        <f>SUM(DX27:DX32)</f>
        <v>0</v>
      </c>
      <c r="DY33" s="81"/>
      <c r="DZ33" s="81">
        <f>SUM(DZ27:DZ32)</f>
        <v>0</v>
      </c>
      <c r="EA33" s="81"/>
      <c r="EB33" s="81">
        <f>SUM(EB27:EB32)</f>
        <v>0</v>
      </c>
      <c r="EC33" s="81"/>
      <c r="ED33" s="81">
        <f>SUM(ED27:ED32)</f>
        <v>0</v>
      </c>
      <c r="EE33" s="81"/>
      <c r="EF33" s="81">
        <f>SUM(EF27:EF32)</f>
        <v>0</v>
      </c>
      <c r="EG33" s="81"/>
      <c r="EH33" s="81">
        <f>SUM(EH27:EH32)</f>
        <v>0</v>
      </c>
      <c r="EI33" s="81"/>
      <c r="EJ33" s="81">
        <f>SUM(EJ27:EJ32)</f>
        <v>0</v>
      </c>
      <c r="EK33" s="81"/>
      <c r="EL33" s="81">
        <f>SUM(EL27:EL32)</f>
        <v>0</v>
      </c>
      <c r="EM33" s="81"/>
      <c r="EN33" s="81">
        <f>SUM(EN27:EN32)</f>
        <v>0</v>
      </c>
      <c r="EO33" s="81"/>
      <c r="EP33" s="81">
        <f>SUM(EP27:EP32)</f>
        <v>0</v>
      </c>
      <c r="EQ33" s="81"/>
      <c r="ER33" s="81">
        <f>SUM(ER27:ER32)</f>
        <v>0</v>
      </c>
      <c r="ES33" s="81"/>
      <c r="ET33" s="81">
        <f>SUM(ET27:ET32)</f>
        <v>0</v>
      </c>
      <c r="EU33" s="81"/>
      <c r="EV33" s="81">
        <f>SUM(EV27:EV32)</f>
        <v>0</v>
      </c>
      <c r="EW33" s="81"/>
      <c r="EX33" s="81">
        <f>SUM(EX27:EX32)</f>
        <v>0</v>
      </c>
      <c r="EY33" s="81"/>
      <c r="EZ33" s="81">
        <f>SUM(EZ27:EZ32)</f>
        <v>0</v>
      </c>
      <c r="FA33" s="81"/>
      <c r="FB33" s="81">
        <f>SUM(FB27:FB32)</f>
        <v>0</v>
      </c>
      <c r="FC33" s="81"/>
      <c r="FD33" s="81">
        <f>SUM(FD27:FD32)</f>
        <v>0</v>
      </c>
      <c r="FE33" s="81"/>
      <c r="FF33" s="81">
        <f>SUM(FF27:FF32)</f>
        <v>0</v>
      </c>
      <c r="FG33" s="81"/>
      <c r="FH33" s="81">
        <f>SUM(FH27:FH32)</f>
        <v>0</v>
      </c>
      <c r="FI33" s="81"/>
      <c r="FJ33" s="81">
        <f>SUM(FJ27:FJ32)</f>
        <v>0</v>
      </c>
      <c r="FK33" s="81"/>
      <c r="FL33" s="81">
        <f>SUM(FL27:FL32)</f>
        <v>0</v>
      </c>
      <c r="FM33" s="81"/>
      <c r="FN33" s="81">
        <f>SUM(FN27:FN32)</f>
        <v>0</v>
      </c>
      <c r="FO33" s="81"/>
      <c r="FP33" s="81">
        <f>SUM(FP27:FP32)</f>
        <v>0</v>
      </c>
      <c r="FQ33" s="81"/>
      <c r="FR33" s="81">
        <f>SUM(FR27:FR32)</f>
        <v>0</v>
      </c>
      <c r="FS33" s="81"/>
      <c r="FT33" s="81">
        <f>SUM(FT27:FT32)</f>
        <v>0</v>
      </c>
      <c r="FU33" s="81"/>
      <c r="FV33" s="81">
        <f>SUM(FV27:FV32)</f>
        <v>0</v>
      </c>
      <c r="FW33" s="81"/>
      <c r="FX33" s="81">
        <f>SUM(FX27:FX32)</f>
        <v>0</v>
      </c>
      <c r="FY33" s="81"/>
      <c r="FZ33" s="81">
        <f>SUM(FZ27:FZ32)</f>
        <v>0</v>
      </c>
      <c r="GA33" s="81"/>
      <c r="GB33" s="81">
        <f>SUM(GB27:GB32)</f>
        <v>0</v>
      </c>
      <c r="GC33" s="9"/>
      <c r="GD33" s="81">
        <f>SUM(GD27:GD32)</f>
        <v>0</v>
      </c>
      <c r="GE33" s="81"/>
      <c r="GF33" s="81">
        <f>SUM(GF27:GF32)</f>
        <v>0</v>
      </c>
      <c r="GG33" s="81"/>
      <c r="GH33" s="81">
        <f>SUM(GH27:GH32)</f>
        <v>0</v>
      </c>
      <c r="GI33" s="81"/>
      <c r="GJ33" s="81">
        <f>SUM(GJ27:GJ32)</f>
        <v>0</v>
      </c>
      <c r="GK33" s="81"/>
      <c r="GL33" s="81">
        <f>SUM(GL27:GL32)</f>
        <v>0</v>
      </c>
      <c r="GM33" s="81"/>
      <c r="GN33" s="81">
        <f>SUM(GN27:GN32)</f>
        <v>0</v>
      </c>
      <c r="GO33" s="81"/>
      <c r="GP33" s="81">
        <f>SUM(GP27:GP32)</f>
        <v>0</v>
      </c>
      <c r="GQ33" s="81"/>
      <c r="GR33" s="81">
        <f>SUM(GR27:GR32)</f>
        <v>0</v>
      </c>
      <c r="GS33" s="81"/>
      <c r="GT33" s="81">
        <f>SUM(GT27:GT32)</f>
        <v>0</v>
      </c>
      <c r="GU33" s="81"/>
      <c r="GV33" s="81">
        <f>SUM(GV27:GV32)</f>
        <v>0</v>
      </c>
      <c r="GW33" s="81"/>
      <c r="GX33" s="81">
        <f>SUM(GX27:GX32)</f>
        <v>0</v>
      </c>
      <c r="GY33" s="81"/>
      <c r="GZ33" s="81">
        <f>SUM(GZ27:GZ32)</f>
        <v>0</v>
      </c>
      <c r="HA33" s="81"/>
      <c r="HB33" s="81">
        <f>SUM(HB27:HB32)</f>
        <v>0</v>
      </c>
      <c r="HC33" s="81"/>
      <c r="HD33" s="81">
        <f>SUM(HD27:HD32)</f>
        <v>0</v>
      </c>
      <c r="HE33" s="81"/>
      <c r="HF33" s="81">
        <f>SUM(HF27:HF32)</f>
        <v>0</v>
      </c>
      <c r="HG33" s="81"/>
      <c r="HH33" s="81">
        <f>SUM(HH27:HH32)</f>
        <v>0</v>
      </c>
      <c r="HI33" s="81"/>
      <c r="HJ33" s="81">
        <f>SUM(HJ27:HJ32)</f>
        <v>0</v>
      </c>
      <c r="HK33" s="81"/>
      <c r="HL33" s="81">
        <f>SUM(HL27:HL32)</f>
        <v>0</v>
      </c>
      <c r="HM33" s="81"/>
      <c r="HN33" s="81">
        <f>SUM(HN27:HN32)</f>
        <v>0</v>
      </c>
      <c r="HO33" s="81"/>
      <c r="HP33" s="81">
        <f>SUM(HP27:HP32)</f>
        <v>0</v>
      </c>
      <c r="HQ33" s="81"/>
      <c r="HR33" s="81">
        <f>SUM(HR27:HR32)</f>
        <v>0</v>
      </c>
      <c r="HS33" s="81"/>
      <c r="HT33" s="81">
        <f>SUM(HT27:HT32)</f>
        <v>0</v>
      </c>
      <c r="HU33" s="81"/>
      <c r="HV33" s="81">
        <f>SUM(HV27:HV32)</f>
        <v>0</v>
      </c>
      <c r="HW33" s="81"/>
      <c r="HX33" s="81">
        <f>SUM(HX27:HX32)</f>
        <v>0</v>
      </c>
      <c r="HY33" s="9"/>
      <c r="HZ33" s="81">
        <f>SUM(HZ27:HZ32)</f>
        <v>0</v>
      </c>
      <c r="IA33" s="81"/>
      <c r="IB33" s="81">
        <f>SUM(IB27:IB32)</f>
        <v>0</v>
      </c>
      <c r="IC33" s="81"/>
      <c r="ID33" s="81">
        <f>SUM(ID27:ID32)</f>
        <v>0</v>
      </c>
      <c r="IE33" s="81"/>
      <c r="IF33" s="81">
        <f>SUM(IF27:IF32)</f>
        <v>0</v>
      </c>
      <c r="IG33" s="81"/>
      <c r="IH33" s="81">
        <f>SUM(IH27:IH32)</f>
        <v>0</v>
      </c>
      <c r="II33" s="81"/>
      <c r="IJ33" s="81">
        <f>SUM(IJ27:IJ32)</f>
        <v>0</v>
      </c>
      <c r="IK33" s="81"/>
      <c r="IL33" s="81">
        <f>SUM(IL27:IL29)</f>
        <v>0</v>
      </c>
      <c r="IM33" s="81"/>
      <c r="IN33" s="80">
        <f>SUM(IN28:IN32)</f>
        <v>0</v>
      </c>
      <c r="IP33" s="81">
        <f>SUM(IP27:IP29)</f>
        <v>0</v>
      </c>
      <c r="IQ33" s="81"/>
      <c r="IR33" s="80">
        <f>SUM(IR28:IR32)</f>
        <v>0</v>
      </c>
      <c r="IT33" s="81">
        <f>SUM(IT27:IT29)</f>
        <v>0</v>
      </c>
      <c r="IU33" s="81"/>
      <c r="IV33" s="80">
        <f>SUM(IV28:IV32)</f>
        <v>0</v>
      </c>
      <c r="IX33" s="81">
        <f>SUM(IX27:IX29)</f>
        <v>0</v>
      </c>
      <c r="IY33" s="81"/>
      <c r="IZ33" s="80">
        <f>SUM(IZ28:IZ32)</f>
        <v>0</v>
      </c>
      <c r="JB33" s="81">
        <f>SUM(JB27:JB29)</f>
        <v>0</v>
      </c>
      <c r="JC33" s="81"/>
      <c r="JD33" s="80">
        <f>SUM(JD28:JD32)</f>
        <v>0</v>
      </c>
      <c r="JF33" s="81">
        <f>SUM(JF27:JF29)</f>
        <v>0</v>
      </c>
      <c r="JG33" s="81"/>
      <c r="JH33" s="80">
        <f>SUM(JH28:JH32)</f>
        <v>0</v>
      </c>
    </row>
    <row r="34" ht="9.75" customHeight="1" spans="2:268" x14ac:dyDescent="0.25">
      <c r="B34" s="9"/>
      <c r="C34" s="30"/>
      <c r="D34" s="30"/>
      <c r="E34" s="30"/>
      <c r="F34" s="54"/>
      <c r="G34" s="54"/>
      <c r="H34" s="54"/>
      <c r="I34" s="54"/>
      <c r="J34" s="54"/>
      <c r="K34" s="54"/>
      <c r="L34" s="54"/>
      <c r="M34" s="54"/>
      <c r="N34" s="54"/>
      <c r="O34" s="54"/>
      <c r="P34" s="54"/>
      <c r="Q34" s="54"/>
      <c r="R34" s="54"/>
      <c r="S34" s="54"/>
      <c r="T34" s="54"/>
      <c r="U34" s="54"/>
      <c r="V34" s="54"/>
      <c r="W34" s="54"/>
      <c r="X34" s="54"/>
      <c r="Y34" s="54"/>
      <c r="Z34" s="54"/>
      <c r="AA34" s="54"/>
      <c r="AB34" s="54"/>
      <c r="AC34" s="54"/>
      <c r="AD34" s="54"/>
      <c r="AE34" s="54"/>
      <c r="AF34" s="54"/>
      <c r="AG34" s="54"/>
      <c r="AH34" s="54"/>
      <c r="AI34" s="54"/>
      <c r="AJ34" s="54"/>
      <c r="AK34" s="54"/>
      <c r="AL34" s="54"/>
      <c r="AM34" s="54"/>
      <c r="AN34" s="54"/>
      <c r="AO34" s="54"/>
      <c r="AP34" s="54"/>
      <c r="AQ34" s="54"/>
      <c r="AR34" s="54"/>
      <c r="AS34" s="54"/>
      <c r="AT34" s="54"/>
      <c r="AU34" s="54"/>
      <c r="AV34" s="54"/>
      <c r="AW34" s="54"/>
      <c r="AX34" s="54"/>
      <c r="AY34" s="54"/>
      <c r="AZ34" s="54"/>
      <c r="BA34" s="54"/>
      <c r="BB34" s="54"/>
      <c r="BC34" s="54"/>
      <c r="BD34" s="54"/>
      <c r="BE34" s="54"/>
      <c r="BF34" s="54"/>
      <c r="BG34" s="54"/>
      <c r="BH34" s="54"/>
      <c r="BI34" s="54"/>
      <c r="BJ34" s="54"/>
      <c r="BK34" s="54"/>
      <c r="BL34" s="54"/>
      <c r="BM34" s="54"/>
      <c r="BN34" s="54"/>
      <c r="BO34" s="54"/>
      <c r="BP34" s="54"/>
      <c r="BQ34" s="54"/>
      <c r="BR34" s="54"/>
      <c r="BS34" s="54"/>
      <c r="BT34" s="54"/>
      <c r="BU34" s="54"/>
      <c r="BV34" s="54"/>
      <c r="BW34" s="54"/>
      <c r="BX34" s="54"/>
      <c r="BY34" s="54"/>
      <c r="BZ34" s="54"/>
      <c r="CA34" s="54"/>
      <c r="CB34" s="54"/>
      <c r="CC34" s="54"/>
      <c r="CD34" s="54"/>
      <c r="CE34" s="54"/>
      <c r="CF34" s="54"/>
      <c r="CG34" s="54"/>
      <c r="CH34" s="54"/>
      <c r="CI34" s="54"/>
      <c r="CJ34" s="54"/>
      <c r="CK34" s="54"/>
      <c r="CL34" s="54"/>
      <c r="CM34" s="54"/>
      <c r="CN34" s="54"/>
      <c r="CO34" s="54"/>
      <c r="CP34" s="54"/>
      <c r="CQ34" s="54"/>
      <c r="CR34" s="54"/>
      <c r="CS34" s="54"/>
      <c r="CT34" s="54"/>
      <c r="CU34" s="54"/>
      <c r="CV34" s="54"/>
      <c r="CW34" s="54"/>
      <c r="CX34" s="54"/>
      <c r="CY34" s="54"/>
      <c r="CZ34" s="54"/>
      <c r="DA34" s="54"/>
      <c r="DB34" s="54"/>
      <c r="DC34" s="54"/>
      <c r="DD34" s="54"/>
      <c r="DE34" s="54"/>
      <c r="DF34" s="54"/>
      <c r="DG34" s="54"/>
      <c r="DH34" s="54"/>
      <c r="DI34" s="54"/>
      <c r="DJ34" s="54"/>
      <c r="DK34" s="54"/>
      <c r="DL34" s="54"/>
      <c r="DM34" s="54"/>
      <c r="DN34" s="54"/>
      <c r="DO34" s="54"/>
      <c r="DP34" s="54"/>
      <c r="DQ34" s="54"/>
      <c r="DR34" s="54"/>
      <c r="DS34" s="54"/>
      <c r="DT34" s="54"/>
      <c r="DU34" s="54"/>
      <c r="DV34" s="54"/>
      <c r="DW34" s="54"/>
      <c r="DX34" s="54"/>
      <c r="DY34" s="54"/>
      <c r="DZ34" s="54"/>
      <c r="EA34" s="54"/>
      <c r="EB34" s="54"/>
      <c r="EC34" s="54"/>
      <c r="ED34" s="54"/>
      <c r="EE34" s="54"/>
      <c r="EF34" s="54"/>
      <c r="EG34" s="54"/>
      <c r="EH34" s="54"/>
      <c r="EI34" s="54"/>
      <c r="EJ34" s="54"/>
      <c r="EK34" s="54"/>
      <c r="EL34" s="54"/>
      <c r="EM34" s="54"/>
      <c r="EN34" s="54"/>
      <c r="EO34" s="54"/>
      <c r="EP34" s="54"/>
      <c r="EQ34" s="54"/>
      <c r="ER34" s="54"/>
      <c r="ES34" s="54"/>
      <c r="ET34" s="54"/>
      <c r="EU34" s="54"/>
      <c r="EV34" s="54"/>
      <c r="EW34" s="54"/>
      <c r="EX34" s="54"/>
      <c r="EY34" s="54"/>
      <c r="EZ34" s="54"/>
      <c r="FA34" s="54"/>
      <c r="FB34" s="54"/>
      <c r="FC34" s="54"/>
      <c r="FD34" s="54"/>
      <c r="FE34" s="54"/>
      <c r="FF34" s="54"/>
      <c r="FG34" s="54"/>
      <c r="FH34" s="54"/>
      <c r="FI34" s="54"/>
      <c r="FJ34" s="54"/>
      <c r="FK34" s="54"/>
      <c r="FL34" s="54"/>
      <c r="FM34" s="54"/>
      <c r="FN34" s="54"/>
      <c r="FO34" s="54"/>
      <c r="FP34" s="54"/>
      <c r="FQ34" s="54"/>
      <c r="FR34" s="54"/>
      <c r="FS34" s="54"/>
      <c r="FT34" s="54"/>
      <c r="FU34" s="54"/>
      <c r="FV34" s="54"/>
      <c r="FW34" s="54"/>
      <c r="FX34" s="54"/>
      <c r="FY34" s="54"/>
      <c r="FZ34" s="54"/>
      <c r="GA34" s="54"/>
      <c r="GB34" s="54"/>
      <c r="GD34" s="54"/>
      <c r="GE34" s="54"/>
      <c r="GF34" s="54"/>
      <c r="GG34" s="54"/>
      <c r="GH34" s="54"/>
      <c r="GI34" s="54"/>
      <c r="GJ34" s="54"/>
      <c r="GK34" s="54"/>
      <c r="GL34" s="54"/>
      <c r="GM34" s="54"/>
      <c r="GN34" s="54"/>
      <c r="GO34" s="54"/>
      <c r="GP34" s="54"/>
      <c r="GQ34" s="54"/>
      <c r="GR34" s="54"/>
      <c r="GS34" s="54"/>
      <c r="GT34" s="54"/>
      <c r="GU34" s="54"/>
      <c r="GV34" s="54"/>
      <c r="GW34" s="54"/>
      <c r="GX34" s="54"/>
      <c r="GY34" s="54"/>
      <c r="GZ34" s="54"/>
      <c r="HA34" s="54"/>
      <c r="HB34" s="54"/>
      <c r="HC34" s="54"/>
      <c r="HD34" s="54"/>
      <c r="HE34" s="54"/>
      <c r="HF34" s="54"/>
      <c r="HG34" s="54"/>
      <c r="HH34" s="54"/>
      <c r="HI34" s="54"/>
      <c r="HJ34" s="54"/>
      <c r="HK34" s="54"/>
      <c r="HL34" s="54"/>
      <c r="HM34" s="54"/>
      <c r="HN34" s="54"/>
      <c r="HO34" s="54"/>
      <c r="HP34" s="54"/>
      <c r="HQ34" s="54"/>
      <c r="HR34" s="54"/>
      <c r="HS34" s="54"/>
      <c r="HT34" s="54"/>
      <c r="HU34" s="54"/>
      <c r="HV34" s="54"/>
      <c r="HW34" s="54"/>
      <c r="HX34" s="54"/>
      <c r="HZ34" s="54"/>
      <c r="IA34" s="54"/>
      <c r="IB34" s="54"/>
      <c r="IC34" s="54"/>
      <c r="ID34" s="54"/>
      <c r="IE34" s="54"/>
      <c r="IF34" s="54"/>
      <c r="IG34" s="54"/>
      <c r="IH34" s="54"/>
      <c r="II34" s="54"/>
      <c r="IJ34" s="54"/>
      <c r="IK34" s="54"/>
      <c r="IL34" s="54"/>
      <c r="IM34" s="54"/>
      <c r="IN34" s="54"/>
      <c r="IP34" s="54"/>
      <c r="IQ34" s="54"/>
      <c r="IR34" s="54"/>
      <c r="IT34" s="54"/>
      <c r="IU34" s="54"/>
      <c r="IV34" s="54"/>
      <c r="IX34" s="54"/>
      <c r="IY34" s="54"/>
      <c r="IZ34" s="54"/>
      <c r="JB34" s="54"/>
      <c r="JC34" s="54"/>
      <c r="JD34" s="54"/>
      <c r="JF34" s="54"/>
      <c r="JG34" s="54"/>
      <c r="JH34" s="54"/>
    </row>
    <row r="35" ht="18.75" customHeight="1" spans="2:268" x14ac:dyDescent="0.25">
      <c r="B35" s="9"/>
      <c r="C35" s="30"/>
      <c r="D35" s="28"/>
      <c r="E35" s="28"/>
      <c r="F35" s="28"/>
      <c r="G35" s="54"/>
      <c r="H35" s="82"/>
      <c r="I35" s="54"/>
      <c r="J35" s="78">
        <f>'A.I Revenue Streams - P1'!K37+100%</f>
        <v>1</v>
      </c>
      <c r="K35" s="78">
        <f>$K$8</f>
        <v>1</v>
      </c>
      <c r="L35" s="82"/>
      <c r="M35" s="77"/>
      <c r="N35" s="78">
        <v>1</v>
      </c>
      <c r="O35" s="78">
        <v>1</v>
      </c>
      <c r="P35" s="77"/>
      <c r="Q35" s="77"/>
      <c r="R35" s="78">
        <f>N35</f>
        <v>1</v>
      </c>
      <c r="S35" s="78">
        <v>1</v>
      </c>
      <c r="T35" s="77"/>
      <c r="U35" s="77"/>
      <c r="V35" s="78">
        <f>R35</f>
        <v>1</v>
      </c>
      <c r="W35" s="78">
        <v>1</v>
      </c>
      <c r="X35" s="77"/>
      <c r="Y35" s="77"/>
      <c r="Z35" s="78">
        <f>V35</f>
        <v>1</v>
      </c>
      <c r="AA35" s="78">
        <v>1</v>
      </c>
      <c r="AB35" s="77"/>
      <c r="AC35" s="77"/>
      <c r="AD35" s="78">
        <f>Z35</f>
        <v>1</v>
      </c>
      <c r="AE35" s="78">
        <v>1</v>
      </c>
      <c r="AF35" s="77"/>
      <c r="AG35" s="77"/>
      <c r="AH35" s="78">
        <f>AD35</f>
        <v>1</v>
      </c>
      <c r="AI35" s="78">
        <v>1</v>
      </c>
      <c r="AJ35" s="77"/>
      <c r="AK35" s="77"/>
      <c r="AL35" s="78">
        <f>AH35</f>
        <v>1</v>
      </c>
      <c r="AM35" s="78">
        <v>1</v>
      </c>
      <c r="AN35" s="77"/>
      <c r="AO35" s="54"/>
      <c r="AP35" s="78">
        <v>1</v>
      </c>
      <c r="AQ35" s="78">
        <v>1</v>
      </c>
      <c r="AR35" s="82"/>
      <c r="AS35" s="54"/>
      <c r="AT35" s="78">
        <f>AP35</f>
        <v>1</v>
      </c>
      <c r="AU35" s="78">
        <v>1</v>
      </c>
      <c r="AV35" s="77"/>
      <c r="AW35" s="77"/>
      <c r="AX35" s="78">
        <f>AT35</f>
        <v>1</v>
      </c>
      <c r="AY35" s="78">
        <v>1</v>
      </c>
      <c r="AZ35" s="77"/>
      <c r="BA35" s="77"/>
      <c r="BB35" s="79">
        <f>'A.I Revenue Streams - P1'!M37+100%</f>
        <v>1</v>
      </c>
      <c r="BC35" s="79">
        <v>1</v>
      </c>
      <c r="BD35" s="77"/>
      <c r="BE35" s="77"/>
      <c r="BF35" s="78">
        <v>1</v>
      </c>
      <c r="BG35" s="78">
        <v>1</v>
      </c>
      <c r="BH35" s="77"/>
      <c r="BI35" s="77"/>
      <c r="BJ35" s="78">
        <f>BF35</f>
        <v>1</v>
      </c>
      <c r="BK35" s="78">
        <v>1</v>
      </c>
      <c r="BL35" s="77"/>
      <c r="BM35" s="77"/>
      <c r="BN35" s="79">
        <f>BJ35</f>
        <v>1</v>
      </c>
      <c r="BO35" s="79">
        <v>1</v>
      </c>
      <c r="BP35" s="77"/>
      <c r="BQ35" s="77"/>
      <c r="BR35" s="78">
        <f>BN35</f>
        <v>1</v>
      </c>
      <c r="BS35" s="78">
        <v>1</v>
      </c>
      <c r="BT35" s="77"/>
      <c r="BU35" s="77"/>
      <c r="BV35" s="78">
        <f>BR35</f>
        <v>1</v>
      </c>
      <c r="BW35" s="78">
        <v>1</v>
      </c>
      <c r="BX35" s="77"/>
      <c r="BY35" s="77"/>
      <c r="BZ35" s="78">
        <f>BV35</f>
        <v>1</v>
      </c>
      <c r="CA35" s="78">
        <v>1</v>
      </c>
      <c r="CB35" s="77"/>
      <c r="CC35" s="77"/>
      <c r="CD35" s="78">
        <f>BZ35</f>
        <v>1</v>
      </c>
      <c r="CE35" s="78">
        <v>1</v>
      </c>
      <c r="CF35" s="77"/>
      <c r="CG35" s="77"/>
      <c r="CH35" s="79">
        <f>CD35</f>
        <v>1</v>
      </c>
      <c r="CI35" s="79">
        <v>1</v>
      </c>
      <c r="CJ35" s="82"/>
      <c r="CK35" s="82"/>
      <c r="CL35" s="78">
        <v>1</v>
      </c>
      <c r="CM35" s="78">
        <v>1</v>
      </c>
      <c r="CN35" s="82"/>
      <c r="CO35" s="54"/>
      <c r="CP35" s="78">
        <v>1</v>
      </c>
      <c r="CQ35" s="78">
        <v>1</v>
      </c>
      <c r="CR35" s="77"/>
      <c r="CS35" s="77"/>
      <c r="CT35" s="78">
        <f>CP35</f>
        <v>1</v>
      </c>
      <c r="CU35" s="78">
        <v>1</v>
      </c>
      <c r="CV35" s="77"/>
      <c r="CW35" s="77"/>
      <c r="CX35" s="79">
        <f>'A.I Revenue Streams - P1'!O37+100%</f>
        <v>2.23</v>
      </c>
      <c r="CY35" s="79">
        <v>1</v>
      </c>
      <c r="CZ35" s="77"/>
      <c r="DA35" s="77"/>
      <c r="DB35" s="78">
        <v>1</v>
      </c>
      <c r="DC35" s="78">
        <v>1</v>
      </c>
      <c r="DD35" s="77"/>
      <c r="DE35" s="77"/>
      <c r="DF35" s="78">
        <f>DB35</f>
        <v>1</v>
      </c>
      <c r="DG35" s="78">
        <v>1</v>
      </c>
      <c r="DH35" s="77"/>
      <c r="DI35" s="77"/>
      <c r="DJ35" s="79">
        <f>DF35</f>
        <v>1</v>
      </c>
      <c r="DK35" s="79">
        <v>1</v>
      </c>
      <c r="DL35" s="77"/>
      <c r="DM35" s="77"/>
      <c r="DN35" s="78">
        <f>DJ35</f>
        <v>1</v>
      </c>
      <c r="DO35" s="78">
        <v>1</v>
      </c>
      <c r="DP35" s="77"/>
      <c r="DQ35" s="77"/>
      <c r="DR35" s="78">
        <f>DN35</f>
        <v>1</v>
      </c>
      <c r="DS35" s="78">
        <v>1</v>
      </c>
      <c r="DT35" s="77"/>
      <c r="DU35" s="77"/>
      <c r="DV35" s="78">
        <f>DR35</f>
        <v>1</v>
      </c>
      <c r="DW35" s="78">
        <v>1</v>
      </c>
      <c r="DX35" s="77"/>
      <c r="DY35" s="77"/>
      <c r="DZ35" s="78">
        <f>DV35</f>
        <v>1</v>
      </c>
      <c r="EA35" s="78">
        <v>1</v>
      </c>
      <c r="EB35" s="77"/>
      <c r="EC35" s="77"/>
      <c r="ED35" s="79">
        <f>DZ35</f>
        <v>1</v>
      </c>
      <c r="EE35" s="79">
        <v>1</v>
      </c>
      <c r="EF35" s="82"/>
      <c r="EG35" s="82"/>
      <c r="EH35" s="78">
        <v>1</v>
      </c>
      <c r="EI35" s="78">
        <v>1</v>
      </c>
      <c r="EJ35" s="82"/>
      <c r="EK35" s="54"/>
      <c r="EL35" s="78">
        <v>1</v>
      </c>
      <c r="EM35" s="78">
        <v>1</v>
      </c>
      <c r="EN35" s="77"/>
      <c r="EO35" s="77"/>
      <c r="EP35" s="78">
        <f>EL35</f>
        <v>1</v>
      </c>
      <c r="EQ35" s="78">
        <v>1</v>
      </c>
      <c r="ER35" s="77"/>
      <c r="ES35" s="77"/>
      <c r="ET35" s="79">
        <f>'A.I Revenue Streams - P1'!Q37+100%</f>
        <v>2.23</v>
      </c>
      <c r="EU35" s="79">
        <v>1</v>
      </c>
      <c r="EV35" s="77"/>
      <c r="EW35" s="77"/>
      <c r="EX35" s="78">
        <v>1</v>
      </c>
      <c r="EY35" s="78">
        <v>1</v>
      </c>
      <c r="EZ35" s="77"/>
      <c r="FA35" s="77"/>
      <c r="FB35" s="78">
        <f>EX35</f>
        <v>1</v>
      </c>
      <c r="FC35" s="78">
        <v>1</v>
      </c>
      <c r="FD35" s="77"/>
      <c r="FE35" s="77"/>
      <c r="FF35" s="79">
        <f>FB35</f>
        <v>1</v>
      </c>
      <c r="FG35" s="79">
        <v>1</v>
      </c>
      <c r="FH35" s="77"/>
      <c r="FI35" s="77"/>
      <c r="FJ35" s="78">
        <f>FF35</f>
        <v>1</v>
      </c>
      <c r="FK35" s="78">
        <v>1</v>
      </c>
      <c r="FL35" s="77"/>
      <c r="FM35" s="77"/>
      <c r="FN35" s="78">
        <f>FJ35</f>
        <v>1</v>
      </c>
      <c r="FO35" s="78">
        <v>1</v>
      </c>
      <c r="FP35" s="77"/>
      <c r="FQ35" s="77"/>
      <c r="FR35" s="78">
        <f>FN35</f>
        <v>1</v>
      </c>
      <c r="FS35" s="78">
        <v>1</v>
      </c>
      <c r="FT35" s="77"/>
      <c r="FU35" s="77"/>
      <c r="FV35" s="78">
        <f>FR35</f>
        <v>1</v>
      </c>
      <c r="FW35" s="78">
        <v>1</v>
      </c>
      <c r="FX35" s="77"/>
      <c r="FY35" s="77"/>
      <c r="FZ35" s="79">
        <f>FV35</f>
        <v>1</v>
      </c>
      <c r="GA35" s="79">
        <v>1</v>
      </c>
      <c r="GB35" s="77"/>
      <c r="GC35" s="28"/>
      <c r="GD35" s="78">
        <v>1</v>
      </c>
      <c r="GE35" s="78">
        <v>1</v>
      </c>
      <c r="GF35" s="82"/>
      <c r="GG35" s="54"/>
      <c r="GH35" s="78">
        <v>1</v>
      </c>
      <c r="GI35" s="78">
        <v>1</v>
      </c>
      <c r="GJ35" s="77"/>
      <c r="GK35" s="77"/>
      <c r="GL35" s="78">
        <f>GH35</f>
        <v>1</v>
      </c>
      <c r="GM35" s="78">
        <v>1</v>
      </c>
      <c r="GN35" s="77"/>
      <c r="GO35" s="77"/>
      <c r="GP35" s="79">
        <f>'A.I Revenue Streams - P1'!S37+100%</f>
        <v>1</v>
      </c>
      <c r="GQ35" s="79">
        <v>1</v>
      </c>
      <c r="GR35" s="77"/>
      <c r="GS35" s="77"/>
      <c r="GT35" s="78">
        <v>1</v>
      </c>
      <c r="GU35" s="78">
        <v>1</v>
      </c>
      <c r="GV35" s="77"/>
      <c r="GW35" s="77"/>
      <c r="GX35" s="78">
        <f>GT35</f>
        <v>1</v>
      </c>
      <c r="GY35" s="78">
        <v>1</v>
      </c>
      <c r="GZ35" s="77"/>
      <c r="HA35" s="77"/>
      <c r="HB35" s="79">
        <f>GX35</f>
        <v>1</v>
      </c>
      <c r="HC35" s="79">
        <v>1</v>
      </c>
      <c r="HD35" s="77"/>
      <c r="HE35" s="77"/>
      <c r="HF35" s="78">
        <f>HB35</f>
        <v>1</v>
      </c>
      <c r="HG35" s="78">
        <v>1</v>
      </c>
      <c r="HH35" s="77"/>
      <c r="HI35" s="77"/>
      <c r="HJ35" s="78">
        <f>HF35</f>
        <v>1</v>
      </c>
      <c r="HK35" s="78">
        <v>1</v>
      </c>
      <c r="HL35" s="77"/>
      <c r="HM35" s="77"/>
      <c r="HN35" s="78">
        <f>HJ35</f>
        <v>1</v>
      </c>
      <c r="HO35" s="78">
        <v>1</v>
      </c>
      <c r="HP35" s="77"/>
      <c r="HQ35" s="77"/>
      <c r="HR35" s="78">
        <f>HN35</f>
        <v>1</v>
      </c>
      <c r="HS35" s="78">
        <v>1</v>
      </c>
      <c r="HT35" s="77"/>
      <c r="HU35" s="77"/>
      <c r="HV35" s="79">
        <f>HR35</f>
        <v>1</v>
      </c>
      <c r="HW35" s="79">
        <v>1</v>
      </c>
      <c r="HX35" s="82"/>
      <c r="HY35" s="28"/>
      <c r="HZ35" s="78">
        <v>1</v>
      </c>
      <c r="IA35" s="78">
        <v>1</v>
      </c>
      <c r="IB35" s="82"/>
      <c r="IC35" s="54"/>
      <c r="ID35" s="78">
        <v>1</v>
      </c>
      <c r="IE35" s="78">
        <v>1</v>
      </c>
      <c r="IF35" s="77"/>
      <c r="IG35" s="77"/>
      <c r="IH35" s="78">
        <f>ID35</f>
        <v>1</v>
      </c>
      <c r="II35" s="78">
        <v>1</v>
      </c>
      <c r="IJ35" s="77"/>
      <c r="IK35" s="77"/>
      <c r="IL35" s="78">
        <f>'A.I Revenue Streams - P2'!DI37+100%</f>
        <v>1</v>
      </c>
      <c r="IM35" s="78">
        <v>1</v>
      </c>
      <c r="IN35" s="82"/>
      <c r="IP35" s="78">
        <f>'A.I Revenue Streams - P2'!DM37+100%</f>
        <v>1</v>
      </c>
      <c r="IQ35" s="78">
        <v>1</v>
      </c>
      <c r="IR35" s="82"/>
      <c r="IT35" s="78">
        <f>'A.I Revenue Streams - P2'!DQ37+100%</f>
        <v>1</v>
      </c>
      <c r="IU35" s="78">
        <v>1</v>
      </c>
      <c r="IV35" s="82"/>
      <c r="IX35" s="78">
        <f>'A.I Revenue Streams - P2'!DU37+100%</f>
        <v>1</v>
      </c>
      <c r="IY35" s="78">
        <v>1</v>
      </c>
      <c r="IZ35" s="82"/>
      <c r="JB35" s="78">
        <f>'A.I Revenue Streams - P2'!DY37+100%</f>
        <v>1</v>
      </c>
      <c r="JC35" s="78">
        <v>1</v>
      </c>
      <c r="JD35" s="82"/>
      <c r="JF35" s="78">
        <f>'A.I Revenue Streams - P2'!EC37+100%</f>
        <v>1</v>
      </c>
      <c r="JG35" s="78">
        <v>1</v>
      </c>
      <c r="JH35" s="82"/>
    </row>
    <row r="36" ht="18.75" customHeight="1" spans="2:268" x14ac:dyDescent="0.25">
      <c r="B36" s="5">
        <v>4</v>
      </c>
      <c r="C36" s="29">
        <f>'A.I Revenue Streams - P1'!D36</f>
        <v>0</v>
      </c>
      <c r="D36" s="27"/>
      <c r="E36" s="28"/>
      <c r="F36" s="51"/>
      <c r="G36" s="51"/>
      <c r="H36" s="51"/>
      <c r="I36" s="54"/>
      <c r="J36" s="51"/>
      <c r="K36" s="51"/>
      <c r="L36" s="51"/>
      <c r="M36" s="54"/>
      <c r="N36" s="51"/>
      <c r="O36" s="51"/>
      <c r="P36" s="51"/>
      <c r="Q36" s="54"/>
      <c r="R36" s="51"/>
      <c r="S36" s="51"/>
      <c r="T36" s="51"/>
      <c r="U36" s="54"/>
      <c r="V36" s="51"/>
      <c r="W36" s="51"/>
      <c r="X36" s="51"/>
      <c r="Y36" s="54"/>
      <c r="Z36" s="51"/>
      <c r="AA36" s="51"/>
      <c r="AB36" s="51"/>
      <c r="AC36" s="54"/>
      <c r="AD36" s="51"/>
      <c r="AE36" s="51"/>
      <c r="AF36" s="51"/>
      <c r="AG36" s="54"/>
      <c r="AH36" s="51"/>
      <c r="AI36" s="51"/>
      <c r="AJ36" s="51"/>
      <c r="AK36" s="54"/>
      <c r="AL36" s="51"/>
      <c r="AM36" s="51"/>
      <c r="AN36" s="51"/>
      <c r="AO36" s="54"/>
      <c r="AP36" s="51"/>
      <c r="AQ36" s="51"/>
      <c r="AR36" s="51"/>
      <c r="AS36" s="54"/>
      <c r="AT36" s="51"/>
      <c r="AU36" s="51"/>
      <c r="AV36" s="51"/>
      <c r="AW36" s="54"/>
      <c r="AX36" s="51"/>
      <c r="AY36" s="51"/>
      <c r="AZ36" s="51"/>
      <c r="BA36" s="54"/>
      <c r="BB36" s="51"/>
      <c r="BC36" s="51"/>
      <c r="BD36" s="51"/>
      <c r="BE36" s="54"/>
      <c r="BF36" s="51"/>
      <c r="BG36" s="51"/>
      <c r="BH36" s="51"/>
      <c r="BI36" s="54"/>
      <c r="BJ36" s="51"/>
      <c r="BK36" s="51"/>
      <c r="BL36" s="51"/>
      <c r="BM36" s="54"/>
      <c r="BN36" s="51"/>
      <c r="BO36" s="51"/>
      <c r="BP36" s="51"/>
      <c r="BQ36" s="54"/>
      <c r="BR36" s="51"/>
      <c r="BS36" s="51"/>
      <c r="BT36" s="51"/>
      <c r="BU36" s="54"/>
      <c r="BV36" s="51"/>
      <c r="BW36" s="51"/>
      <c r="BX36" s="51"/>
      <c r="BY36" s="54"/>
      <c r="BZ36" s="51"/>
      <c r="CA36" s="51"/>
      <c r="CB36" s="51"/>
      <c r="CC36" s="54"/>
      <c r="CD36" s="51"/>
      <c r="CE36" s="51"/>
      <c r="CF36" s="51"/>
      <c r="CG36" s="54"/>
      <c r="CH36" s="51"/>
      <c r="CI36" s="51"/>
      <c r="CJ36" s="51"/>
      <c r="CK36" s="54"/>
      <c r="CL36" s="51"/>
      <c r="CM36" s="51"/>
      <c r="CN36" s="51"/>
      <c r="CO36" s="54"/>
      <c r="CP36" s="51"/>
      <c r="CQ36" s="51"/>
      <c r="CR36" s="51"/>
      <c r="CS36" s="54"/>
      <c r="CT36" s="51"/>
      <c r="CU36" s="51"/>
      <c r="CV36" s="51"/>
      <c r="CW36" s="54"/>
      <c r="CX36" s="51"/>
      <c r="CY36" s="51"/>
      <c r="CZ36" s="51"/>
      <c r="DA36" s="54"/>
      <c r="DB36" s="51"/>
      <c r="DC36" s="51"/>
      <c r="DD36" s="51"/>
      <c r="DE36" s="54"/>
      <c r="DF36" s="51"/>
      <c r="DG36" s="51"/>
      <c r="DH36" s="51"/>
      <c r="DI36" s="54"/>
      <c r="DJ36" s="51"/>
      <c r="DK36" s="51"/>
      <c r="DL36" s="51"/>
      <c r="DM36" s="54"/>
      <c r="DN36" s="51"/>
      <c r="DO36" s="51"/>
      <c r="DP36" s="51"/>
      <c r="DQ36" s="54"/>
      <c r="DR36" s="51"/>
      <c r="DS36" s="51"/>
      <c r="DT36" s="51"/>
      <c r="DU36" s="54"/>
      <c r="DV36" s="51"/>
      <c r="DW36" s="51"/>
      <c r="DX36" s="51"/>
      <c r="DY36" s="54"/>
      <c r="DZ36" s="51"/>
      <c r="EA36" s="51"/>
      <c r="EB36" s="51"/>
      <c r="EC36" s="54"/>
      <c r="ED36" s="51"/>
      <c r="EE36" s="51"/>
      <c r="EF36" s="51"/>
      <c r="EG36" s="54"/>
      <c r="EH36" s="51"/>
      <c r="EI36" s="51"/>
      <c r="EJ36" s="51"/>
      <c r="EK36" s="54"/>
      <c r="EL36" s="51"/>
      <c r="EM36" s="51"/>
      <c r="EN36" s="51"/>
      <c r="EO36" s="54"/>
      <c r="EP36" s="51"/>
      <c r="EQ36" s="51"/>
      <c r="ER36" s="51"/>
      <c r="ES36" s="54"/>
      <c r="ET36" s="51"/>
      <c r="EU36" s="51"/>
      <c r="EV36" s="51"/>
      <c r="EW36" s="54"/>
      <c r="EX36" s="51"/>
      <c r="EY36" s="51"/>
      <c r="EZ36" s="51"/>
      <c r="FA36" s="54"/>
      <c r="FB36" s="51"/>
      <c r="FC36" s="51"/>
      <c r="FD36" s="51"/>
      <c r="FE36" s="54"/>
      <c r="FF36" s="51"/>
      <c r="FG36" s="51"/>
      <c r="FH36" s="51"/>
      <c r="FI36" s="54"/>
      <c r="FJ36" s="51"/>
      <c r="FK36" s="51"/>
      <c r="FL36" s="51"/>
      <c r="FM36" s="54"/>
      <c r="FN36" s="51"/>
      <c r="FO36" s="51"/>
      <c r="FP36" s="51"/>
      <c r="FQ36" s="54"/>
      <c r="FR36" s="51"/>
      <c r="FS36" s="51"/>
      <c r="FT36" s="51"/>
      <c r="FU36" s="54"/>
      <c r="FV36" s="51"/>
      <c r="FW36" s="51"/>
      <c r="FX36" s="51"/>
      <c r="FY36" s="54"/>
      <c r="FZ36" s="51"/>
      <c r="GA36" s="51"/>
      <c r="GB36" s="51"/>
      <c r="GD36" s="51"/>
      <c r="GE36" s="51"/>
      <c r="GF36" s="51"/>
      <c r="GG36" s="54"/>
      <c r="GH36" s="51"/>
      <c r="GI36" s="51"/>
      <c r="GJ36" s="51"/>
      <c r="GK36" s="54"/>
      <c r="GL36" s="51"/>
      <c r="GM36" s="51"/>
      <c r="GN36" s="51"/>
      <c r="GO36" s="54"/>
      <c r="GP36" s="51"/>
      <c r="GQ36" s="51"/>
      <c r="GR36" s="51"/>
      <c r="GS36" s="54"/>
      <c r="GT36" s="51"/>
      <c r="GU36" s="51"/>
      <c r="GV36" s="51"/>
      <c r="GW36" s="54"/>
      <c r="GX36" s="51"/>
      <c r="GY36" s="51"/>
      <c r="GZ36" s="51"/>
      <c r="HA36" s="54"/>
      <c r="HB36" s="51"/>
      <c r="HC36" s="51"/>
      <c r="HD36" s="51"/>
      <c r="HE36" s="54"/>
      <c r="HF36" s="51"/>
      <c r="HG36" s="51"/>
      <c r="HH36" s="51"/>
      <c r="HI36" s="54"/>
      <c r="HJ36" s="51"/>
      <c r="HK36" s="51"/>
      <c r="HL36" s="51"/>
      <c r="HM36" s="54"/>
      <c r="HN36" s="51"/>
      <c r="HO36" s="51"/>
      <c r="HP36" s="51"/>
      <c r="HQ36" s="54"/>
      <c r="HR36" s="51"/>
      <c r="HS36" s="51"/>
      <c r="HT36" s="51"/>
      <c r="HU36" s="54"/>
      <c r="HV36" s="51"/>
      <c r="HW36" s="51"/>
      <c r="HX36" s="51"/>
      <c r="HZ36" s="51"/>
      <c r="IA36" s="51"/>
      <c r="IB36" s="51"/>
      <c r="IC36" s="54"/>
      <c r="ID36" s="51"/>
      <c r="IE36" s="51"/>
      <c r="IF36" s="51"/>
      <c r="IG36" s="54"/>
      <c r="IH36" s="51"/>
      <c r="II36" s="51"/>
      <c r="IJ36" s="51"/>
      <c r="IK36" s="54"/>
      <c r="IL36" s="80"/>
      <c r="IM36" s="80"/>
      <c r="IN36" s="80"/>
      <c r="IP36" s="80"/>
      <c r="IQ36" s="80"/>
      <c r="IR36" s="80"/>
      <c r="IT36" s="80"/>
      <c r="IU36" s="80"/>
      <c r="IV36" s="80"/>
      <c r="IX36" s="80"/>
      <c r="IY36" s="80"/>
      <c r="IZ36" s="80"/>
      <c r="JB36" s="80"/>
      <c r="JC36" s="80"/>
      <c r="JD36" s="80"/>
      <c r="JF36" s="80"/>
      <c r="JG36" s="80"/>
      <c r="JH36" s="80"/>
    </row>
    <row r="37" ht="18.75" customHeight="1" spans="2:268" x14ac:dyDescent="0.25">
      <c r="B37" s="5" t="s">
        <v>70</v>
      </c>
      <c r="C37" s="27"/>
      <c r="D37" s="29">
        <f>'A.I Revenue Streams - P1'!E37</f>
        <v>0</v>
      </c>
      <c r="E37" s="30"/>
      <c r="F37" s="51">
        <v>0</v>
      </c>
      <c r="G37" s="51">
        <f>'A.I Revenue Streams - P1'!I37</f>
        <v>0</v>
      </c>
      <c r="H37" s="51">
        <f>F37*G37</f>
        <v>0</v>
      </c>
      <c r="I37" s="54"/>
      <c r="J37" s="51">
        <f>F37*$J$35</f>
        <v>0</v>
      </c>
      <c r="K37" s="51">
        <f>G37*$K$35</f>
        <v>0</v>
      </c>
      <c r="L37" s="51">
        <f>J37*K37</f>
        <v>0</v>
      </c>
      <c r="M37" s="54"/>
      <c r="N37" s="51">
        <f>J37*$N$35</f>
        <v>0</v>
      </c>
      <c r="O37" s="51">
        <f>K37*$O$35</f>
        <v>0</v>
      </c>
      <c r="P37" s="51">
        <f>N37*O37</f>
        <v>0</v>
      </c>
      <c r="Q37" s="54"/>
      <c r="R37" s="51">
        <f>N37*$R$35</f>
        <v>0</v>
      </c>
      <c r="S37" s="51">
        <f>O37*$S$35</f>
        <v>0</v>
      </c>
      <c r="T37" s="51">
        <f>R37*S37</f>
        <v>0</v>
      </c>
      <c r="U37" s="54"/>
      <c r="V37" s="51">
        <f>'A.I Revenue Streams - P1'!G37</f>
        <v>0</v>
      </c>
      <c r="W37" s="51">
        <f>S37*$W$35</f>
        <v>0</v>
      </c>
      <c r="X37" s="51">
        <f>V37*W37</f>
        <v>0</v>
      </c>
      <c r="Y37" s="54"/>
      <c r="Z37" s="51">
        <f>V37*$Z$35</f>
        <v>0</v>
      </c>
      <c r="AA37" s="51">
        <f>W37*$AA$35</f>
        <v>0</v>
      </c>
      <c r="AB37" s="51">
        <f>Z37*AA37</f>
        <v>0</v>
      </c>
      <c r="AC37" s="54"/>
      <c r="AD37" s="51">
        <f>Z37*$AD$35</f>
        <v>0</v>
      </c>
      <c r="AE37" s="51">
        <f>AA37*$AE$35</f>
        <v>0</v>
      </c>
      <c r="AF37" s="51">
        <f>AD37*AE37</f>
        <v>0</v>
      </c>
      <c r="AG37" s="54"/>
      <c r="AH37" s="51">
        <f>AD37*$AH$35</f>
        <v>0</v>
      </c>
      <c r="AI37" s="51">
        <f>AE37*$AI$35</f>
        <v>0</v>
      </c>
      <c r="AJ37" s="51">
        <f>AH37*AI37</f>
        <v>0</v>
      </c>
      <c r="AK37" s="54"/>
      <c r="AL37" s="51">
        <f>AH37*$AL$35</f>
        <v>0</v>
      </c>
      <c r="AM37" s="51">
        <f>AI37*$AM$35</f>
        <v>0</v>
      </c>
      <c r="AN37" s="51">
        <f>AL37*AM37</f>
        <v>0</v>
      </c>
      <c r="AO37" s="54"/>
      <c r="AP37" s="51">
        <f>AL37*$AP$35</f>
        <v>0</v>
      </c>
      <c r="AQ37" s="51">
        <f>AM37*$AQ$35</f>
        <v>0</v>
      </c>
      <c r="AR37" s="51">
        <f>AP37*AQ37</f>
        <v>0</v>
      </c>
      <c r="AS37" s="54"/>
      <c r="AT37" s="51">
        <f>AP37*$AT$35</f>
        <v>0</v>
      </c>
      <c r="AU37" s="51">
        <f>AQ37*$AU$35</f>
        <v>0</v>
      </c>
      <c r="AV37" s="51">
        <f>AT37*AU37</f>
        <v>0</v>
      </c>
      <c r="AW37" s="54"/>
      <c r="AX37" s="51">
        <f>AT37*$AX$35</f>
        <v>0</v>
      </c>
      <c r="AY37" s="51">
        <f>AU37*$AY$35</f>
        <v>0</v>
      </c>
      <c r="AZ37" s="51">
        <f>AX37*AY37</f>
        <v>0</v>
      </c>
      <c r="BA37" s="54"/>
      <c r="BB37" s="51">
        <f>AX37*$BB$35</f>
        <v>0</v>
      </c>
      <c r="BC37" s="51">
        <f>AY37*$BC$35</f>
        <v>0</v>
      </c>
      <c r="BD37" s="51">
        <f>BB37*BC37</f>
        <v>0</v>
      </c>
      <c r="BE37" s="54"/>
      <c r="BF37" s="51">
        <f>BB37*$BF$35</f>
        <v>0</v>
      </c>
      <c r="BG37" s="51">
        <f>BC37*$BG$35</f>
        <v>0</v>
      </c>
      <c r="BH37" s="51">
        <f>BF37*BG37</f>
        <v>0</v>
      </c>
      <c r="BI37" s="54"/>
      <c r="BJ37" s="51">
        <f>BF37*$BJ$35</f>
        <v>0</v>
      </c>
      <c r="BK37" s="51">
        <f>BG37*$BK$35</f>
        <v>0</v>
      </c>
      <c r="BL37" s="51">
        <f>BJ37*BK37</f>
        <v>0</v>
      </c>
      <c r="BM37" s="54"/>
      <c r="BN37" s="51">
        <f>BJ37*$BN$35</f>
        <v>0</v>
      </c>
      <c r="BO37" s="51">
        <f>BK37*$BO$35</f>
        <v>0</v>
      </c>
      <c r="BP37" s="51">
        <f>BN37*BO37</f>
        <v>0</v>
      </c>
      <c r="BQ37" s="54"/>
      <c r="BR37" s="51">
        <f>BN37*$BR$35</f>
        <v>0</v>
      </c>
      <c r="BS37" s="51">
        <f>BO37*$BS$35</f>
        <v>0</v>
      </c>
      <c r="BT37" s="51">
        <f>BR37*BS37</f>
        <v>0</v>
      </c>
      <c r="BU37" s="54"/>
      <c r="BV37" s="51">
        <f>BR37*$BV$35</f>
        <v>0</v>
      </c>
      <c r="BW37" s="51">
        <f>BS37*$BW$35</f>
        <v>0</v>
      </c>
      <c r="BX37" s="51">
        <f>BV37*BW37</f>
        <v>0</v>
      </c>
      <c r="BY37" s="54"/>
      <c r="BZ37" s="51">
        <f>BV37*$BZ$35</f>
        <v>0</v>
      </c>
      <c r="CA37" s="51">
        <f>BW37*$CA$35</f>
        <v>0</v>
      </c>
      <c r="CB37" s="51">
        <f>BZ37*CA37</f>
        <v>0</v>
      </c>
      <c r="CC37" s="54"/>
      <c r="CD37" s="51">
        <f>BZ37*$CD$35</f>
        <v>0</v>
      </c>
      <c r="CE37" s="51">
        <f>CA37*$CE$35</f>
        <v>0</v>
      </c>
      <c r="CF37" s="51">
        <f>CD37*CE37</f>
        <v>0</v>
      </c>
      <c r="CG37" s="54"/>
      <c r="CH37" s="51">
        <f>CD37*$CH$35</f>
        <v>0</v>
      </c>
      <c r="CI37" s="51">
        <f>CE37*$CI$35</f>
        <v>0</v>
      </c>
      <c r="CJ37" s="51">
        <f>CH37*CI37</f>
        <v>0</v>
      </c>
      <c r="CK37" s="54"/>
      <c r="CL37" s="51">
        <f>CH37*$CL$35</f>
        <v>0</v>
      </c>
      <c r="CM37" s="51">
        <f>CI37*$CM$35</f>
        <v>0</v>
      </c>
      <c r="CN37" s="51">
        <f>CL37*CM37</f>
        <v>0</v>
      </c>
      <c r="CO37" s="54"/>
      <c r="CP37" s="51">
        <f>CL37*$CP$35</f>
        <v>0</v>
      </c>
      <c r="CQ37" s="51">
        <f>CM37*$CQ$35</f>
        <v>0</v>
      </c>
      <c r="CR37" s="51">
        <f>CP37*CQ37</f>
        <v>0</v>
      </c>
      <c r="CS37" s="54"/>
      <c r="CT37" s="51">
        <f>CP37*$CT$35</f>
        <v>0</v>
      </c>
      <c r="CU37" s="51">
        <f>CQ37*$CU$35</f>
        <v>0</v>
      </c>
      <c r="CV37" s="51">
        <f>CT37*CU37</f>
        <v>0</v>
      </c>
      <c r="CW37" s="54"/>
      <c r="CX37" s="51">
        <f>CT37*$CX$35</f>
        <v>0</v>
      </c>
      <c r="CY37" s="51">
        <f>CU37*$CY$35</f>
        <v>0</v>
      </c>
      <c r="CZ37" s="51">
        <f>CX37*CY37</f>
        <v>0</v>
      </c>
      <c r="DA37" s="54"/>
      <c r="DB37" s="51">
        <f>CX37*$DB$35</f>
        <v>0</v>
      </c>
      <c r="DC37" s="51">
        <f>CY37*$DC$35</f>
        <v>0</v>
      </c>
      <c r="DD37" s="51">
        <f>DB37*DC37</f>
        <v>0</v>
      </c>
      <c r="DE37" s="54"/>
      <c r="DF37" s="51">
        <f>DB37*$DF$35</f>
        <v>0</v>
      </c>
      <c r="DG37" s="51">
        <f>DC37*$DG$35</f>
        <v>0</v>
      </c>
      <c r="DH37" s="51">
        <f>DF37*DG37</f>
        <v>0</v>
      </c>
      <c r="DI37" s="54"/>
      <c r="DJ37" s="51">
        <f>DF37*$DJ$35</f>
        <v>0</v>
      </c>
      <c r="DK37" s="51">
        <f>DG37*$DK$35</f>
        <v>0</v>
      </c>
      <c r="DL37" s="51">
        <f>DJ37*DK37</f>
        <v>0</v>
      </c>
      <c r="DM37" s="54"/>
      <c r="DN37" s="51">
        <f>DJ37*$DN$35</f>
        <v>0</v>
      </c>
      <c r="DO37" s="51">
        <f>DK37*$DO$35</f>
        <v>0</v>
      </c>
      <c r="DP37" s="51">
        <f>DN37*DO37</f>
        <v>0</v>
      </c>
      <c r="DQ37" s="54"/>
      <c r="DR37" s="51">
        <f>DN37*$DR$35</f>
        <v>0</v>
      </c>
      <c r="DS37" s="51">
        <f>DO37*$DS$35</f>
        <v>0</v>
      </c>
      <c r="DT37" s="51">
        <f>DR37*DS37</f>
        <v>0</v>
      </c>
      <c r="DU37" s="54"/>
      <c r="DV37" s="51">
        <f>DR37*$DV$35</f>
        <v>0</v>
      </c>
      <c r="DW37" s="51">
        <f>DS37*$DW$35</f>
        <v>0</v>
      </c>
      <c r="DX37" s="51">
        <f>DV37*DW37</f>
        <v>0</v>
      </c>
      <c r="DY37" s="54"/>
      <c r="DZ37" s="51">
        <f>DV37*$DZ$35</f>
        <v>0</v>
      </c>
      <c r="EA37" s="51">
        <f>DW37*$EA$35</f>
        <v>0</v>
      </c>
      <c r="EB37" s="51">
        <f>DZ37*EA37</f>
        <v>0</v>
      </c>
      <c r="EC37" s="54"/>
      <c r="ED37" s="51">
        <f>DZ37*$ED$35</f>
        <v>0</v>
      </c>
      <c r="EE37" s="51">
        <f>EA37*$EE$35</f>
        <v>0</v>
      </c>
      <c r="EF37" s="51">
        <f>ED37*EE37</f>
        <v>0</v>
      </c>
      <c r="EG37" s="54"/>
      <c r="EH37" s="51">
        <f>ED37*$EH$35</f>
        <v>0</v>
      </c>
      <c r="EI37" s="51">
        <f>EE37*$EI$35</f>
        <v>0</v>
      </c>
      <c r="EJ37" s="51">
        <f>EH37*EI37</f>
        <v>0</v>
      </c>
      <c r="EK37" s="54"/>
      <c r="EL37" s="51">
        <f>EH37*$EL$35</f>
        <v>0</v>
      </c>
      <c r="EM37" s="51">
        <f>EI37*$EM$35</f>
        <v>0</v>
      </c>
      <c r="EN37" s="51">
        <f>EL37*EM37</f>
        <v>0</v>
      </c>
      <c r="EO37" s="54"/>
      <c r="EP37" s="51">
        <f>EL37*$EP$35</f>
        <v>0</v>
      </c>
      <c r="EQ37" s="51">
        <f>EM37*$EQ$35</f>
        <v>0</v>
      </c>
      <c r="ER37" s="51">
        <f>EP37*EQ37</f>
        <v>0</v>
      </c>
      <c r="ES37" s="54"/>
      <c r="ET37" s="51">
        <f>EP37*$ET$35</f>
        <v>0</v>
      </c>
      <c r="EU37" s="51">
        <f>EQ37*$EU$35</f>
        <v>0</v>
      </c>
      <c r="EV37" s="51">
        <f>ET37*EU37</f>
        <v>0</v>
      </c>
      <c r="EW37" s="54"/>
      <c r="EX37" s="51">
        <f>ET37*$EX$35</f>
        <v>0</v>
      </c>
      <c r="EY37" s="51">
        <f>EU37*$EY$35</f>
        <v>0</v>
      </c>
      <c r="EZ37" s="51">
        <f>EX37*EY37</f>
        <v>0</v>
      </c>
      <c r="FA37" s="54"/>
      <c r="FB37" s="51">
        <f>EX37*$FB$35</f>
        <v>0</v>
      </c>
      <c r="FC37" s="51">
        <f>EY37*$FC$35</f>
        <v>0</v>
      </c>
      <c r="FD37" s="51">
        <f>FB37*FC37</f>
        <v>0</v>
      </c>
      <c r="FE37" s="54"/>
      <c r="FF37" s="51">
        <f>FB37*$FF$35</f>
        <v>0</v>
      </c>
      <c r="FG37" s="51">
        <f>FC37*$FG$35</f>
        <v>0</v>
      </c>
      <c r="FH37" s="51">
        <f>FF37*FG37</f>
        <v>0</v>
      </c>
      <c r="FI37" s="54"/>
      <c r="FJ37" s="51">
        <f>FF37*$FJ$35</f>
        <v>0</v>
      </c>
      <c r="FK37" s="51">
        <f>FG37*$FK$35</f>
        <v>0</v>
      </c>
      <c r="FL37" s="51">
        <f>FJ37*FK37</f>
        <v>0</v>
      </c>
      <c r="FM37" s="54"/>
      <c r="FN37" s="51">
        <f>FJ37*$FN$35</f>
        <v>0</v>
      </c>
      <c r="FO37" s="51">
        <f>FK37*$FO$35</f>
        <v>0</v>
      </c>
      <c r="FP37" s="51">
        <f>FN37*FO37</f>
        <v>0</v>
      </c>
      <c r="FQ37" s="54"/>
      <c r="FR37" s="51">
        <f>FN37*$FR$35</f>
        <v>0</v>
      </c>
      <c r="FS37" s="51">
        <f>FO37*$FS$35</f>
        <v>0</v>
      </c>
      <c r="FT37" s="51">
        <f>FR37*FS37</f>
        <v>0</v>
      </c>
      <c r="FU37" s="54"/>
      <c r="FV37" s="51">
        <f>FR37*$FV$35</f>
        <v>0</v>
      </c>
      <c r="FW37" s="51">
        <f>FS37*$FW$35</f>
        <v>0</v>
      </c>
      <c r="FX37" s="51">
        <f>FV37*FW37</f>
        <v>0</v>
      </c>
      <c r="FY37" s="54"/>
      <c r="FZ37" s="51">
        <f>FV37*$FZ$35</f>
        <v>0</v>
      </c>
      <c r="GA37" s="51">
        <f>FW37*$GA$35</f>
        <v>0</v>
      </c>
      <c r="GB37" s="51">
        <f>FZ37*GA37</f>
        <v>0</v>
      </c>
      <c r="GD37" s="51">
        <f>FZ37*$GD$35</f>
        <v>0</v>
      </c>
      <c r="GE37" s="51">
        <f>GA37*$GE$35</f>
        <v>0</v>
      </c>
      <c r="GF37" s="51">
        <f>GD37*GE37</f>
        <v>0</v>
      </c>
      <c r="GG37" s="54"/>
      <c r="GH37" s="51">
        <f>GD37*$GH$35</f>
        <v>0</v>
      </c>
      <c r="GI37" s="51">
        <f>GE37*$GI$35</f>
        <v>0</v>
      </c>
      <c r="GJ37" s="51">
        <f>GH37*GI37</f>
        <v>0</v>
      </c>
      <c r="GK37" s="54"/>
      <c r="GL37" s="51">
        <f>GH37*$GL$35</f>
        <v>0</v>
      </c>
      <c r="GM37" s="51">
        <f>GI37*$GM$35</f>
        <v>0</v>
      </c>
      <c r="GN37" s="51">
        <f>GL37*GM37</f>
        <v>0</v>
      </c>
      <c r="GO37" s="54"/>
      <c r="GP37" s="51">
        <f>GL37*$GP$35</f>
        <v>0</v>
      </c>
      <c r="GQ37" s="51">
        <f>GM37*$GQ$35</f>
        <v>0</v>
      </c>
      <c r="GR37" s="51">
        <f>GP37*GQ37</f>
        <v>0</v>
      </c>
      <c r="GS37" s="54"/>
      <c r="GT37" s="51">
        <f>GP37*$GT$35</f>
        <v>0</v>
      </c>
      <c r="GU37" s="51">
        <f>GQ37*$GU$35</f>
        <v>0</v>
      </c>
      <c r="GV37" s="51">
        <f>GT37*GU37</f>
        <v>0</v>
      </c>
      <c r="GW37" s="54"/>
      <c r="GX37" s="51">
        <f>GT37*$GX$35</f>
        <v>0</v>
      </c>
      <c r="GY37" s="51">
        <f>GU37*$GY$35</f>
        <v>0</v>
      </c>
      <c r="GZ37" s="51">
        <f>GX37*GY37</f>
        <v>0</v>
      </c>
      <c r="HA37" s="54"/>
      <c r="HB37" s="51">
        <f>GX37*$HB$35</f>
        <v>0</v>
      </c>
      <c r="HC37" s="51">
        <f>GY37*$HC$35</f>
        <v>0</v>
      </c>
      <c r="HD37" s="51">
        <f>HB37*HC37</f>
        <v>0</v>
      </c>
      <c r="HE37" s="54"/>
      <c r="HF37" s="51">
        <f>HB37*$HF$35</f>
        <v>0</v>
      </c>
      <c r="HG37" s="51">
        <f>HC37*$HG$35</f>
        <v>0</v>
      </c>
      <c r="HH37" s="51">
        <f>HF37*HG37</f>
        <v>0</v>
      </c>
      <c r="HI37" s="54"/>
      <c r="HJ37" s="51">
        <f>HF37*$HJ$35</f>
        <v>0</v>
      </c>
      <c r="HK37" s="51">
        <f>HG37*$HK$35</f>
        <v>0</v>
      </c>
      <c r="HL37" s="51">
        <f>HJ37*HK37</f>
        <v>0</v>
      </c>
      <c r="HM37" s="54"/>
      <c r="HN37" s="51">
        <f>HJ37*$HN$35</f>
        <v>0</v>
      </c>
      <c r="HO37" s="51">
        <f>HK37*$HO$35</f>
        <v>0</v>
      </c>
      <c r="HP37" s="51">
        <f>HN37*HO37</f>
        <v>0</v>
      </c>
      <c r="HQ37" s="54"/>
      <c r="HR37" s="51">
        <f>HN37*$HR$35</f>
        <v>0</v>
      </c>
      <c r="HS37" s="51">
        <f>HO37*$HS$35</f>
        <v>0</v>
      </c>
      <c r="HT37" s="51">
        <f>HR37*HS37</f>
        <v>0</v>
      </c>
      <c r="HU37" s="54"/>
      <c r="HV37" s="51">
        <f>HR37*$HV$35</f>
        <v>0</v>
      </c>
      <c r="HW37" s="51">
        <f>HS37*$HW$35</f>
        <v>0</v>
      </c>
      <c r="HX37" s="51">
        <f>HV37*HW37</f>
        <v>0</v>
      </c>
      <c r="HZ37" s="51">
        <f>HV37*$HZ$35</f>
        <v>0</v>
      </c>
      <c r="IA37" s="51">
        <f>HW37*$IA$35</f>
        <v>0</v>
      </c>
      <c r="IB37" s="51">
        <f>HZ37*IA37</f>
        <v>0</v>
      </c>
      <c r="IC37" s="54"/>
      <c r="ID37" s="51">
        <f>HZ37*$ID$35</f>
        <v>0</v>
      </c>
      <c r="IE37" s="51">
        <f>IA37*$IE$35</f>
        <v>0</v>
      </c>
      <c r="IF37" s="51">
        <f>ID37*IE37</f>
        <v>0</v>
      </c>
      <c r="IG37" s="54"/>
      <c r="IH37" s="51">
        <f>ID37*$IH$35</f>
        <v>0</v>
      </c>
      <c r="II37" s="51">
        <f>IE37*$II$35</f>
        <v>0</v>
      </c>
      <c r="IJ37" s="51">
        <f>IH37*II37</f>
        <v>0</v>
      </c>
      <c r="IK37" s="54"/>
      <c r="IL37" s="80">
        <f>SUMIFS($F37:$IK37,$F$3:$IK$3,IL$5,$F$6:$IK$6,IL$6)</f>
        <v>0</v>
      </c>
      <c r="IM37" s="80">
        <v>0</v>
      </c>
      <c r="IN37" s="80">
        <f>SUMIFS($F37:$IK37,$F$3:$IK$3,IL$5,$F$6:$IK$6,IN$6)</f>
        <v>0</v>
      </c>
      <c r="IP37" s="80">
        <f>SUMIFS($F37:$IK37,$F$3:$IK$3,IP$5,$F$6:$IK$6,IP$6)</f>
        <v>0</v>
      </c>
      <c r="IQ37" s="80" t="e">
        <f>IR37/IP37</f>
        <v>#DIV/0!</v>
      </c>
      <c r="IR37" s="80">
        <f>SUMIFS($F37:$IK37,$F$3:$IK$3,IP$5,$F$6:$IK$6,IR$6)</f>
        <v>0</v>
      </c>
      <c r="IT37" s="80">
        <f>SUMIFS($F37:$IK37,$F$3:$IK$3,IT$5,$F$6:$IK$6,IT$6)</f>
        <v>0</v>
      </c>
      <c r="IU37" s="80" t="e">
        <f>IV37/IT37</f>
        <v>#DIV/0!</v>
      </c>
      <c r="IV37" s="80">
        <f>SUMIFS($F37:$IK37,$F$3:$IK$3,IT$5,$F$6:$IK$6,IV$6)</f>
        <v>0</v>
      </c>
      <c r="IX37" s="80">
        <f>SUMIFS($F37:$IK37,$F$3:$IK$3,IX$5,$F$6:$IK$6,IX$6)</f>
        <v>0</v>
      </c>
      <c r="IY37" s="80" t="e">
        <f>IZ37/IX37</f>
        <v>#DIV/0!</v>
      </c>
      <c r="IZ37" s="80">
        <f>SUMIFS($F37:$IK37,$F$3:$IK$3,IX$5,$F$6:$IK$6,IZ$6)</f>
        <v>0</v>
      </c>
      <c r="JB37" s="80">
        <f>SUMIFS($F37:$IK37,$F$3:$IK$3,JB$5,$F$6:$IK$6,JB$6)</f>
        <v>0</v>
      </c>
      <c r="JC37" s="80" t="e">
        <f>JD37/JB37</f>
        <v>#DIV/0!</v>
      </c>
      <c r="JD37" s="80">
        <f>SUMIFS($F37:$IK37,$F$3:$IK$3,JB$5,$F$6:$IK$6,JD$6)</f>
        <v>0</v>
      </c>
      <c r="JF37" s="80">
        <f>SUMIFS($F37:$IK37,$F$3:$IK$3,JF$5,$F$6:$IK$6,JF$6)</f>
        <v>0</v>
      </c>
      <c r="JG37" s="80" t="e">
        <f>JH37/JF37</f>
        <v>#DIV/0!</v>
      </c>
      <c r="JH37" s="80">
        <f>SUMIFS($F37:$IK37,$F$3:$IK$3,JF$5,$F$6:$IK$6,JH$6)</f>
        <v>0</v>
      </c>
    </row>
    <row r="38" ht="18.75" customHeight="1" spans="2:268" x14ac:dyDescent="0.25">
      <c r="B38" s="5" t="s">
        <v>71</v>
      </c>
      <c r="C38" s="27"/>
      <c r="D38" s="29">
        <f>'A.I Revenue Streams - P1'!E38</f>
        <v>0</v>
      </c>
      <c r="E38" s="30"/>
      <c r="F38" s="51">
        <f>'A.I Revenue Streams - P1'!G38</f>
        <v>0</v>
      </c>
      <c r="G38" s="51">
        <f>'A.I Revenue Streams - P1'!I38</f>
        <v>0</v>
      </c>
      <c r="H38" s="51">
        <f>F38*G38</f>
        <v>0</v>
      </c>
      <c r="I38" s="54"/>
      <c r="J38" s="51">
        <f>F38*$J$35</f>
        <v>0</v>
      </c>
      <c r="K38" s="51">
        <f>G38*$K$35</f>
        <v>0</v>
      </c>
      <c r="L38" s="51">
        <f>J38*K38</f>
        <v>0</v>
      </c>
      <c r="M38" s="54"/>
      <c r="N38" s="51">
        <f>J38*$N$35</f>
        <v>0</v>
      </c>
      <c r="O38" s="51">
        <f>K38*$O$35</f>
        <v>0</v>
      </c>
      <c r="P38" s="51">
        <f>N38*O38</f>
        <v>0</v>
      </c>
      <c r="Q38" s="54"/>
      <c r="R38" s="51">
        <f>N38*$R$35</f>
        <v>0</v>
      </c>
      <c r="S38" s="51">
        <f>O38*$S$35</f>
        <v>0</v>
      </c>
      <c r="T38" s="51">
        <f>R38*S38</f>
        <v>0</v>
      </c>
      <c r="U38" s="54"/>
      <c r="V38" s="51">
        <f>R38*$V$35</f>
        <v>0</v>
      </c>
      <c r="W38" s="51">
        <f>S38*$W$35</f>
        <v>0</v>
      </c>
      <c r="X38" s="51">
        <f>V38*W38</f>
        <v>0</v>
      </c>
      <c r="Y38" s="54"/>
      <c r="Z38" s="51">
        <f>V38*$Z$35</f>
        <v>0</v>
      </c>
      <c r="AA38" s="51">
        <f>W38*$AA$35</f>
        <v>0</v>
      </c>
      <c r="AB38" s="51">
        <f>Z38*AA38</f>
        <v>0</v>
      </c>
      <c r="AC38" s="54"/>
      <c r="AD38" s="51">
        <f>Z38*$AD$35</f>
        <v>0</v>
      </c>
      <c r="AE38" s="51">
        <f>AA38*$AE$35</f>
        <v>0</v>
      </c>
      <c r="AF38" s="51">
        <f>AD38*AE38</f>
        <v>0</v>
      </c>
      <c r="AG38" s="54"/>
      <c r="AH38" s="51">
        <f>AD38*$AH$35</f>
        <v>0</v>
      </c>
      <c r="AI38" s="51">
        <f>AE38*$AI$35</f>
        <v>0</v>
      </c>
      <c r="AJ38" s="51">
        <f>AH38*AI38</f>
        <v>0</v>
      </c>
      <c r="AK38" s="54"/>
      <c r="AL38" s="51">
        <f>AH38*$AL$35</f>
        <v>0</v>
      </c>
      <c r="AM38" s="51">
        <f>AI38*$AM$35</f>
        <v>0</v>
      </c>
      <c r="AN38" s="51">
        <f>AL38*AM38</f>
        <v>0</v>
      </c>
      <c r="AO38" s="54"/>
      <c r="AP38" s="51">
        <f>AL38*$AP$35</f>
        <v>0</v>
      </c>
      <c r="AQ38" s="51">
        <f>AM38*$AQ$35</f>
        <v>0</v>
      </c>
      <c r="AR38" s="51">
        <f>AP38*AQ38</f>
        <v>0</v>
      </c>
      <c r="AS38" s="54"/>
      <c r="AT38" s="51">
        <f>AP38*$AT$35</f>
        <v>0</v>
      </c>
      <c r="AU38" s="51">
        <f>AQ38*$AU$35</f>
        <v>0</v>
      </c>
      <c r="AV38" s="51">
        <f>AT38*AU38</f>
        <v>0</v>
      </c>
      <c r="AW38" s="54"/>
      <c r="AX38" s="51">
        <f>AT38*$AX$35</f>
        <v>0</v>
      </c>
      <c r="AY38" s="51">
        <f>AU38*$AY$35</f>
        <v>0</v>
      </c>
      <c r="AZ38" s="51">
        <f>AX38*AY38</f>
        <v>0</v>
      </c>
      <c r="BA38" s="54"/>
      <c r="BB38" s="51">
        <f>AX38*$BB$35</f>
        <v>0</v>
      </c>
      <c r="BC38" s="51">
        <f>AY38*$BC$35</f>
        <v>0</v>
      </c>
      <c r="BD38" s="51">
        <f>BB38*BC38</f>
        <v>0</v>
      </c>
      <c r="BE38" s="54"/>
      <c r="BF38" s="51">
        <f>BB38*$BF$35</f>
        <v>0</v>
      </c>
      <c r="BG38" s="51">
        <f>BC38*$BG$35</f>
        <v>0</v>
      </c>
      <c r="BH38" s="51">
        <f>BF38*BG38</f>
        <v>0</v>
      </c>
      <c r="BI38" s="54"/>
      <c r="BJ38" s="51">
        <f>BF38*$BJ$35</f>
        <v>0</v>
      </c>
      <c r="BK38" s="51">
        <f>BG38*$BK$35</f>
        <v>0</v>
      </c>
      <c r="BL38" s="51">
        <f>BJ38*BK38</f>
        <v>0</v>
      </c>
      <c r="BM38" s="54"/>
      <c r="BN38" s="51">
        <f>BJ38*$BN$35</f>
        <v>0</v>
      </c>
      <c r="BO38" s="51">
        <f>BK38*$BO$35</f>
        <v>0</v>
      </c>
      <c r="BP38" s="51">
        <f>BN38*BO38</f>
        <v>0</v>
      </c>
      <c r="BQ38" s="54"/>
      <c r="BR38" s="51">
        <f>BN38*$BR$35</f>
        <v>0</v>
      </c>
      <c r="BS38" s="51">
        <f>BO38*$BS$35</f>
        <v>0</v>
      </c>
      <c r="BT38" s="51">
        <f>BR38*BS38</f>
        <v>0</v>
      </c>
      <c r="BU38" s="54"/>
      <c r="BV38" s="51">
        <f>BR38*$BV$35</f>
        <v>0</v>
      </c>
      <c r="BW38" s="51">
        <f>BS38*$BW$35</f>
        <v>0</v>
      </c>
      <c r="BX38" s="51">
        <f>BV38*BW38</f>
        <v>0</v>
      </c>
      <c r="BY38" s="54"/>
      <c r="BZ38" s="51">
        <f>BV38*$BZ$35</f>
        <v>0</v>
      </c>
      <c r="CA38" s="51">
        <f>BW38*$CA$35</f>
        <v>0</v>
      </c>
      <c r="CB38" s="51">
        <f>BZ38*CA38</f>
        <v>0</v>
      </c>
      <c r="CC38" s="54"/>
      <c r="CD38" s="51">
        <f>BZ38*$CD$35</f>
        <v>0</v>
      </c>
      <c r="CE38" s="51">
        <f>CA38*$CE$35</f>
        <v>0</v>
      </c>
      <c r="CF38" s="51">
        <f>CD38*CE38</f>
        <v>0</v>
      </c>
      <c r="CG38" s="54"/>
      <c r="CH38" s="51">
        <f>CD38*$CH$35</f>
        <v>0</v>
      </c>
      <c r="CI38" s="51">
        <f>CE38*$CI$35</f>
        <v>0</v>
      </c>
      <c r="CJ38" s="51">
        <f>CH38*CI38</f>
        <v>0</v>
      </c>
      <c r="CK38" s="54"/>
      <c r="CL38" s="51">
        <f>CH38*$CL$35</f>
        <v>0</v>
      </c>
      <c r="CM38" s="51">
        <f>CI38*$CM$35</f>
        <v>0</v>
      </c>
      <c r="CN38" s="51">
        <f>CL38*CM38</f>
        <v>0</v>
      </c>
      <c r="CO38" s="54"/>
      <c r="CP38" s="51">
        <f>CL38*$CP$35</f>
        <v>0</v>
      </c>
      <c r="CQ38" s="51">
        <f>CM38*$CQ$35</f>
        <v>0</v>
      </c>
      <c r="CR38" s="51">
        <f>CP38*CQ38</f>
        <v>0</v>
      </c>
      <c r="CS38" s="54"/>
      <c r="CT38" s="51">
        <f>CP38*$CT$35</f>
        <v>0</v>
      </c>
      <c r="CU38" s="51">
        <f>CQ38*$CU$35</f>
        <v>0</v>
      </c>
      <c r="CV38" s="51">
        <f>CT38*CU38</f>
        <v>0</v>
      </c>
      <c r="CW38" s="54"/>
      <c r="CX38" s="51">
        <f>CT38*$CX$35</f>
        <v>0</v>
      </c>
      <c r="CY38" s="51">
        <f>CU38*$CY$35</f>
        <v>0</v>
      </c>
      <c r="CZ38" s="51">
        <f>CX38*CY38</f>
        <v>0</v>
      </c>
      <c r="DA38" s="54"/>
      <c r="DB38" s="51">
        <f>CX38*$DB$35</f>
        <v>0</v>
      </c>
      <c r="DC38" s="51">
        <f>CY38*$DC$35</f>
        <v>0</v>
      </c>
      <c r="DD38" s="51">
        <f>DB38*DC38</f>
        <v>0</v>
      </c>
      <c r="DE38" s="54"/>
      <c r="DF38" s="51">
        <f>DB38*$DF$35</f>
        <v>0</v>
      </c>
      <c r="DG38" s="51">
        <f>DC38*$DG$35</f>
        <v>0</v>
      </c>
      <c r="DH38" s="51">
        <f>DF38*DG38</f>
        <v>0</v>
      </c>
      <c r="DI38" s="54"/>
      <c r="DJ38" s="51">
        <f>DF38*$DJ$35</f>
        <v>0</v>
      </c>
      <c r="DK38" s="51">
        <f>DG38*$DK$35</f>
        <v>0</v>
      </c>
      <c r="DL38" s="51">
        <f>DJ38*DK38</f>
        <v>0</v>
      </c>
      <c r="DM38" s="54"/>
      <c r="DN38" s="51">
        <f>DJ38*$DN$35</f>
        <v>0</v>
      </c>
      <c r="DO38" s="51">
        <f>DK38*$DO$35</f>
        <v>0</v>
      </c>
      <c r="DP38" s="51">
        <f>DN38*DO38</f>
        <v>0</v>
      </c>
      <c r="DQ38" s="54"/>
      <c r="DR38" s="51">
        <f>DN38*$DR$35</f>
        <v>0</v>
      </c>
      <c r="DS38" s="51">
        <f>DO38*$DS$35</f>
        <v>0</v>
      </c>
      <c r="DT38" s="51">
        <f>DR38*DS38</f>
        <v>0</v>
      </c>
      <c r="DU38" s="54"/>
      <c r="DV38" s="51">
        <f>DR38*$DV$35</f>
        <v>0</v>
      </c>
      <c r="DW38" s="51">
        <f>DS38*$DW$35</f>
        <v>0</v>
      </c>
      <c r="DX38" s="51">
        <f>DV38*DW38</f>
        <v>0</v>
      </c>
      <c r="DY38" s="54"/>
      <c r="DZ38" s="51">
        <f>DV38*$DZ$35</f>
        <v>0</v>
      </c>
      <c r="EA38" s="51">
        <f>DW38*$EA$35</f>
        <v>0</v>
      </c>
      <c r="EB38" s="51">
        <f>DZ38*EA38</f>
        <v>0</v>
      </c>
      <c r="EC38" s="54"/>
      <c r="ED38" s="51">
        <f>DZ38*$ED$35</f>
        <v>0</v>
      </c>
      <c r="EE38" s="51">
        <f>EA38*$EE$35</f>
        <v>0</v>
      </c>
      <c r="EF38" s="51">
        <f>ED38*EE38</f>
        <v>0</v>
      </c>
      <c r="EG38" s="54"/>
      <c r="EH38" s="51">
        <f>ED38*$EH$35</f>
        <v>0</v>
      </c>
      <c r="EI38" s="51">
        <f>EE38*$EI$35</f>
        <v>0</v>
      </c>
      <c r="EJ38" s="51">
        <f>EH38*EI38</f>
        <v>0</v>
      </c>
      <c r="EK38" s="54"/>
      <c r="EL38" s="51">
        <f>EH38*$EL$35</f>
        <v>0</v>
      </c>
      <c r="EM38" s="51">
        <f>EI38*$EM$35</f>
        <v>0</v>
      </c>
      <c r="EN38" s="51">
        <f>EL38*EM38</f>
        <v>0</v>
      </c>
      <c r="EO38" s="54"/>
      <c r="EP38" s="51">
        <f>EL38*$EP$35</f>
        <v>0</v>
      </c>
      <c r="EQ38" s="51">
        <f>EM38*$EQ$35</f>
        <v>0</v>
      </c>
      <c r="ER38" s="51">
        <f>EP38*EQ38</f>
        <v>0</v>
      </c>
      <c r="ES38" s="54"/>
      <c r="ET38" s="51">
        <f>EP38*$ET$35</f>
        <v>0</v>
      </c>
      <c r="EU38" s="51">
        <f>EQ38*$EU$35</f>
        <v>0</v>
      </c>
      <c r="EV38" s="51">
        <f>ET38*EU38</f>
        <v>0</v>
      </c>
      <c r="EW38" s="54"/>
      <c r="EX38" s="51">
        <f>ET38*$EX$35</f>
        <v>0</v>
      </c>
      <c r="EY38" s="51">
        <f>EU38*$EY$35</f>
        <v>0</v>
      </c>
      <c r="EZ38" s="51">
        <f>EX38*EY38</f>
        <v>0</v>
      </c>
      <c r="FA38" s="54"/>
      <c r="FB38" s="51">
        <f>EX38*$FB$35</f>
        <v>0</v>
      </c>
      <c r="FC38" s="51">
        <f>EY38*$FC$35</f>
        <v>0</v>
      </c>
      <c r="FD38" s="51">
        <f>FB38*FC38</f>
        <v>0</v>
      </c>
      <c r="FE38" s="54"/>
      <c r="FF38" s="51">
        <f>FB38*$FF$35</f>
        <v>0</v>
      </c>
      <c r="FG38" s="51">
        <f>FC38*$FG$35</f>
        <v>0</v>
      </c>
      <c r="FH38" s="51">
        <f>FF38*FG38</f>
        <v>0</v>
      </c>
      <c r="FI38" s="54"/>
      <c r="FJ38" s="51">
        <f>FF38*$FJ$35</f>
        <v>0</v>
      </c>
      <c r="FK38" s="51">
        <f>FG38*$FK$35</f>
        <v>0</v>
      </c>
      <c r="FL38" s="51">
        <f>FJ38*FK38</f>
        <v>0</v>
      </c>
      <c r="FM38" s="54"/>
      <c r="FN38" s="51">
        <f>FJ38*$FN$35</f>
        <v>0</v>
      </c>
      <c r="FO38" s="51">
        <f>FK38*$FO$35</f>
        <v>0</v>
      </c>
      <c r="FP38" s="51">
        <f>FN38*FO38</f>
        <v>0</v>
      </c>
      <c r="FQ38" s="54"/>
      <c r="FR38" s="51">
        <f>FN38*$FR$35</f>
        <v>0</v>
      </c>
      <c r="FS38" s="51">
        <f>FO38*$FS$35</f>
        <v>0</v>
      </c>
      <c r="FT38" s="51">
        <f>FR38*FS38</f>
        <v>0</v>
      </c>
      <c r="FU38" s="54"/>
      <c r="FV38" s="51">
        <f>FR38*$FV$35</f>
        <v>0</v>
      </c>
      <c r="FW38" s="51">
        <f>FS38*$FW$35</f>
        <v>0</v>
      </c>
      <c r="FX38" s="51">
        <f>FV38*FW38</f>
        <v>0</v>
      </c>
      <c r="FY38" s="54"/>
      <c r="FZ38" s="51">
        <f>FV38*$FZ$35</f>
        <v>0</v>
      </c>
      <c r="GA38" s="51">
        <f>FW38*$GA$35</f>
        <v>0</v>
      </c>
      <c r="GB38" s="51">
        <f>FZ38*GA38</f>
        <v>0</v>
      </c>
      <c r="GD38" s="51">
        <f>FZ38*$GD$35</f>
        <v>0</v>
      </c>
      <c r="GE38" s="51">
        <f>GA38*$GE$35</f>
        <v>0</v>
      </c>
      <c r="GF38" s="51">
        <f>GD38*GE38</f>
        <v>0</v>
      </c>
      <c r="GG38" s="54"/>
      <c r="GH38" s="51">
        <f>GD38*$GH$35</f>
        <v>0</v>
      </c>
      <c r="GI38" s="51">
        <f>GE38*$GI$35</f>
        <v>0</v>
      </c>
      <c r="GJ38" s="51">
        <f>GH38*GI38</f>
        <v>0</v>
      </c>
      <c r="GK38" s="54"/>
      <c r="GL38" s="51">
        <f>GH38*$GL$35</f>
        <v>0</v>
      </c>
      <c r="GM38" s="51">
        <f>GI38*$GM$35</f>
        <v>0</v>
      </c>
      <c r="GN38" s="51">
        <f>GL38*GM38</f>
        <v>0</v>
      </c>
      <c r="GO38" s="54"/>
      <c r="GP38" s="51">
        <f>GL38*$GP$35</f>
        <v>0</v>
      </c>
      <c r="GQ38" s="51">
        <f>GM38*$GQ$35</f>
        <v>0</v>
      </c>
      <c r="GR38" s="51">
        <f>GP38*GQ38</f>
        <v>0</v>
      </c>
      <c r="GS38" s="54"/>
      <c r="GT38" s="51">
        <f>GP38*$GT$35</f>
        <v>0</v>
      </c>
      <c r="GU38" s="51">
        <f>GQ38*$GU$35</f>
        <v>0</v>
      </c>
      <c r="GV38" s="51">
        <f>GT38*GU38</f>
        <v>0</v>
      </c>
      <c r="GW38" s="54"/>
      <c r="GX38" s="51">
        <f>GT38*$GX$35</f>
        <v>0</v>
      </c>
      <c r="GY38" s="51">
        <f>GU38*$GY$35</f>
        <v>0</v>
      </c>
      <c r="GZ38" s="51">
        <f>GX38*GY38</f>
        <v>0</v>
      </c>
      <c r="HA38" s="54"/>
      <c r="HB38" s="51">
        <f>GX38*$HB$35</f>
        <v>0</v>
      </c>
      <c r="HC38" s="51">
        <f>GY38*$HC$35</f>
        <v>0</v>
      </c>
      <c r="HD38" s="51">
        <f>HB38*HC38</f>
        <v>0</v>
      </c>
      <c r="HE38" s="54"/>
      <c r="HF38" s="51">
        <f>HB38*$HF$35</f>
        <v>0</v>
      </c>
      <c r="HG38" s="51">
        <f>HC38*$HG$35</f>
        <v>0</v>
      </c>
      <c r="HH38" s="51">
        <f>HF38*HG38</f>
        <v>0</v>
      </c>
      <c r="HI38" s="54"/>
      <c r="HJ38" s="51">
        <f>HF38*$HJ$35</f>
        <v>0</v>
      </c>
      <c r="HK38" s="51">
        <f>HG38*$HK$35</f>
        <v>0</v>
      </c>
      <c r="HL38" s="51">
        <f>HJ38*HK38</f>
        <v>0</v>
      </c>
      <c r="HM38" s="54"/>
      <c r="HN38" s="51">
        <f>HJ38*$HN$35</f>
        <v>0</v>
      </c>
      <c r="HO38" s="51">
        <f>HK38*$HO$35</f>
        <v>0</v>
      </c>
      <c r="HP38" s="51">
        <f>HN38*HO38</f>
        <v>0</v>
      </c>
      <c r="HQ38" s="54"/>
      <c r="HR38" s="51">
        <f>HN38*$HR$35</f>
        <v>0</v>
      </c>
      <c r="HS38" s="51">
        <f>HO38*$HS$35</f>
        <v>0</v>
      </c>
      <c r="HT38" s="51">
        <f>HR38*HS38</f>
        <v>0</v>
      </c>
      <c r="HU38" s="54"/>
      <c r="HV38" s="51">
        <f>HR38*$HV$35</f>
        <v>0</v>
      </c>
      <c r="HW38" s="51">
        <f>HS38*$HW$35</f>
        <v>0</v>
      </c>
      <c r="HX38" s="51">
        <f>HV38*HW38</f>
        <v>0</v>
      </c>
      <c r="HZ38" s="51">
        <f>HV38*$HZ$35</f>
        <v>0</v>
      </c>
      <c r="IA38" s="51">
        <f>HW38*$IA$35</f>
        <v>0</v>
      </c>
      <c r="IB38" s="51">
        <f>HZ38*IA38</f>
        <v>0</v>
      </c>
      <c r="IC38" s="54"/>
      <c r="ID38" s="51">
        <f>HZ38*$ID$35</f>
        <v>0</v>
      </c>
      <c r="IE38" s="51">
        <f>IA38*$IE$35</f>
        <v>0</v>
      </c>
      <c r="IF38" s="51">
        <f>ID38*IE38</f>
        <v>0</v>
      </c>
      <c r="IG38" s="54"/>
      <c r="IH38" s="51">
        <f>ID38*$IH$35</f>
        <v>0</v>
      </c>
      <c r="II38" s="51">
        <f>IE38*$II$35</f>
        <v>0</v>
      </c>
      <c r="IJ38" s="51">
        <f>IH38*II38</f>
        <v>0</v>
      </c>
      <c r="IK38" s="54"/>
      <c r="IL38" s="80">
        <f>SUMIFS($F38:$IK38,$F$3:$IK$3,IL$5,$F$6:$IK$6,IL$6)</f>
        <v>0</v>
      </c>
      <c r="IM38" s="80">
        <v>0</v>
      </c>
      <c r="IN38" s="80">
        <f>SUMIFS($F38:$IK38,$F$3:$IK$3,IL$5,$F$6:$IK$6,IN$6)</f>
        <v>0</v>
      </c>
      <c r="IP38" s="80">
        <f>SUMIFS($F38:$IK38,$F$3:$IK$3,IP$5,$F$6:$IK$6,IP$6)</f>
        <v>0</v>
      </c>
      <c r="IQ38" s="80">
        <v>0</v>
      </c>
      <c r="IR38" s="80">
        <f>SUMIFS($F38:$IK38,$F$3:$IK$3,IP$5,$F$6:$IK$6,IR$6)</f>
        <v>0</v>
      </c>
      <c r="IT38" s="80">
        <f>SUMIFS($F38:$IK38,$F$3:$IK$3,IT$5,$F$6:$IK$6,IT$6)</f>
        <v>0</v>
      </c>
      <c r="IU38" s="80">
        <v>0</v>
      </c>
      <c r="IV38" s="80">
        <f>SUMIFS($F38:$IK38,$F$3:$IK$3,IT$5,$F$6:$IK$6,IV$6)</f>
        <v>0</v>
      </c>
      <c r="IX38" s="80">
        <f>SUMIFS($F38:$IK38,$F$3:$IK$3,IX$5,$F$6:$IK$6,IX$6)</f>
        <v>0</v>
      </c>
      <c r="IY38" s="80">
        <v>0</v>
      </c>
      <c r="IZ38" s="80">
        <f>SUMIFS($F38:$IK38,$F$3:$IK$3,IX$5,$F$6:$IK$6,IZ$6)</f>
        <v>0</v>
      </c>
      <c r="JB38" s="80">
        <f>SUMIFS($F38:$IK38,$F$3:$IK$3,JB$5,$F$6:$IK$6,JB$6)</f>
        <v>0</v>
      </c>
      <c r="JC38" s="80">
        <v>0</v>
      </c>
      <c r="JD38" s="80">
        <f>SUMIFS($F38:$IK38,$F$3:$IK$3,JB$5,$F$6:$IK$6,JD$6)</f>
        <v>0</v>
      </c>
      <c r="JF38" s="80">
        <f>SUMIFS($F38:$IK38,$F$3:$IK$3,JF$5,$F$6:$IK$6,JF$6)</f>
        <v>0</v>
      </c>
      <c r="JG38" s="80">
        <v>0</v>
      </c>
      <c r="JH38" s="80">
        <f>SUMIFS($F38:$IK38,$F$3:$IK$3,JF$5,$F$6:$IK$6,JH$6)</f>
        <v>0</v>
      </c>
    </row>
    <row r="39" ht="18.75" customHeight="1" spans="2:268" x14ac:dyDescent="0.25">
      <c r="B39" s="5" t="s">
        <v>72</v>
      </c>
      <c r="C39" s="27"/>
      <c r="D39" s="29">
        <f>'A.I Revenue Streams - P1'!E39</f>
        <v>0</v>
      </c>
      <c r="E39" s="30"/>
      <c r="F39" s="51">
        <f>'A.I Revenue Streams - P1'!G39</f>
        <v>0</v>
      </c>
      <c r="G39" s="51">
        <f>'A.I Revenue Streams - P1'!I39</f>
        <v>0</v>
      </c>
      <c r="H39" s="51">
        <f>F39*G39</f>
        <v>0</v>
      </c>
      <c r="I39" s="54"/>
      <c r="J39" s="51">
        <f>F39*$J$35</f>
        <v>0</v>
      </c>
      <c r="K39" s="51">
        <f>G39*$K$35</f>
        <v>0</v>
      </c>
      <c r="L39" s="51">
        <f>J39*K39</f>
        <v>0</v>
      </c>
      <c r="M39" s="54"/>
      <c r="N39" s="51">
        <f>J39*$N$35</f>
        <v>0</v>
      </c>
      <c r="O39" s="51">
        <f>K39*$O$35</f>
        <v>0</v>
      </c>
      <c r="P39" s="51">
        <f>N39*O39</f>
        <v>0</v>
      </c>
      <c r="Q39" s="54"/>
      <c r="R39" s="51">
        <f>N39*$R$35</f>
        <v>0</v>
      </c>
      <c r="S39" s="51">
        <f>O39*$S$35</f>
        <v>0</v>
      </c>
      <c r="T39" s="51">
        <f>R39*S39</f>
        <v>0</v>
      </c>
      <c r="U39" s="54"/>
      <c r="V39" s="51">
        <f>R39*$V$35</f>
        <v>0</v>
      </c>
      <c r="W39" s="51">
        <f>S39*$W$35</f>
        <v>0</v>
      </c>
      <c r="X39" s="51">
        <f>V39*W39</f>
        <v>0</v>
      </c>
      <c r="Y39" s="54"/>
      <c r="Z39" s="51">
        <f>V39*$Z$35</f>
        <v>0</v>
      </c>
      <c r="AA39" s="51">
        <f>W39*$AA$35</f>
        <v>0</v>
      </c>
      <c r="AB39" s="51">
        <f>Z39*AA39</f>
        <v>0</v>
      </c>
      <c r="AC39" s="54"/>
      <c r="AD39" s="51">
        <f>Z39*$AD$35</f>
        <v>0</v>
      </c>
      <c r="AE39" s="51">
        <f>AA39*$AE$35</f>
        <v>0</v>
      </c>
      <c r="AF39" s="51">
        <f>AD39*AE39</f>
        <v>0</v>
      </c>
      <c r="AG39" s="54"/>
      <c r="AH39" s="51">
        <f>AD39*$AH$35</f>
        <v>0</v>
      </c>
      <c r="AI39" s="51">
        <f>AE39*$AI$35</f>
        <v>0</v>
      </c>
      <c r="AJ39" s="51">
        <f>AH39*AI39</f>
        <v>0</v>
      </c>
      <c r="AK39" s="54"/>
      <c r="AL39" s="51">
        <f>AH39*$AL$35</f>
        <v>0</v>
      </c>
      <c r="AM39" s="51">
        <f>AI39*$AM$35</f>
        <v>0</v>
      </c>
      <c r="AN39" s="51">
        <f>AL39*AM39</f>
        <v>0</v>
      </c>
      <c r="AO39" s="54"/>
      <c r="AP39" s="51">
        <f>AL39*$AP$35</f>
        <v>0</v>
      </c>
      <c r="AQ39" s="51">
        <f>AM39*$AQ$35</f>
        <v>0</v>
      </c>
      <c r="AR39" s="51">
        <f>AP39*AQ39</f>
        <v>0</v>
      </c>
      <c r="AS39" s="54"/>
      <c r="AT39" s="51">
        <f>AP39*$AT$35</f>
        <v>0</v>
      </c>
      <c r="AU39" s="51">
        <f>AQ39*$AU$35</f>
        <v>0</v>
      </c>
      <c r="AV39" s="51">
        <f>AT39*AU39</f>
        <v>0</v>
      </c>
      <c r="AW39" s="54"/>
      <c r="AX39" s="51">
        <f>AT39*$AX$35</f>
        <v>0</v>
      </c>
      <c r="AY39" s="51">
        <f>AU39*$AY$35</f>
        <v>0</v>
      </c>
      <c r="AZ39" s="51">
        <f>AX39*AY39</f>
        <v>0</v>
      </c>
      <c r="BA39" s="54"/>
      <c r="BB39" s="51">
        <f>AX39*$BB$35</f>
        <v>0</v>
      </c>
      <c r="BC39" s="51">
        <f>AY39*$BC$35</f>
        <v>0</v>
      </c>
      <c r="BD39" s="51">
        <f>BB39*BC39</f>
        <v>0</v>
      </c>
      <c r="BE39" s="54"/>
      <c r="BF39" s="51">
        <f>BB39*$BF$35</f>
        <v>0</v>
      </c>
      <c r="BG39" s="51">
        <f>BC39*$BG$35</f>
        <v>0</v>
      </c>
      <c r="BH39" s="51">
        <f>BF39*BG39</f>
        <v>0</v>
      </c>
      <c r="BI39" s="54"/>
      <c r="BJ39" s="51">
        <f>BF39*$BJ$35</f>
        <v>0</v>
      </c>
      <c r="BK39" s="51">
        <f>BG39*$BK$35</f>
        <v>0</v>
      </c>
      <c r="BL39" s="51">
        <f>BJ39*BK39</f>
        <v>0</v>
      </c>
      <c r="BM39" s="54"/>
      <c r="BN39" s="51">
        <f>BJ39*$BN$35</f>
        <v>0</v>
      </c>
      <c r="BO39" s="51">
        <f>BK39*$BO$35</f>
        <v>0</v>
      </c>
      <c r="BP39" s="51">
        <f>BN39*BO39</f>
        <v>0</v>
      </c>
      <c r="BQ39" s="54"/>
      <c r="BR39" s="51">
        <f>BN39*$BR$35</f>
        <v>0</v>
      </c>
      <c r="BS39" s="51">
        <f>BO39*$BS$35</f>
        <v>0</v>
      </c>
      <c r="BT39" s="51">
        <f>BR39*BS39</f>
        <v>0</v>
      </c>
      <c r="BU39" s="54"/>
      <c r="BV39" s="51">
        <f>BR39*$BV$35</f>
        <v>0</v>
      </c>
      <c r="BW39" s="51">
        <f>BS39*$BW$35</f>
        <v>0</v>
      </c>
      <c r="BX39" s="51">
        <f>BV39*BW39</f>
        <v>0</v>
      </c>
      <c r="BY39" s="54"/>
      <c r="BZ39" s="51">
        <f>BV39*$BZ$35</f>
        <v>0</v>
      </c>
      <c r="CA39" s="51">
        <f>BW39*$CA$35</f>
        <v>0</v>
      </c>
      <c r="CB39" s="51">
        <f>BZ39*CA39</f>
        <v>0</v>
      </c>
      <c r="CC39" s="54"/>
      <c r="CD39" s="51">
        <f>BZ39*$CD$35</f>
        <v>0</v>
      </c>
      <c r="CE39" s="51">
        <f>CA39*$CE$35</f>
        <v>0</v>
      </c>
      <c r="CF39" s="51">
        <f>CD39*CE39</f>
        <v>0</v>
      </c>
      <c r="CG39" s="54"/>
      <c r="CH39" s="51">
        <f>CD39*$CH$35</f>
        <v>0</v>
      </c>
      <c r="CI39" s="51">
        <f>CE39*$CI$35</f>
        <v>0</v>
      </c>
      <c r="CJ39" s="51">
        <f>CH39*CI39</f>
        <v>0</v>
      </c>
      <c r="CK39" s="54"/>
      <c r="CL39" s="51">
        <f>CH39*$CL$35</f>
        <v>0</v>
      </c>
      <c r="CM39" s="51">
        <f>CI39*$CM$35</f>
        <v>0</v>
      </c>
      <c r="CN39" s="51">
        <f>CL39*CM39</f>
        <v>0</v>
      </c>
      <c r="CO39" s="54"/>
      <c r="CP39" s="51">
        <f>CL39*$CP$35</f>
        <v>0</v>
      </c>
      <c r="CQ39" s="51">
        <f>CM39*$CQ$35</f>
        <v>0</v>
      </c>
      <c r="CR39" s="51">
        <f>CP39*CQ39</f>
        <v>0</v>
      </c>
      <c r="CS39" s="54"/>
      <c r="CT39" s="51">
        <f>CP39*$CT$35</f>
        <v>0</v>
      </c>
      <c r="CU39" s="51">
        <f>CQ39*$CU$35</f>
        <v>0</v>
      </c>
      <c r="CV39" s="51">
        <f>CT39*CU39</f>
        <v>0</v>
      </c>
      <c r="CW39" s="54"/>
      <c r="CX39" s="51">
        <f>CT39*$CX$35</f>
        <v>0</v>
      </c>
      <c r="CY39" s="51">
        <f>CU39*$CY$35</f>
        <v>0</v>
      </c>
      <c r="CZ39" s="51">
        <f>CX39*CY39</f>
        <v>0</v>
      </c>
      <c r="DA39" s="54"/>
      <c r="DB39" s="51">
        <f>CX39*$DB$35</f>
        <v>0</v>
      </c>
      <c r="DC39" s="51">
        <f>CY39*$DC$35</f>
        <v>0</v>
      </c>
      <c r="DD39" s="51">
        <f>DB39*DC39</f>
        <v>0</v>
      </c>
      <c r="DE39" s="54"/>
      <c r="DF39" s="51">
        <f>DB39*$DF$35</f>
        <v>0</v>
      </c>
      <c r="DG39" s="51">
        <f>DC39*$DG$35</f>
        <v>0</v>
      </c>
      <c r="DH39" s="51">
        <f>DF39*DG39</f>
        <v>0</v>
      </c>
      <c r="DI39" s="54"/>
      <c r="DJ39" s="51">
        <f>DF39*$DJ$35</f>
        <v>0</v>
      </c>
      <c r="DK39" s="51">
        <f>DG39*$DK$35</f>
        <v>0</v>
      </c>
      <c r="DL39" s="51">
        <f>DJ39*DK39</f>
        <v>0</v>
      </c>
      <c r="DM39" s="54"/>
      <c r="DN39" s="51">
        <f>DJ39*$DN$35</f>
        <v>0</v>
      </c>
      <c r="DO39" s="51">
        <f>DK39*$DO$35</f>
        <v>0</v>
      </c>
      <c r="DP39" s="51">
        <f>DN39*DO39</f>
        <v>0</v>
      </c>
      <c r="DQ39" s="54"/>
      <c r="DR39" s="51">
        <f>DN39*$DR$35</f>
        <v>0</v>
      </c>
      <c r="DS39" s="51">
        <f>DO39*$DS$35</f>
        <v>0</v>
      </c>
      <c r="DT39" s="51">
        <f>DR39*DS39</f>
        <v>0</v>
      </c>
      <c r="DU39" s="54"/>
      <c r="DV39" s="51">
        <f>DR39*$DV$35</f>
        <v>0</v>
      </c>
      <c r="DW39" s="51">
        <f>DS39*$DW$35</f>
        <v>0</v>
      </c>
      <c r="DX39" s="51">
        <f>DV39*DW39</f>
        <v>0</v>
      </c>
      <c r="DY39" s="54"/>
      <c r="DZ39" s="51">
        <f>DV39*$DZ$35</f>
        <v>0</v>
      </c>
      <c r="EA39" s="51">
        <f>DW39*$EA$35</f>
        <v>0</v>
      </c>
      <c r="EB39" s="51">
        <f>DZ39*EA39</f>
        <v>0</v>
      </c>
      <c r="EC39" s="54"/>
      <c r="ED39" s="51">
        <f>DZ39*$ED$35</f>
        <v>0</v>
      </c>
      <c r="EE39" s="51">
        <f>EA39*$EE$35</f>
        <v>0</v>
      </c>
      <c r="EF39" s="51">
        <f>ED39*EE39</f>
        <v>0</v>
      </c>
      <c r="EG39" s="54"/>
      <c r="EH39" s="51">
        <f>ED39*$EH$35</f>
        <v>0</v>
      </c>
      <c r="EI39" s="51">
        <f>EE39*$EI$35</f>
        <v>0</v>
      </c>
      <c r="EJ39" s="51">
        <f>EH39*EI39</f>
        <v>0</v>
      </c>
      <c r="EK39" s="54"/>
      <c r="EL39" s="51">
        <f>EH39*$EL$35</f>
        <v>0</v>
      </c>
      <c r="EM39" s="51">
        <f>EI39*$EM$35</f>
        <v>0</v>
      </c>
      <c r="EN39" s="51">
        <f>EL39*EM39</f>
        <v>0</v>
      </c>
      <c r="EO39" s="54"/>
      <c r="EP39" s="51">
        <f>EL39*$EP$35</f>
        <v>0</v>
      </c>
      <c r="EQ39" s="51">
        <f>EM39*$EQ$35</f>
        <v>0</v>
      </c>
      <c r="ER39" s="51">
        <f>EP39*EQ39</f>
        <v>0</v>
      </c>
      <c r="ES39" s="54"/>
      <c r="ET39" s="51">
        <f>EP39*$ET$35</f>
        <v>0</v>
      </c>
      <c r="EU39" s="51">
        <f>EQ39*$EU$35</f>
        <v>0</v>
      </c>
      <c r="EV39" s="51">
        <f>ET39*EU39</f>
        <v>0</v>
      </c>
      <c r="EW39" s="54"/>
      <c r="EX39" s="51">
        <f>ET39*$EX$35</f>
        <v>0</v>
      </c>
      <c r="EY39" s="51">
        <f>EU39*$EY$35</f>
        <v>0</v>
      </c>
      <c r="EZ39" s="51">
        <f>EX39*EY39</f>
        <v>0</v>
      </c>
      <c r="FA39" s="54"/>
      <c r="FB39" s="51">
        <f>EX39*$FB$35</f>
        <v>0</v>
      </c>
      <c r="FC39" s="51">
        <f>EY39*$FC$35</f>
        <v>0</v>
      </c>
      <c r="FD39" s="51">
        <f>FB39*FC39</f>
        <v>0</v>
      </c>
      <c r="FE39" s="54"/>
      <c r="FF39" s="51">
        <f>FB39*$FF$35</f>
        <v>0</v>
      </c>
      <c r="FG39" s="51">
        <f>FC39*$FG$35</f>
        <v>0</v>
      </c>
      <c r="FH39" s="51">
        <f>FF39*FG39</f>
        <v>0</v>
      </c>
      <c r="FI39" s="54"/>
      <c r="FJ39" s="51">
        <f>FF39*$FJ$35</f>
        <v>0</v>
      </c>
      <c r="FK39" s="51">
        <f>FG39*$FK$35</f>
        <v>0</v>
      </c>
      <c r="FL39" s="51">
        <f>FJ39*FK39</f>
        <v>0</v>
      </c>
      <c r="FM39" s="54"/>
      <c r="FN39" s="51">
        <f>FJ39*$FN$35</f>
        <v>0</v>
      </c>
      <c r="FO39" s="51">
        <f>FK39*$FO$35</f>
        <v>0</v>
      </c>
      <c r="FP39" s="51">
        <f>FN39*FO39</f>
        <v>0</v>
      </c>
      <c r="FQ39" s="54"/>
      <c r="FR39" s="51">
        <f>FN39*$FR$35</f>
        <v>0</v>
      </c>
      <c r="FS39" s="51">
        <f>FO39*$FS$35</f>
        <v>0</v>
      </c>
      <c r="FT39" s="51">
        <f>FR39*FS39</f>
        <v>0</v>
      </c>
      <c r="FU39" s="54"/>
      <c r="FV39" s="51">
        <f>FR39*$FV$35</f>
        <v>0</v>
      </c>
      <c r="FW39" s="51">
        <f>FS39*$FW$35</f>
        <v>0</v>
      </c>
      <c r="FX39" s="51">
        <f>FV39*FW39</f>
        <v>0</v>
      </c>
      <c r="FY39" s="54"/>
      <c r="FZ39" s="51">
        <f>FV39*$FZ$35</f>
        <v>0</v>
      </c>
      <c r="GA39" s="51">
        <f>FW39*$GA$35</f>
        <v>0</v>
      </c>
      <c r="GB39" s="51">
        <f>FZ39*GA39</f>
        <v>0</v>
      </c>
      <c r="GD39" s="51">
        <f>FZ39*$GD$35</f>
        <v>0</v>
      </c>
      <c r="GE39" s="51">
        <f>GA39*$GE$35</f>
        <v>0</v>
      </c>
      <c r="GF39" s="51">
        <f>GD39*GE39</f>
        <v>0</v>
      </c>
      <c r="GG39" s="54"/>
      <c r="GH39" s="51">
        <f>GD39*$GH$35</f>
        <v>0</v>
      </c>
      <c r="GI39" s="51">
        <f>GE39*$GI$35</f>
        <v>0</v>
      </c>
      <c r="GJ39" s="51">
        <f>GH39*GI39</f>
        <v>0</v>
      </c>
      <c r="GK39" s="54"/>
      <c r="GL39" s="51">
        <f>GH39*$GL$35</f>
        <v>0</v>
      </c>
      <c r="GM39" s="51">
        <f>GI39*$GM$35</f>
        <v>0</v>
      </c>
      <c r="GN39" s="51">
        <f>GL39*GM39</f>
        <v>0</v>
      </c>
      <c r="GO39" s="54"/>
      <c r="GP39" s="51">
        <f>GL39*$GP$35</f>
        <v>0</v>
      </c>
      <c r="GQ39" s="51">
        <f>GM39*$GQ$35</f>
        <v>0</v>
      </c>
      <c r="GR39" s="51">
        <f>GP39*GQ39</f>
        <v>0</v>
      </c>
      <c r="GS39" s="54"/>
      <c r="GT39" s="51">
        <f>GP39*$GT$35</f>
        <v>0</v>
      </c>
      <c r="GU39" s="51">
        <f>GQ39*$GU$35</f>
        <v>0</v>
      </c>
      <c r="GV39" s="51">
        <f>GT39*GU39</f>
        <v>0</v>
      </c>
      <c r="GW39" s="54"/>
      <c r="GX39" s="51">
        <f>GT39*$GX$35</f>
        <v>0</v>
      </c>
      <c r="GY39" s="51">
        <f>GU39*$GY$35</f>
        <v>0</v>
      </c>
      <c r="GZ39" s="51">
        <f>GX39*GY39</f>
        <v>0</v>
      </c>
      <c r="HA39" s="54"/>
      <c r="HB39" s="51">
        <f>GX39*$HB$35</f>
        <v>0</v>
      </c>
      <c r="HC39" s="51">
        <f>GY39*$HC$35</f>
        <v>0</v>
      </c>
      <c r="HD39" s="51">
        <f>HB39*HC39</f>
        <v>0</v>
      </c>
      <c r="HE39" s="54"/>
      <c r="HF39" s="51">
        <f>HB39*$HF$35</f>
        <v>0</v>
      </c>
      <c r="HG39" s="51">
        <f>HC39*$HG$35</f>
        <v>0</v>
      </c>
      <c r="HH39" s="51">
        <f>HF39*HG39</f>
        <v>0</v>
      </c>
      <c r="HI39" s="54"/>
      <c r="HJ39" s="51">
        <f>HF39*$HJ$35</f>
        <v>0</v>
      </c>
      <c r="HK39" s="51">
        <f>HG39*$HK$35</f>
        <v>0</v>
      </c>
      <c r="HL39" s="51">
        <f>HJ39*HK39</f>
        <v>0</v>
      </c>
      <c r="HM39" s="54"/>
      <c r="HN39" s="51">
        <f>HJ39*$HN$35</f>
        <v>0</v>
      </c>
      <c r="HO39" s="51">
        <f>HK39*$HO$35</f>
        <v>0</v>
      </c>
      <c r="HP39" s="51">
        <f>HN39*HO39</f>
        <v>0</v>
      </c>
      <c r="HQ39" s="54"/>
      <c r="HR39" s="51">
        <f>HN39*$HR$35</f>
        <v>0</v>
      </c>
      <c r="HS39" s="51">
        <f>HO39*$HS$35</f>
        <v>0</v>
      </c>
      <c r="HT39" s="51">
        <f>HR39*HS39</f>
        <v>0</v>
      </c>
      <c r="HU39" s="54"/>
      <c r="HV39" s="51">
        <f>HR39*$HV$35</f>
        <v>0</v>
      </c>
      <c r="HW39" s="51">
        <f>HS39*$HW$35</f>
        <v>0</v>
      </c>
      <c r="HX39" s="51">
        <f>HV39*HW39</f>
        <v>0</v>
      </c>
      <c r="HZ39" s="51">
        <f>HV39*$HZ$35</f>
        <v>0</v>
      </c>
      <c r="IA39" s="51">
        <f>HW39*$IA$35</f>
        <v>0</v>
      </c>
      <c r="IB39" s="51">
        <f>HZ39*IA39</f>
        <v>0</v>
      </c>
      <c r="IC39" s="54"/>
      <c r="ID39" s="51">
        <f>HZ39*$ID$35</f>
        <v>0</v>
      </c>
      <c r="IE39" s="51">
        <f>IA39*$IE$35</f>
        <v>0</v>
      </c>
      <c r="IF39" s="51">
        <f>ID39*IE39</f>
        <v>0</v>
      </c>
      <c r="IG39" s="54"/>
      <c r="IH39" s="51">
        <f>ID39*$IH$35</f>
        <v>0</v>
      </c>
      <c r="II39" s="51">
        <f>IE39*$II$35</f>
        <v>0</v>
      </c>
      <c r="IJ39" s="51">
        <f>IH39*II39</f>
        <v>0</v>
      </c>
      <c r="IK39" s="54"/>
      <c r="IL39" s="80">
        <f>SUMIFS($F39:$IK39,$F$3:$IK$3,IL$5,$F$6:$IK$6,IL$6)</f>
        <v>0</v>
      </c>
      <c r="IM39" s="80">
        <v>0</v>
      </c>
      <c r="IN39" s="80">
        <f>SUMIFS($F39:$IK39,$F$3:$IK$3,IL$5,$F$6:$IK$6,IN$6)</f>
        <v>0</v>
      </c>
      <c r="IP39" s="80">
        <f>SUMIFS($F39:$IK39,$F$3:$IK$3,IP$5,$F$6:$IK$6,IP$6)</f>
        <v>0</v>
      </c>
      <c r="IQ39" s="80">
        <v>0</v>
      </c>
      <c r="IR39" s="80">
        <f>SUMIFS($F39:$IK39,$F$3:$IK$3,IP$5,$F$6:$IK$6,IR$6)</f>
        <v>0</v>
      </c>
      <c r="IT39" s="80">
        <f>SUMIFS($F39:$IK39,$F$3:$IK$3,IT$5,$F$6:$IK$6,IT$6)</f>
        <v>0</v>
      </c>
      <c r="IU39" s="80">
        <v>0</v>
      </c>
      <c r="IV39" s="80">
        <f>SUMIFS($F39:$IK39,$F$3:$IK$3,IT$5,$F$6:$IK$6,IV$6)</f>
        <v>0</v>
      </c>
      <c r="IX39" s="80">
        <f>SUMIFS($F39:$IK39,$F$3:$IK$3,IX$5,$F$6:$IK$6,IX$6)</f>
        <v>0</v>
      </c>
      <c r="IY39" s="80">
        <v>0</v>
      </c>
      <c r="IZ39" s="80">
        <f>SUMIFS($F39:$IK39,$F$3:$IK$3,IX$5,$F$6:$IK$6,IZ$6)</f>
        <v>0</v>
      </c>
      <c r="JB39" s="80">
        <f>SUMIFS($F39:$IK39,$F$3:$IK$3,JB$5,$F$6:$IK$6,JB$6)</f>
        <v>0</v>
      </c>
      <c r="JC39" s="80">
        <v>0</v>
      </c>
      <c r="JD39" s="80">
        <f>SUMIFS($F39:$IK39,$F$3:$IK$3,JB$5,$F$6:$IK$6,JD$6)</f>
        <v>0</v>
      </c>
      <c r="JF39" s="80">
        <f>SUMIFS($F39:$IK39,$F$3:$IK$3,JF$5,$F$6:$IK$6,JF$6)</f>
        <v>0</v>
      </c>
      <c r="JG39" s="80">
        <v>0</v>
      </c>
      <c r="JH39" s="80">
        <f>SUMIFS($F39:$IK39,$F$3:$IK$3,JF$5,$F$6:$IK$6,JH$6)</f>
        <v>0</v>
      </c>
    </row>
    <row r="40" ht="18.75" customHeight="1" spans="2:268" x14ac:dyDescent="0.25">
      <c r="B40" s="5" t="s">
        <v>73</v>
      </c>
      <c r="C40" s="27"/>
      <c r="D40" s="29">
        <f>'A.I Revenue Streams - P1'!E40</f>
        <v>0</v>
      </c>
      <c r="E40" s="30"/>
      <c r="F40" s="51">
        <f>'A.I Revenue Streams - P1'!G40</f>
        <v>0</v>
      </c>
      <c r="G40" s="51">
        <f>'A.I Revenue Streams - P1'!I40</f>
        <v>0</v>
      </c>
      <c r="H40" s="51">
        <f>F40*G40</f>
        <v>0</v>
      </c>
      <c r="I40" s="54"/>
      <c r="J40" s="51">
        <f>F40*$J$35</f>
        <v>0</v>
      </c>
      <c r="K40" s="51">
        <f>G40*$K$35</f>
        <v>0</v>
      </c>
      <c r="L40" s="51">
        <f>J40*K40</f>
        <v>0</v>
      </c>
      <c r="M40" s="54"/>
      <c r="N40" s="51">
        <f>J40*$N$35</f>
        <v>0</v>
      </c>
      <c r="O40" s="51">
        <f>K40*$O$35</f>
        <v>0</v>
      </c>
      <c r="P40" s="51">
        <f>N40*O40</f>
        <v>0</v>
      </c>
      <c r="Q40" s="54"/>
      <c r="R40" s="51">
        <f>N40*$R$35</f>
        <v>0</v>
      </c>
      <c r="S40" s="51">
        <f>O40*$S$35</f>
        <v>0</v>
      </c>
      <c r="T40" s="51">
        <f>R40*S40</f>
        <v>0</v>
      </c>
      <c r="U40" s="54"/>
      <c r="V40" s="51">
        <f>R40*$V$35</f>
        <v>0</v>
      </c>
      <c r="W40" s="51">
        <f>S40*$W$35</f>
        <v>0</v>
      </c>
      <c r="X40" s="51">
        <f>V40*W40</f>
        <v>0</v>
      </c>
      <c r="Y40" s="54"/>
      <c r="Z40" s="51">
        <f>V40*$Z$35</f>
        <v>0</v>
      </c>
      <c r="AA40" s="51">
        <f>W40*$AA$35</f>
        <v>0</v>
      </c>
      <c r="AB40" s="51">
        <f>Z40*AA40</f>
        <v>0</v>
      </c>
      <c r="AC40" s="54"/>
      <c r="AD40" s="51">
        <f>Z40*$AD$35</f>
        <v>0</v>
      </c>
      <c r="AE40" s="51">
        <f>AA40*$AE$35</f>
        <v>0</v>
      </c>
      <c r="AF40" s="51">
        <f>AD40*AE40</f>
        <v>0</v>
      </c>
      <c r="AG40" s="54"/>
      <c r="AH40" s="51">
        <f>AD40*$AH$35</f>
        <v>0</v>
      </c>
      <c r="AI40" s="51">
        <f>AE40*$AI$35</f>
        <v>0</v>
      </c>
      <c r="AJ40" s="51">
        <f>AH40*AI40</f>
        <v>0</v>
      </c>
      <c r="AK40" s="54"/>
      <c r="AL40" s="51">
        <f>AH40*$AL$35</f>
        <v>0</v>
      </c>
      <c r="AM40" s="51">
        <f>AI40*$AM$35</f>
        <v>0</v>
      </c>
      <c r="AN40" s="51">
        <f>AL40*AM40</f>
        <v>0</v>
      </c>
      <c r="AO40" s="54"/>
      <c r="AP40" s="51">
        <f>AL40*$AP$35</f>
        <v>0</v>
      </c>
      <c r="AQ40" s="51">
        <f>AM40*$AQ$35</f>
        <v>0</v>
      </c>
      <c r="AR40" s="51">
        <f>AP40*AQ40</f>
        <v>0</v>
      </c>
      <c r="AS40" s="54"/>
      <c r="AT40" s="51">
        <f>AP40*$AT$35</f>
        <v>0</v>
      </c>
      <c r="AU40" s="51">
        <f>AQ40*$AU$35</f>
        <v>0</v>
      </c>
      <c r="AV40" s="51">
        <f>AT40*AU40</f>
        <v>0</v>
      </c>
      <c r="AW40" s="54"/>
      <c r="AX40" s="51">
        <f>AT40*$AX$35</f>
        <v>0</v>
      </c>
      <c r="AY40" s="51">
        <f>AU40*$AY$35</f>
        <v>0</v>
      </c>
      <c r="AZ40" s="51">
        <f>AX40*AY40</f>
        <v>0</v>
      </c>
      <c r="BA40" s="54"/>
      <c r="BB40" s="51">
        <f>AX40*$BB$35</f>
        <v>0</v>
      </c>
      <c r="BC40" s="51">
        <f>AY40*$BC$35</f>
        <v>0</v>
      </c>
      <c r="BD40" s="51">
        <f>BB40*BC40</f>
        <v>0</v>
      </c>
      <c r="BE40" s="54"/>
      <c r="BF40" s="51">
        <f>BB40*$BF$35</f>
        <v>0</v>
      </c>
      <c r="BG40" s="51">
        <f>BC40*$BG$35</f>
        <v>0</v>
      </c>
      <c r="BH40" s="51">
        <f>BF40*BG40</f>
        <v>0</v>
      </c>
      <c r="BI40" s="54"/>
      <c r="BJ40" s="51">
        <f>BF40*$BJ$35</f>
        <v>0</v>
      </c>
      <c r="BK40" s="51">
        <f>BG40*$BK$35</f>
        <v>0</v>
      </c>
      <c r="BL40" s="51">
        <f>BJ40*BK40</f>
        <v>0</v>
      </c>
      <c r="BM40" s="54"/>
      <c r="BN40" s="51">
        <f>BJ40*$BN$35</f>
        <v>0</v>
      </c>
      <c r="BO40" s="51">
        <f>BK40*$BO$35</f>
        <v>0</v>
      </c>
      <c r="BP40" s="51">
        <f>BN40*BO40</f>
        <v>0</v>
      </c>
      <c r="BQ40" s="54"/>
      <c r="BR40" s="51">
        <f>BN40*$BR$35</f>
        <v>0</v>
      </c>
      <c r="BS40" s="51">
        <f>BO40*$BS$35</f>
        <v>0</v>
      </c>
      <c r="BT40" s="51">
        <f>BR40*BS40</f>
        <v>0</v>
      </c>
      <c r="BU40" s="54"/>
      <c r="BV40" s="51">
        <f>BR40*$BV$35</f>
        <v>0</v>
      </c>
      <c r="BW40" s="51">
        <f>BS40*$BW$35</f>
        <v>0</v>
      </c>
      <c r="BX40" s="51">
        <f>BV40*BW40</f>
        <v>0</v>
      </c>
      <c r="BY40" s="54"/>
      <c r="BZ40" s="51">
        <f>BV40*$BZ$35</f>
        <v>0</v>
      </c>
      <c r="CA40" s="51">
        <f>BW40*$CA$35</f>
        <v>0</v>
      </c>
      <c r="CB40" s="51">
        <f>BZ40*CA40</f>
        <v>0</v>
      </c>
      <c r="CC40" s="54"/>
      <c r="CD40" s="51">
        <f>BZ40*$CD$35</f>
        <v>0</v>
      </c>
      <c r="CE40" s="51">
        <f>CA40*$CE$35</f>
        <v>0</v>
      </c>
      <c r="CF40" s="51">
        <f>CD40*CE40</f>
        <v>0</v>
      </c>
      <c r="CG40" s="54"/>
      <c r="CH40" s="51">
        <f>CD40*$CH$35</f>
        <v>0</v>
      </c>
      <c r="CI40" s="51">
        <f>CE40*$CI$35</f>
        <v>0</v>
      </c>
      <c r="CJ40" s="51">
        <f>CH40*CI40</f>
        <v>0</v>
      </c>
      <c r="CK40" s="54"/>
      <c r="CL40" s="51">
        <f>CH40*$CL$35</f>
        <v>0</v>
      </c>
      <c r="CM40" s="51">
        <f>CI40*$CM$35</f>
        <v>0</v>
      </c>
      <c r="CN40" s="51">
        <f>CL40*CM40</f>
        <v>0</v>
      </c>
      <c r="CO40" s="54"/>
      <c r="CP40" s="51">
        <f>CL40*$CP$35</f>
        <v>0</v>
      </c>
      <c r="CQ40" s="51">
        <f>CM40*$CQ$35</f>
        <v>0</v>
      </c>
      <c r="CR40" s="51">
        <f>CP40*CQ40</f>
        <v>0</v>
      </c>
      <c r="CS40" s="54"/>
      <c r="CT40" s="51">
        <f>CP40*$CT$35</f>
        <v>0</v>
      </c>
      <c r="CU40" s="51">
        <f>CQ40*$CU$35</f>
        <v>0</v>
      </c>
      <c r="CV40" s="51">
        <f>CT40*CU40</f>
        <v>0</v>
      </c>
      <c r="CW40" s="54"/>
      <c r="CX40" s="51">
        <f>CT40*$CX$35</f>
        <v>0</v>
      </c>
      <c r="CY40" s="51">
        <f>CU40*$CY$35</f>
        <v>0</v>
      </c>
      <c r="CZ40" s="51">
        <f>CX40*CY40</f>
        <v>0</v>
      </c>
      <c r="DA40" s="54"/>
      <c r="DB40" s="51">
        <f>CX40*$DB$35</f>
        <v>0</v>
      </c>
      <c r="DC40" s="51">
        <f>CY40*$DC$35</f>
        <v>0</v>
      </c>
      <c r="DD40" s="51">
        <f>DB40*DC40</f>
        <v>0</v>
      </c>
      <c r="DE40" s="54"/>
      <c r="DF40" s="51">
        <f>DB40*$DF$35</f>
        <v>0</v>
      </c>
      <c r="DG40" s="51">
        <f>DC40*$DG$35</f>
        <v>0</v>
      </c>
      <c r="DH40" s="51">
        <f>DF40*DG40</f>
        <v>0</v>
      </c>
      <c r="DI40" s="54"/>
      <c r="DJ40" s="51">
        <f>DF40*$DJ$35</f>
        <v>0</v>
      </c>
      <c r="DK40" s="51">
        <f>DG40*$DK$35</f>
        <v>0</v>
      </c>
      <c r="DL40" s="51">
        <f>DJ40*DK40</f>
        <v>0</v>
      </c>
      <c r="DM40" s="54"/>
      <c r="DN40" s="51">
        <f>DJ40*$DN$35</f>
        <v>0</v>
      </c>
      <c r="DO40" s="51">
        <f>DK40*$DO$35</f>
        <v>0</v>
      </c>
      <c r="DP40" s="51">
        <f>DN40*DO40</f>
        <v>0</v>
      </c>
      <c r="DQ40" s="54"/>
      <c r="DR40" s="51">
        <f>DN40*$DR$35</f>
        <v>0</v>
      </c>
      <c r="DS40" s="51">
        <f>DO40*$DS$35</f>
        <v>0</v>
      </c>
      <c r="DT40" s="51">
        <f>DR40*DS40</f>
        <v>0</v>
      </c>
      <c r="DU40" s="54"/>
      <c r="DV40" s="51">
        <f>DR40*$DV$35</f>
        <v>0</v>
      </c>
      <c r="DW40" s="51">
        <f>DS40*$DW$35</f>
        <v>0</v>
      </c>
      <c r="DX40" s="51">
        <f>DV40*DW40</f>
        <v>0</v>
      </c>
      <c r="DY40" s="54"/>
      <c r="DZ40" s="51">
        <f>DV40*$DZ$35</f>
        <v>0</v>
      </c>
      <c r="EA40" s="51">
        <f>DW40*$EA$35</f>
        <v>0</v>
      </c>
      <c r="EB40" s="51">
        <f>DZ40*EA40</f>
        <v>0</v>
      </c>
      <c r="EC40" s="54"/>
      <c r="ED40" s="51">
        <f>DZ40*$ED$35</f>
        <v>0</v>
      </c>
      <c r="EE40" s="51">
        <f>EA40*$EE$35</f>
        <v>0</v>
      </c>
      <c r="EF40" s="51">
        <f>ED40*EE40</f>
        <v>0</v>
      </c>
      <c r="EG40" s="54"/>
      <c r="EH40" s="51">
        <f>ED40*$EH$35</f>
        <v>0</v>
      </c>
      <c r="EI40" s="51">
        <f>EE40*$EI$35</f>
        <v>0</v>
      </c>
      <c r="EJ40" s="51">
        <f>EH40*EI40</f>
        <v>0</v>
      </c>
      <c r="EK40" s="54"/>
      <c r="EL40" s="51">
        <f>EH40*$EL$35</f>
        <v>0</v>
      </c>
      <c r="EM40" s="51">
        <f>EI40*$EM$35</f>
        <v>0</v>
      </c>
      <c r="EN40" s="51">
        <f>EL40*EM40</f>
        <v>0</v>
      </c>
      <c r="EO40" s="54"/>
      <c r="EP40" s="51">
        <f>EL40*$EP$35</f>
        <v>0</v>
      </c>
      <c r="EQ40" s="51">
        <f>EM40*$EQ$35</f>
        <v>0</v>
      </c>
      <c r="ER40" s="51">
        <f>EP40*EQ40</f>
        <v>0</v>
      </c>
      <c r="ES40" s="54"/>
      <c r="ET40" s="51">
        <f>EP40*$ET$35</f>
        <v>0</v>
      </c>
      <c r="EU40" s="51">
        <f>EQ40*$EU$35</f>
        <v>0</v>
      </c>
      <c r="EV40" s="51">
        <f>ET40*EU40</f>
        <v>0</v>
      </c>
      <c r="EW40" s="54"/>
      <c r="EX40" s="51">
        <f>ET40*$EX$35</f>
        <v>0</v>
      </c>
      <c r="EY40" s="51">
        <f>EU40*$EY$35</f>
        <v>0</v>
      </c>
      <c r="EZ40" s="51">
        <f>EX40*EY40</f>
        <v>0</v>
      </c>
      <c r="FA40" s="54"/>
      <c r="FB40" s="51">
        <f>EX40*$FB$35</f>
        <v>0</v>
      </c>
      <c r="FC40" s="51">
        <f>EY40*$FC$35</f>
        <v>0</v>
      </c>
      <c r="FD40" s="51">
        <f>FB40*FC40</f>
        <v>0</v>
      </c>
      <c r="FE40" s="54"/>
      <c r="FF40" s="51">
        <f>FB40*$FF$35</f>
        <v>0</v>
      </c>
      <c r="FG40" s="51">
        <f>FC40*$FG$35</f>
        <v>0</v>
      </c>
      <c r="FH40" s="51">
        <f>FF40*FG40</f>
        <v>0</v>
      </c>
      <c r="FI40" s="54"/>
      <c r="FJ40" s="51">
        <f>FF40*$FJ$35</f>
        <v>0</v>
      </c>
      <c r="FK40" s="51">
        <f>FG40*$FK$35</f>
        <v>0</v>
      </c>
      <c r="FL40" s="51">
        <f>FJ40*FK40</f>
        <v>0</v>
      </c>
      <c r="FM40" s="54"/>
      <c r="FN40" s="51">
        <f>FJ40*$FN$35</f>
        <v>0</v>
      </c>
      <c r="FO40" s="51">
        <f>FK40*$FO$35</f>
        <v>0</v>
      </c>
      <c r="FP40" s="51">
        <f>FN40*FO40</f>
        <v>0</v>
      </c>
      <c r="FQ40" s="54"/>
      <c r="FR40" s="51">
        <f>FN40*$FR$35</f>
        <v>0</v>
      </c>
      <c r="FS40" s="51">
        <f>FO40*$FS$35</f>
        <v>0</v>
      </c>
      <c r="FT40" s="51">
        <f>FR40*FS40</f>
        <v>0</v>
      </c>
      <c r="FU40" s="54"/>
      <c r="FV40" s="51">
        <f>FR40*$FV$35</f>
        <v>0</v>
      </c>
      <c r="FW40" s="51">
        <f>FS40*$FW$35</f>
        <v>0</v>
      </c>
      <c r="FX40" s="51">
        <f>FV40*FW40</f>
        <v>0</v>
      </c>
      <c r="FY40" s="54"/>
      <c r="FZ40" s="51">
        <f>FV40*$FZ$35</f>
        <v>0</v>
      </c>
      <c r="GA40" s="51">
        <f>FW40*$GA$35</f>
        <v>0</v>
      </c>
      <c r="GB40" s="51">
        <f>FZ40*GA40</f>
        <v>0</v>
      </c>
      <c r="GD40" s="51">
        <f>FZ40*$GD$35</f>
        <v>0</v>
      </c>
      <c r="GE40" s="51">
        <f>GA40*$GE$35</f>
        <v>0</v>
      </c>
      <c r="GF40" s="51">
        <f>GD40*GE40</f>
        <v>0</v>
      </c>
      <c r="GG40" s="54"/>
      <c r="GH40" s="51">
        <f>GD40*$GH$35</f>
        <v>0</v>
      </c>
      <c r="GI40" s="51">
        <f>GE40*$GI$35</f>
        <v>0</v>
      </c>
      <c r="GJ40" s="51">
        <f>GH40*GI40</f>
        <v>0</v>
      </c>
      <c r="GK40" s="54"/>
      <c r="GL40" s="51">
        <f>GH40*$GL$35</f>
        <v>0</v>
      </c>
      <c r="GM40" s="51">
        <f>GI40*$GM$35</f>
        <v>0</v>
      </c>
      <c r="GN40" s="51">
        <f>GL40*GM40</f>
        <v>0</v>
      </c>
      <c r="GO40" s="54"/>
      <c r="GP40" s="51">
        <f>GL40*$GP$35</f>
        <v>0</v>
      </c>
      <c r="GQ40" s="51">
        <f>GM40*$GQ$35</f>
        <v>0</v>
      </c>
      <c r="GR40" s="51">
        <f>GP40*GQ40</f>
        <v>0</v>
      </c>
      <c r="GS40" s="54"/>
      <c r="GT40" s="51">
        <f>GP40*$GT$35</f>
        <v>0</v>
      </c>
      <c r="GU40" s="51">
        <f>GQ40*$GU$35</f>
        <v>0</v>
      </c>
      <c r="GV40" s="51">
        <f>GT40*GU40</f>
        <v>0</v>
      </c>
      <c r="GW40" s="54"/>
      <c r="GX40" s="51">
        <f>GT40*$GX$35</f>
        <v>0</v>
      </c>
      <c r="GY40" s="51">
        <f>GU40*$GY$35</f>
        <v>0</v>
      </c>
      <c r="GZ40" s="51">
        <f>GX40*GY40</f>
        <v>0</v>
      </c>
      <c r="HA40" s="54"/>
      <c r="HB40" s="51">
        <f>GX40*$HB$35</f>
        <v>0</v>
      </c>
      <c r="HC40" s="51">
        <f>GY40*$HC$35</f>
        <v>0</v>
      </c>
      <c r="HD40" s="51">
        <f>HB40*HC40</f>
        <v>0</v>
      </c>
      <c r="HE40" s="54"/>
      <c r="HF40" s="51">
        <f>HB40*$HF$35</f>
        <v>0</v>
      </c>
      <c r="HG40" s="51">
        <f>HC40*$HG$35</f>
        <v>0</v>
      </c>
      <c r="HH40" s="51">
        <f>HF40*HG40</f>
        <v>0</v>
      </c>
      <c r="HI40" s="54"/>
      <c r="HJ40" s="51">
        <f>HF40*$HJ$35</f>
        <v>0</v>
      </c>
      <c r="HK40" s="51">
        <f>HG40*$HK$35</f>
        <v>0</v>
      </c>
      <c r="HL40" s="51">
        <f>HJ40*HK40</f>
        <v>0</v>
      </c>
      <c r="HM40" s="54"/>
      <c r="HN40" s="51">
        <f>HJ40*$HN$35</f>
        <v>0</v>
      </c>
      <c r="HO40" s="51">
        <f>HK40*$HO$35</f>
        <v>0</v>
      </c>
      <c r="HP40" s="51">
        <f>HN40*HO40</f>
        <v>0</v>
      </c>
      <c r="HQ40" s="54"/>
      <c r="HR40" s="51">
        <f>HN40*$HR$35</f>
        <v>0</v>
      </c>
      <c r="HS40" s="51">
        <f>HO40*$HS$35</f>
        <v>0</v>
      </c>
      <c r="HT40" s="51">
        <f>HR40*HS40</f>
        <v>0</v>
      </c>
      <c r="HU40" s="54"/>
      <c r="HV40" s="51">
        <f>HR40*$HV$35</f>
        <v>0</v>
      </c>
      <c r="HW40" s="51">
        <f>HS40*$HW$35</f>
        <v>0</v>
      </c>
      <c r="HX40" s="51">
        <f>HV40*HW40</f>
        <v>0</v>
      </c>
      <c r="HZ40" s="51">
        <f>HV40*$HZ$35</f>
        <v>0</v>
      </c>
      <c r="IA40" s="51">
        <f>HW40*$IA$35</f>
        <v>0</v>
      </c>
      <c r="IB40" s="51">
        <f>HZ40*IA40</f>
        <v>0</v>
      </c>
      <c r="IC40" s="54"/>
      <c r="ID40" s="51">
        <f>HZ40*$ID$35</f>
        <v>0</v>
      </c>
      <c r="IE40" s="51">
        <f>IA40*$IE$35</f>
        <v>0</v>
      </c>
      <c r="IF40" s="51">
        <f>ID40*IE40</f>
        <v>0</v>
      </c>
      <c r="IG40" s="54"/>
      <c r="IH40" s="51">
        <f>ID40*$IH$35</f>
        <v>0</v>
      </c>
      <c r="II40" s="51">
        <f>IE40*$II$35</f>
        <v>0</v>
      </c>
      <c r="IJ40" s="51">
        <f>IH40*II40</f>
        <v>0</v>
      </c>
      <c r="IK40" s="54"/>
      <c r="IL40" s="80">
        <f>SUMIFS($F40:$IK40,$F$3:$IK$3,IL$5,$F$6:$IK$6,IL$6)</f>
        <v>0</v>
      </c>
      <c r="IM40" s="80">
        <v>0</v>
      </c>
      <c r="IN40" s="80">
        <f>SUMIFS($F40:$IK40,$F$3:$IK$3,IL$5,$F$6:$IK$6,IN$6)</f>
        <v>0</v>
      </c>
      <c r="IP40" s="80">
        <f>SUMIFS($F40:$IK40,$F$3:$IK$3,IP$5,$F$6:$IK$6,IP$6)</f>
        <v>0</v>
      </c>
      <c r="IQ40" s="80">
        <v>0</v>
      </c>
      <c r="IR40" s="80">
        <f>SUMIFS($F40:$IK40,$F$3:$IK$3,IP$5,$F$6:$IK$6,IR$6)</f>
        <v>0</v>
      </c>
      <c r="IT40" s="80">
        <f>SUMIFS($F40:$IK40,$F$3:$IK$3,IT$5,$F$6:$IK$6,IT$6)</f>
        <v>0</v>
      </c>
      <c r="IU40" s="80">
        <v>0</v>
      </c>
      <c r="IV40" s="80">
        <f>SUMIFS($F40:$IK40,$F$3:$IK$3,IT$5,$F$6:$IK$6,IV$6)</f>
        <v>0</v>
      </c>
      <c r="IX40" s="80">
        <f>SUMIFS($F40:$IK40,$F$3:$IK$3,IX$5,$F$6:$IK$6,IX$6)</f>
        <v>0</v>
      </c>
      <c r="IY40" s="80">
        <v>0</v>
      </c>
      <c r="IZ40" s="80">
        <f>SUMIFS($F40:$IK40,$F$3:$IK$3,IX$5,$F$6:$IK$6,IZ$6)</f>
        <v>0</v>
      </c>
      <c r="JB40" s="80">
        <f>SUMIFS($F40:$IK40,$F$3:$IK$3,JB$5,$F$6:$IK$6,JB$6)</f>
        <v>0</v>
      </c>
      <c r="JC40" s="80">
        <v>0</v>
      </c>
      <c r="JD40" s="80">
        <f>SUMIFS($F40:$IK40,$F$3:$IK$3,JB$5,$F$6:$IK$6,JD$6)</f>
        <v>0</v>
      </c>
      <c r="JF40" s="80">
        <f>SUMIFS($F40:$IK40,$F$3:$IK$3,JF$5,$F$6:$IK$6,JF$6)</f>
        <v>0</v>
      </c>
      <c r="JG40" s="80">
        <v>0</v>
      </c>
      <c r="JH40" s="80">
        <f>SUMIFS($F40:$IK40,$F$3:$IK$3,JF$5,$F$6:$IK$6,JH$6)</f>
        <v>0</v>
      </c>
    </row>
    <row r="41" ht="18.75" customHeight="1" spans="2:268" x14ac:dyDescent="0.25">
      <c r="B41" s="5" t="s">
        <v>74</v>
      </c>
      <c r="C41" s="27"/>
      <c r="D41" s="29">
        <f>'A.I Revenue Streams - P1'!E41</f>
        <v>0</v>
      </c>
      <c r="E41" s="30"/>
      <c r="F41" s="51">
        <f>'A.I Revenue Streams - P1'!G41</f>
        <v>0</v>
      </c>
      <c r="G41" s="51">
        <f>'A.I Revenue Streams - P1'!I41</f>
        <v>0</v>
      </c>
      <c r="H41" s="51">
        <f>F41*G41</f>
        <v>0</v>
      </c>
      <c r="I41" s="54"/>
      <c r="J41" s="51">
        <f>F41*$J$35</f>
        <v>0</v>
      </c>
      <c r="K41" s="51">
        <f>G41*$K$35</f>
        <v>0</v>
      </c>
      <c r="L41" s="51">
        <f>J41*K41</f>
        <v>0</v>
      </c>
      <c r="M41" s="54"/>
      <c r="N41" s="51">
        <f>J41*$N$35</f>
        <v>0</v>
      </c>
      <c r="O41" s="51">
        <f>K41*$O$35</f>
        <v>0</v>
      </c>
      <c r="P41" s="51">
        <f>N41*O41</f>
        <v>0</v>
      </c>
      <c r="Q41" s="54"/>
      <c r="R41" s="51">
        <f>N41*$R$35</f>
        <v>0</v>
      </c>
      <c r="S41" s="51">
        <f>O41*$S$35</f>
        <v>0</v>
      </c>
      <c r="T41" s="51">
        <f>R41*S41</f>
        <v>0</v>
      </c>
      <c r="U41" s="54"/>
      <c r="V41" s="51">
        <f>R41*$V$35</f>
        <v>0</v>
      </c>
      <c r="W41" s="51">
        <f>S41*$W$35</f>
        <v>0</v>
      </c>
      <c r="X41" s="51">
        <f>V41*W41</f>
        <v>0</v>
      </c>
      <c r="Y41" s="54"/>
      <c r="Z41" s="51">
        <f>V41*$Z$35</f>
        <v>0</v>
      </c>
      <c r="AA41" s="51">
        <f>W41*$AA$35</f>
        <v>0</v>
      </c>
      <c r="AB41" s="51">
        <f>Z41*AA41</f>
        <v>0</v>
      </c>
      <c r="AC41" s="54"/>
      <c r="AD41" s="51">
        <f>Z41*$AD$35</f>
        <v>0</v>
      </c>
      <c r="AE41" s="51">
        <f>AA41*$AE$35</f>
        <v>0</v>
      </c>
      <c r="AF41" s="51">
        <f>AD41*AE41</f>
        <v>0</v>
      </c>
      <c r="AG41" s="54"/>
      <c r="AH41" s="51">
        <f>AD41*$AH$35</f>
        <v>0</v>
      </c>
      <c r="AI41" s="51">
        <f>AE41*$AI$35</f>
        <v>0</v>
      </c>
      <c r="AJ41" s="51">
        <f>AH41*AI41</f>
        <v>0</v>
      </c>
      <c r="AK41" s="54"/>
      <c r="AL41" s="51">
        <f>AH41*$AL$35</f>
        <v>0</v>
      </c>
      <c r="AM41" s="51">
        <f>AI41*$AM$35</f>
        <v>0</v>
      </c>
      <c r="AN41" s="51">
        <f>AL41*AM41</f>
        <v>0</v>
      </c>
      <c r="AO41" s="54"/>
      <c r="AP41" s="51">
        <f>AL41*$AP$35</f>
        <v>0</v>
      </c>
      <c r="AQ41" s="51">
        <f>AM41*$AQ$35</f>
        <v>0</v>
      </c>
      <c r="AR41" s="51">
        <f>AP41*AQ41</f>
        <v>0</v>
      </c>
      <c r="AS41" s="54"/>
      <c r="AT41" s="51">
        <f>AP41*$AT$35</f>
        <v>0</v>
      </c>
      <c r="AU41" s="51">
        <f>AQ41*$AU$35</f>
        <v>0</v>
      </c>
      <c r="AV41" s="51">
        <f>AT41*AU41</f>
        <v>0</v>
      </c>
      <c r="AW41" s="54"/>
      <c r="AX41" s="51">
        <f>AT41*$AX$35</f>
        <v>0</v>
      </c>
      <c r="AY41" s="51">
        <f>AU41*$AY$35</f>
        <v>0</v>
      </c>
      <c r="AZ41" s="51">
        <f>AX41*AY41</f>
        <v>0</v>
      </c>
      <c r="BA41" s="54"/>
      <c r="BB41" s="51">
        <f>AX41*$BB$35</f>
        <v>0</v>
      </c>
      <c r="BC41" s="51">
        <f>AY41*$BC$35</f>
        <v>0</v>
      </c>
      <c r="BD41" s="51">
        <f>BB41*BC41</f>
        <v>0</v>
      </c>
      <c r="BE41" s="54"/>
      <c r="BF41" s="51">
        <f>BB41*$BF$35</f>
        <v>0</v>
      </c>
      <c r="BG41" s="51">
        <f>BC41*$BG$35</f>
        <v>0</v>
      </c>
      <c r="BH41" s="51">
        <f>BF41*BG41</f>
        <v>0</v>
      </c>
      <c r="BI41" s="54"/>
      <c r="BJ41" s="51">
        <f>BF41*$BJ$35</f>
        <v>0</v>
      </c>
      <c r="BK41" s="51">
        <f>BG41*$BK$35</f>
        <v>0</v>
      </c>
      <c r="BL41" s="51">
        <f>BJ41*BK41</f>
        <v>0</v>
      </c>
      <c r="BM41" s="54"/>
      <c r="BN41" s="51">
        <f>BJ41*$BN$35</f>
        <v>0</v>
      </c>
      <c r="BO41" s="51">
        <f>BK41*$BO$35</f>
        <v>0</v>
      </c>
      <c r="BP41" s="51">
        <f>BN41*BO41</f>
        <v>0</v>
      </c>
      <c r="BQ41" s="54"/>
      <c r="BR41" s="51">
        <f>BN41*$BR$35</f>
        <v>0</v>
      </c>
      <c r="BS41" s="51">
        <f>BO41*$BS$35</f>
        <v>0</v>
      </c>
      <c r="BT41" s="51">
        <f>BR41*BS41</f>
        <v>0</v>
      </c>
      <c r="BU41" s="54"/>
      <c r="BV41" s="51">
        <f>BR41*$BV$35</f>
        <v>0</v>
      </c>
      <c r="BW41" s="51">
        <f>BS41*$BW$35</f>
        <v>0</v>
      </c>
      <c r="BX41" s="51">
        <f>BV41*BW41</f>
        <v>0</v>
      </c>
      <c r="BY41" s="54"/>
      <c r="BZ41" s="51">
        <f>BV41*$BZ$35</f>
        <v>0</v>
      </c>
      <c r="CA41" s="51">
        <f>BW41*$CA$35</f>
        <v>0</v>
      </c>
      <c r="CB41" s="51">
        <f>BZ41*CA41</f>
        <v>0</v>
      </c>
      <c r="CC41" s="54"/>
      <c r="CD41" s="51">
        <f>BZ41*$CD$35</f>
        <v>0</v>
      </c>
      <c r="CE41" s="51">
        <f>CA41*$CE$35</f>
        <v>0</v>
      </c>
      <c r="CF41" s="51">
        <f>CD41*CE41</f>
        <v>0</v>
      </c>
      <c r="CG41" s="54"/>
      <c r="CH41" s="51">
        <f>CD41*$CH$35</f>
        <v>0</v>
      </c>
      <c r="CI41" s="51">
        <f>CE41*$CI$35</f>
        <v>0</v>
      </c>
      <c r="CJ41" s="51">
        <f>CH41*CI41</f>
        <v>0</v>
      </c>
      <c r="CK41" s="54"/>
      <c r="CL41" s="51">
        <f>CH41*$CL$35</f>
        <v>0</v>
      </c>
      <c r="CM41" s="51">
        <f>CI41*$CM$35</f>
        <v>0</v>
      </c>
      <c r="CN41" s="51">
        <f>CL41*CM41</f>
        <v>0</v>
      </c>
      <c r="CO41" s="54"/>
      <c r="CP41" s="51">
        <f>CL41*$CP$35</f>
        <v>0</v>
      </c>
      <c r="CQ41" s="51">
        <f>CM41*$CQ$35</f>
        <v>0</v>
      </c>
      <c r="CR41" s="51">
        <f>CP41*CQ41</f>
        <v>0</v>
      </c>
      <c r="CS41" s="54"/>
      <c r="CT41" s="51">
        <f>CP41*$CT$35</f>
        <v>0</v>
      </c>
      <c r="CU41" s="51">
        <f>CQ41*$CU$35</f>
        <v>0</v>
      </c>
      <c r="CV41" s="51">
        <f>CT41*CU41</f>
        <v>0</v>
      </c>
      <c r="CW41" s="54"/>
      <c r="CX41" s="51">
        <f>CT41*$CX$35</f>
        <v>0</v>
      </c>
      <c r="CY41" s="51">
        <f>CU41*$CY$35</f>
        <v>0</v>
      </c>
      <c r="CZ41" s="51">
        <f>CX41*CY41</f>
        <v>0</v>
      </c>
      <c r="DA41" s="54"/>
      <c r="DB41" s="51">
        <f>CX41*$DB$35</f>
        <v>0</v>
      </c>
      <c r="DC41" s="51">
        <f>CY41*$DC$35</f>
        <v>0</v>
      </c>
      <c r="DD41" s="51">
        <f>DB41*DC41</f>
        <v>0</v>
      </c>
      <c r="DE41" s="54"/>
      <c r="DF41" s="51">
        <f>DB41*$DF$35</f>
        <v>0</v>
      </c>
      <c r="DG41" s="51">
        <f>DC41*$DG$35</f>
        <v>0</v>
      </c>
      <c r="DH41" s="51">
        <f>DF41*DG41</f>
        <v>0</v>
      </c>
      <c r="DI41" s="54"/>
      <c r="DJ41" s="51">
        <f>DF41*$DJ$35</f>
        <v>0</v>
      </c>
      <c r="DK41" s="51">
        <f>DG41*$DK$35</f>
        <v>0</v>
      </c>
      <c r="DL41" s="51">
        <f>DJ41*DK41</f>
        <v>0</v>
      </c>
      <c r="DM41" s="54"/>
      <c r="DN41" s="51">
        <f>DJ41*$DN$35</f>
        <v>0</v>
      </c>
      <c r="DO41" s="51">
        <f>DK41*$DO$35</f>
        <v>0</v>
      </c>
      <c r="DP41" s="51">
        <f>DN41*DO41</f>
        <v>0</v>
      </c>
      <c r="DQ41" s="54"/>
      <c r="DR41" s="51">
        <f>DN41*$DR$35</f>
        <v>0</v>
      </c>
      <c r="DS41" s="51">
        <f>DO41*$DS$35</f>
        <v>0</v>
      </c>
      <c r="DT41" s="51">
        <f>DR41*DS41</f>
        <v>0</v>
      </c>
      <c r="DU41" s="54"/>
      <c r="DV41" s="51">
        <f>DR41*$DV$35</f>
        <v>0</v>
      </c>
      <c r="DW41" s="51">
        <f>DS41*$DW$35</f>
        <v>0</v>
      </c>
      <c r="DX41" s="51">
        <f>DV41*DW41</f>
        <v>0</v>
      </c>
      <c r="DY41" s="54"/>
      <c r="DZ41" s="51">
        <f>DV41*$DZ$35</f>
        <v>0</v>
      </c>
      <c r="EA41" s="51">
        <f>DW41*$EA$35</f>
        <v>0</v>
      </c>
      <c r="EB41" s="51">
        <f>DZ41*EA41</f>
        <v>0</v>
      </c>
      <c r="EC41" s="54"/>
      <c r="ED41" s="51">
        <f>DZ41*$ED$35</f>
        <v>0</v>
      </c>
      <c r="EE41" s="51">
        <f>EA41*$EE$35</f>
        <v>0</v>
      </c>
      <c r="EF41" s="51">
        <f>ED41*EE41</f>
        <v>0</v>
      </c>
      <c r="EG41" s="54"/>
      <c r="EH41" s="51">
        <f>ED41*$EH$35</f>
        <v>0</v>
      </c>
      <c r="EI41" s="51">
        <f>EE41*$EI$35</f>
        <v>0</v>
      </c>
      <c r="EJ41" s="51">
        <f>EH41*EI41</f>
        <v>0</v>
      </c>
      <c r="EK41" s="54"/>
      <c r="EL41" s="51">
        <f>EH41*$EL$35</f>
        <v>0</v>
      </c>
      <c r="EM41" s="51">
        <f>EI41*$EM$35</f>
        <v>0</v>
      </c>
      <c r="EN41" s="51">
        <f>EL41*EM41</f>
        <v>0</v>
      </c>
      <c r="EO41" s="54"/>
      <c r="EP41" s="51">
        <f>EL41*$EP$35</f>
        <v>0</v>
      </c>
      <c r="EQ41" s="51">
        <f>EM41*$EQ$35</f>
        <v>0</v>
      </c>
      <c r="ER41" s="51">
        <f>EP41*EQ41</f>
        <v>0</v>
      </c>
      <c r="ES41" s="54"/>
      <c r="ET41" s="51">
        <f>EP41*$ET$35</f>
        <v>0</v>
      </c>
      <c r="EU41" s="51">
        <f>EQ41*$EU$35</f>
        <v>0</v>
      </c>
      <c r="EV41" s="51">
        <f>ET41*EU41</f>
        <v>0</v>
      </c>
      <c r="EW41" s="54"/>
      <c r="EX41" s="51">
        <f>ET41*$EX$35</f>
        <v>0</v>
      </c>
      <c r="EY41" s="51">
        <f>EU41*$EY$35</f>
        <v>0</v>
      </c>
      <c r="EZ41" s="51">
        <f>EX41*EY41</f>
        <v>0</v>
      </c>
      <c r="FA41" s="54"/>
      <c r="FB41" s="51">
        <f>EX41*$FB$35</f>
        <v>0</v>
      </c>
      <c r="FC41" s="51">
        <f>EY41*$FC$35</f>
        <v>0</v>
      </c>
      <c r="FD41" s="51">
        <f>FB41*FC41</f>
        <v>0</v>
      </c>
      <c r="FE41" s="54"/>
      <c r="FF41" s="51">
        <f>FB41*$FF$35</f>
        <v>0</v>
      </c>
      <c r="FG41" s="51">
        <f>FC41*$FG$35</f>
        <v>0</v>
      </c>
      <c r="FH41" s="51">
        <f>FF41*FG41</f>
        <v>0</v>
      </c>
      <c r="FI41" s="54"/>
      <c r="FJ41" s="51">
        <f>FF41*$FJ$35</f>
        <v>0</v>
      </c>
      <c r="FK41" s="51">
        <f>FG41*$FK$35</f>
        <v>0</v>
      </c>
      <c r="FL41" s="51">
        <f>FJ41*FK41</f>
        <v>0</v>
      </c>
      <c r="FM41" s="54"/>
      <c r="FN41" s="51">
        <f>FJ41*$FN$35</f>
        <v>0</v>
      </c>
      <c r="FO41" s="51">
        <f>FK41*$FO$35</f>
        <v>0</v>
      </c>
      <c r="FP41" s="51">
        <f>FN41*FO41</f>
        <v>0</v>
      </c>
      <c r="FQ41" s="54"/>
      <c r="FR41" s="51">
        <f>FN41*$FR$35</f>
        <v>0</v>
      </c>
      <c r="FS41" s="51">
        <f>FO41*$FS$35</f>
        <v>0</v>
      </c>
      <c r="FT41" s="51">
        <f>FR41*FS41</f>
        <v>0</v>
      </c>
      <c r="FU41" s="54"/>
      <c r="FV41" s="51">
        <f>FR41*$FV$35</f>
        <v>0</v>
      </c>
      <c r="FW41" s="51">
        <f>FS41*$FW$35</f>
        <v>0</v>
      </c>
      <c r="FX41" s="51">
        <f>FV41*FW41</f>
        <v>0</v>
      </c>
      <c r="FY41" s="54"/>
      <c r="FZ41" s="51">
        <f>FV41*$FZ$35</f>
        <v>0</v>
      </c>
      <c r="GA41" s="51">
        <f>FW41*$GA$35</f>
        <v>0</v>
      </c>
      <c r="GB41" s="51">
        <f>FZ41*GA41</f>
        <v>0</v>
      </c>
      <c r="GD41" s="51">
        <f>FZ41*$GD$35</f>
        <v>0</v>
      </c>
      <c r="GE41" s="51">
        <f>GA41*$GE$35</f>
        <v>0</v>
      </c>
      <c r="GF41" s="51">
        <f>GD41*GE41</f>
        <v>0</v>
      </c>
      <c r="GG41" s="54"/>
      <c r="GH41" s="51">
        <f>GD41*$GH$35</f>
        <v>0</v>
      </c>
      <c r="GI41" s="51">
        <f>GE41*$GI$35</f>
        <v>0</v>
      </c>
      <c r="GJ41" s="51">
        <f>GH41*GI41</f>
        <v>0</v>
      </c>
      <c r="GK41" s="54"/>
      <c r="GL41" s="51">
        <f>GH41*$GL$35</f>
        <v>0</v>
      </c>
      <c r="GM41" s="51">
        <f>GI41*$GM$35</f>
        <v>0</v>
      </c>
      <c r="GN41" s="51">
        <f>GL41*GM41</f>
        <v>0</v>
      </c>
      <c r="GO41" s="54"/>
      <c r="GP41" s="51">
        <f>GL41*$GP$35</f>
        <v>0</v>
      </c>
      <c r="GQ41" s="51">
        <f>GM41*$GQ$35</f>
        <v>0</v>
      </c>
      <c r="GR41" s="51">
        <f>GP41*GQ41</f>
        <v>0</v>
      </c>
      <c r="GS41" s="54"/>
      <c r="GT41" s="51">
        <f>GP41*$GT$35</f>
        <v>0</v>
      </c>
      <c r="GU41" s="51">
        <f>GQ41*$GU$35</f>
        <v>0</v>
      </c>
      <c r="GV41" s="51">
        <f>GT41*GU41</f>
        <v>0</v>
      </c>
      <c r="GW41" s="54"/>
      <c r="GX41" s="51">
        <f>GT41*$GX$35</f>
        <v>0</v>
      </c>
      <c r="GY41" s="51">
        <f>GU41*$GY$35</f>
        <v>0</v>
      </c>
      <c r="GZ41" s="51">
        <f>GX41*GY41</f>
        <v>0</v>
      </c>
      <c r="HA41" s="54"/>
      <c r="HB41" s="51">
        <f>GX41*$HB$35</f>
        <v>0</v>
      </c>
      <c r="HC41" s="51">
        <f>GY41*$HC$35</f>
        <v>0</v>
      </c>
      <c r="HD41" s="51">
        <f>HB41*HC41</f>
        <v>0</v>
      </c>
      <c r="HE41" s="54"/>
      <c r="HF41" s="51">
        <f>HB41*$HF$35</f>
        <v>0</v>
      </c>
      <c r="HG41" s="51">
        <f>HC41*$HG$35</f>
        <v>0</v>
      </c>
      <c r="HH41" s="51">
        <f>HF41*HG41</f>
        <v>0</v>
      </c>
      <c r="HI41" s="54"/>
      <c r="HJ41" s="51">
        <f>HF41*$HJ$35</f>
        <v>0</v>
      </c>
      <c r="HK41" s="51">
        <f>HG41*$HK$35</f>
        <v>0</v>
      </c>
      <c r="HL41" s="51">
        <f>HJ41*HK41</f>
        <v>0</v>
      </c>
      <c r="HM41" s="54"/>
      <c r="HN41" s="51">
        <f>HJ41*$HN$35</f>
        <v>0</v>
      </c>
      <c r="HO41" s="51">
        <f>HK41*$HO$35</f>
        <v>0</v>
      </c>
      <c r="HP41" s="51">
        <f>HN41*HO41</f>
        <v>0</v>
      </c>
      <c r="HQ41" s="54"/>
      <c r="HR41" s="51">
        <f>HN41*$HR$35</f>
        <v>0</v>
      </c>
      <c r="HS41" s="51">
        <f>HO41*$HS$35</f>
        <v>0</v>
      </c>
      <c r="HT41" s="51">
        <f>HR41*HS41</f>
        <v>0</v>
      </c>
      <c r="HU41" s="54"/>
      <c r="HV41" s="51">
        <f>HR41*$HV$35</f>
        <v>0</v>
      </c>
      <c r="HW41" s="51">
        <f>HS41*$HW$35</f>
        <v>0</v>
      </c>
      <c r="HX41" s="51">
        <f>HV41*HW41</f>
        <v>0</v>
      </c>
      <c r="HZ41" s="51">
        <f>HV41*$HZ$35</f>
        <v>0</v>
      </c>
      <c r="IA41" s="51">
        <f>HW41*$IA$35</f>
        <v>0</v>
      </c>
      <c r="IB41" s="51">
        <f>HZ41*IA41</f>
        <v>0</v>
      </c>
      <c r="IC41" s="54"/>
      <c r="ID41" s="51">
        <f>HZ41*$ID$35</f>
        <v>0</v>
      </c>
      <c r="IE41" s="51">
        <f>IA41*$IE$35</f>
        <v>0</v>
      </c>
      <c r="IF41" s="51">
        <f>ID41*IE41</f>
        <v>0</v>
      </c>
      <c r="IG41" s="54"/>
      <c r="IH41" s="51">
        <f>ID41*$IH$35</f>
        <v>0</v>
      </c>
      <c r="II41" s="51">
        <f>IE41*$II$35</f>
        <v>0</v>
      </c>
      <c r="IJ41" s="51">
        <f>IH41*II41</f>
        <v>0</v>
      </c>
      <c r="IK41" s="54"/>
      <c r="IL41" s="80">
        <f>SUMIFS($F41:$IK41,$F$3:$IK$3,IL$5,$F$6:$IK$6,IL$6)</f>
        <v>0</v>
      </c>
      <c r="IM41" s="80">
        <v>0</v>
      </c>
      <c r="IN41" s="80">
        <f>SUMIFS($F41:$IK41,$F$3:$IK$3,IL$5,$F$6:$IK$6,IN$6)</f>
        <v>0</v>
      </c>
      <c r="IP41" s="80">
        <f>SUMIFS($F41:$IK41,$F$3:$IK$3,IP$5,$F$6:$IK$6,IP$6)</f>
        <v>0</v>
      </c>
      <c r="IQ41" s="80">
        <v>0</v>
      </c>
      <c r="IR41" s="80">
        <f>SUMIFS($F41:$IK41,$F$3:$IK$3,IP$5,$F$6:$IK$6,IR$6)</f>
        <v>0</v>
      </c>
      <c r="IT41" s="80">
        <f>SUMIFS($F41:$IK41,$F$3:$IK$3,IT$5,$F$6:$IK$6,IT$6)</f>
        <v>0</v>
      </c>
      <c r="IU41" s="80">
        <v>0</v>
      </c>
      <c r="IV41" s="80">
        <f>SUMIFS($F41:$IK41,$F$3:$IK$3,IT$5,$F$6:$IK$6,IV$6)</f>
        <v>0</v>
      </c>
      <c r="IX41" s="80">
        <f>SUMIFS($F41:$IK41,$F$3:$IK$3,IX$5,$F$6:$IK$6,IX$6)</f>
        <v>0</v>
      </c>
      <c r="IY41" s="80">
        <v>0</v>
      </c>
      <c r="IZ41" s="80">
        <f>SUMIFS($F41:$IK41,$F$3:$IK$3,IX$5,$F$6:$IK$6,IZ$6)</f>
        <v>0</v>
      </c>
      <c r="JB41" s="80">
        <f>SUMIFS($F41:$IK41,$F$3:$IK$3,JB$5,$F$6:$IK$6,JB$6)</f>
        <v>0</v>
      </c>
      <c r="JC41" s="80">
        <v>0</v>
      </c>
      <c r="JD41" s="80">
        <f>SUMIFS($F41:$IK41,$F$3:$IK$3,JB$5,$F$6:$IK$6,JD$6)</f>
        <v>0</v>
      </c>
      <c r="JF41" s="80">
        <f>SUMIFS($F41:$IK41,$F$3:$IK$3,JF$5,$F$6:$IK$6,JF$6)</f>
        <v>0</v>
      </c>
      <c r="JG41" s="80">
        <v>0</v>
      </c>
      <c r="JH41" s="80">
        <f>SUMIFS($F41:$IK41,$F$3:$IK$3,JF$5,$F$6:$IK$6,JH$6)</f>
        <v>0</v>
      </c>
    </row>
    <row r="42" ht="18.75" customHeight="1" spans="2:268" x14ac:dyDescent="0.25">
      <c r="B42" s="34" t="s">
        <v>58</v>
      </c>
      <c r="C42" s="34"/>
      <c r="D42" s="34"/>
      <c r="E42" s="30"/>
      <c r="F42" s="81">
        <f>SUM(F37:F41)</f>
        <v>0</v>
      </c>
      <c r="G42" s="81"/>
      <c r="H42" s="81">
        <f>SUM(H37:H41)</f>
        <v>0</v>
      </c>
      <c r="I42" s="81"/>
      <c r="J42" s="81">
        <f>SUM(J37:J41)</f>
        <v>0</v>
      </c>
      <c r="K42" s="81"/>
      <c r="L42" s="81">
        <f>SUM(L37:L41)</f>
        <v>0</v>
      </c>
      <c r="M42" s="81"/>
      <c r="N42" s="81">
        <f>SUM(N37:N41)</f>
        <v>0</v>
      </c>
      <c r="O42" s="81"/>
      <c r="P42" s="81">
        <f>SUM(P37:P41)</f>
        <v>0</v>
      </c>
      <c r="Q42" s="81"/>
      <c r="R42" s="81">
        <f>SUM(R37:R41)</f>
        <v>0</v>
      </c>
      <c r="S42" s="81"/>
      <c r="T42" s="81">
        <f>SUM(T37:T41)</f>
        <v>0</v>
      </c>
      <c r="U42" s="81"/>
      <c r="V42" s="81">
        <f>SUM(V37:V41)</f>
        <v>0</v>
      </c>
      <c r="W42" s="81"/>
      <c r="X42" s="81">
        <f>SUM(X37:X41)</f>
        <v>0</v>
      </c>
      <c r="Y42" s="81"/>
      <c r="Z42" s="81">
        <f>SUM(Z37:Z41)</f>
        <v>0</v>
      </c>
      <c r="AA42" s="81"/>
      <c r="AB42" s="81">
        <f>SUM(AB37:AB41)</f>
        <v>0</v>
      </c>
      <c r="AC42" s="81"/>
      <c r="AD42" s="81">
        <f>SUM(AD37:AD41)</f>
        <v>0</v>
      </c>
      <c r="AE42" s="81"/>
      <c r="AF42" s="81">
        <f>SUM(AF37:AF41)</f>
        <v>0</v>
      </c>
      <c r="AG42" s="81"/>
      <c r="AH42" s="81">
        <f>SUM(AH37:AH41)</f>
        <v>0</v>
      </c>
      <c r="AI42" s="81"/>
      <c r="AJ42" s="81">
        <f>SUM(AJ37:AJ41)</f>
        <v>0</v>
      </c>
      <c r="AK42" s="81"/>
      <c r="AL42" s="81">
        <f>SUM(AL37:AL41)</f>
        <v>0</v>
      </c>
      <c r="AM42" s="81"/>
      <c r="AN42" s="81">
        <f>SUM(AN37:AN41)</f>
        <v>0</v>
      </c>
      <c r="AO42" s="81"/>
      <c r="AP42" s="81">
        <f>SUM(AP37:AP41)</f>
        <v>0</v>
      </c>
      <c r="AQ42" s="81"/>
      <c r="AR42" s="81">
        <f>SUM(AR37:AR41)</f>
        <v>0</v>
      </c>
      <c r="AS42" s="81"/>
      <c r="AT42" s="81">
        <f>SUM(AT37:AT41)</f>
        <v>0</v>
      </c>
      <c r="AU42" s="81"/>
      <c r="AV42" s="81">
        <f>SUM(AV37:AV41)</f>
        <v>0</v>
      </c>
      <c r="AW42" s="81"/>
      <c r="AX42" s="81">
        <f>SUM(AX37:AX41)</f>
        <v>0</v>
      </c>
      <c r="AY42" s="81"/>
      <c r="AZ42" s="81">
        <f>SUM(AZ37:AZ41)</f>
        <v>0</v>
      </c>
      <c r="BA42" s="81"/>
      <c r="BB42" s="81">
        <f>SUM(BB37:BB41)</f>
        <v>0</v>
      </c>
      <c r="BC42" s="81"/>
      <c r="BD42" s="81">
        <f>SUM(BD37:BD41)</f>
        <v>0</v>
      </c>
      <c r="BE42" s="81"/>
      <c r="BF42" s="81">
        <f>SUM(BF37:BF41)</f>
        <v>0</v>
      </c>
      <c r="BG42" s="81"/>
      <c r="BH42" s="81">
        <f>SUM(BH37:BH41)</f>
        <v>0</v>
      </c>
      <c r="BI42" s="81"/>
      <c r="BJ42" s="81">
        <f>SUM(BJ37:BJ41)</f>
        <v>0</v>
      </c>
      <c r="BK42" s="81"/>
      <c r="BL42" s="81">
        <f>SUM(BL37:BL41)</f>
        <v>0</v>
      </c>
      <c r="BM42" s="81"/>
      <c r="BN42" s="81">
        <f>SUM(BN37:BN41)</f>
        <v>0</v>
      </c>
      <c r="BO42" s="81"/>
      <c r="BP42" s="81">
        <f>SUM(BP37:BP41)</f>
        <v>0</v>
      </c>
      <c r="BQ42" s="81"/>
      <c r="BR42" s="81">
        <f>SUM(BR37:BR41)</f>
        <v>0</v>
      </c>
      <c r="BS42" s="81"/>
      <c r="BT42" s="81">
        <f>SUM(BT37:BT41)</f>
        <v>0</v>
      </c>
      <c r="BU42" s="81"/>
      <c r="BV42" s="81">
        <f>SUM(BV37:BV41)</f>
        <v>0</v>
      </c>
      <c r="BW42" s="81"/>
      <c r="BX42" s="81">
        <f>SUM(BX37:BX41)</f>
        <v>0</v>
      </c>
      <c r="BY42" s="81"/>
      <c r="BZ42" s="81">
        <f>SUM(BZ37:BZ41)</f>
        <v>0</v>
      </c>
      <c r="CA42" s="81"/>
      <c r="CB42" s="81">
        <f>SUM(CB37:CB41)</f>
        <v>0</v>
      </c>
      <c r="CC42" s="81"/>
      <c r="CD42" s="81">
        <f>SUM(CD37:CD41)</f>
        <v>0</v>
      </c>
      <c r="CE42" s="81"/>
      <c r="CF42" s="81">
        <f>SUM(CF37:CF41)</f>
        <v>0</v>
      </c>
      <c r="CG42" s="81"/>
      <c r="CH42" s="81">
        <f>SUM(CH37:CH41)</f>
        <v>0</v>
      </c>
      <c r="CI42" s="81"/>
      <c r="CJ42" s="81">
        <f>SUM(CJ37:CJ41)</f>
        <v>0</v>
      </c>
      <c r="CK42" s="81"/>
      <c r="CL42" s="81">
        <f>SUM(CL37:CL41)</f>
        <v>0</v>
      </c>
      <c r="CM42" s="81"/>
      <c r="CN42" s="81">
        <f>SUM(CN37:CN41)</f>
        <v>0</v>
      </c>
      <c r="CO42" s="81"/>
      <c r="CP42" s="81">
        <f>SUM(CP37:CP41)</f>
        <v>0</v>
      </c>
      <c r="CQ42" s="81"/>
      <c r="CR42" s="81">
        <f>SUM(CR37:CR41)</f>
        <v>0</v>
      </c>
      <c r="CS42" s="81"/>
      <c r="CT42" s="81">
        <f>SUM(CT37:CT41)</f>
        <v>0</v>
      </c>
      <c r="CU42" s="81"/>
      <c r="CV42" s="81">
        <f>SUM(CV37:CV41)</f>
        <v>0</v>
      </c>
      <c r="CW42" s="81"/>
      <c r="CX42" s="81">
        <f>SUM(CX37:CX41)</f>
        <v>0</v>
      </c>
      <c r="CY42" s="81"/>
      <c r="CZ42" s="81">
        <f>SUM(CZ37:CZ41)</f>
        <v>0</v>
      </c>
      <c r="DA42" s="81"/>
      <c r="DB42" s="81">
        <f>SUM(DB37:DB41)</f>
        <v>0</v>
      </c>
      <c r="DC42" s="81"/>
      <c r="DD42" s="81">
        <f>SUM(DD37:DD41)</f>
        <v>0</v>
      </c>
      <c r="DE42" s="81"/>
      <c r="DF42" s="81">
        <f>SUM(DF37:DF41)</f>
        <v>0</v>
      </c>
      <c r="DG42" s="81"/>
      <c r="DH42" s="81">
        <f>SUM(DH37:DH41)</f>
        <v>0</v>
      </c>
      <c r="DI42" s="81"/>
      <c r="DJ42" s="81">
        <f>SUM(DJ37:DJ41)</f>
        <v>0</v>
      </c>
      <c r="DK42" s="81"/>
      <c r="DL42" s="81">
        <f>SUM(DL37:DL41)</f>
        <v>0</v>
      </c>
      <c r="DM42" s="81"/>
      <c r="DN42" s="81">
        <f>SUM(DN37:DN41)</f>
        <v>0</v>
      </c>
      <c r="DO42" s="81"/>
      <c r="DP42" s="81">
        <f>SUM(DP37:DP41)</f>
        <v>0</v>
      </c>
      <c r="DQ42" s="81"/>
      <c r="DR42" s="81">
        <f>SUM(DR37:DR41)</f>
        <v>0</v>
      </c>
      <c r="DS42" s="81"/>
      <c r="DT42" s="81">
        <f>SUM(DT37:DT41)</f>
        <v>0</v>
      </c>
      <c r="DU42" s="81"/>
      <c r="DV42" s="81">
        <f>SUM(DV37:DV41)</f>
        <v>0</v>
      </c>
      <c r="DW42" s="81"/>
      <c r="DX42" s="81">
        <f>SUM(DX37:DX41)</f>
        <v>0</v>
      </c>
      <c r="DY42" s="81"/>
      <c r="DZ42" s="81">
        <f>SUM(DZ37:DZ41)</f>
        <v>0</v>
      </c>
      <c r="EA42" s="81"/>
      <c r="EB42" s="81">
        <f>SUM(EB37:EB41)</f>
        <v>0</v>
      </c>
      <c r="EC42" s="81"/>
      <c r="ED42" s="81">
        <f>SUM(ED37:ED41)</f>
        <v>0</v>
      </c>
      <c r="EE42" s="81"/>
      <c r="EF42" s="81">
        <f>SUM(EF37:EF41)</f>
        <v>0</v>
      </c>
      <c r="EG42" s="81"/>
      <c r="EH42" s="81">
        <f>SUM(EH37:EH41)</f>
        <v>0</v>
      </c>
      <c r="EI42" s="81"/>
      <c r="EJ42" s="81">
        <f>SUM(EJ37:EJ41)</f>
        <v>0</v>
      </c>
      <c r="EK42" s="81"/>
      <c r="EL42" s="81">
        <f>SUM(EL37:EL41)</f>
        <v>0</v>
      </c>
      <c r="EM42" s="81"/>
      <c r="EN42" s="81">
        <f>SUM(EN37:EN41)</f>
        <v>0</v>
      </c>
      <c r="EO42" s="81"/>
      <c r="EP42" s="81">
        <f>SUM(EP37:EP41)</f>
        <v>0</v>
      </c>
      <c r="EQ42" s="81"/>
      <c r="ER42" s="81">
        <f>SUM(ER37:ER41)</f>
        <v>0</v>
      </c>
      <c r="ES42" s="81"/>
      <c r="ET42" s="81">
        <f>SUM(ET37:ET41)</f>
        <v>0</v>
      </c>
      <c r="EU42" s="81"/>
      <c r="EV42" s="81">
        <f>SUM(EV37:EV41)</f>
        <v>0</v>
      </c>
      <c r="EW42" s="81"/>
      <c r="EX42" s="81">
        <f>SUM(EX37:EX41)</f>
        <v>0</v>
      </c>
      <c r="EY42" s="81"/>
      <c r="EZ42" s="81">
        <f>SUM(EZ37:EZ41)</f>
        <v>0</v>
      </c>
      <c r="FA42" s="81"/>
      <c r="FB42" s="81">
        <f>SUM(FB37:FB41)</f>
        <v>0</v>
      </c>
      <c r="FC42" s="81"/>
      <c r="FD42" s="81">
        <f>SUM(FD37:FD41)</f>
        <v>0</v>
      </c>
      <c r="FE42" s="81"/>
      <c r="FF42" s="81">
        <f>SUM(FF37:FF41)</f>
        <v>0</v>
      </c>
      <c r="FG42" s="81"/>
      <c r="FH42" s="81">
        <f>SUM(FH37:FH41)</f>
        <v>0</v>
      </c>
      <c r="FI42" s="81"/>
      <c r="FJ42" s="81">
        <f>SUM(FJ37:FJ41)</f>
        <v>0</v>
      </c>
      <c r="FK42" s="81"/>
      <c r="FL42" s="81">
        <f>SUM(FL37:FL41)</f>
        <v>0</v>
      </c>
      <c r="FM42" s="81"/>
      <c r="FN42" s="81">
        <f>SUM(FN37:FN41)</f>
        <v>0</v>
      </c>
      <c r="FO42" s="81"/>
      <c r="FP42" s="81">
        <f>SUM(FP37:FP41)</f>
        <v>0</v>
      </c>
      <c r="FQ42" s="81"/>
      <c r="FR42" s="81">
        <f>SUM(FR37:FR41)</f>
        <v>0</v>
      </c>
      <c r="FS42" s="81"/>
      <c r="FT42" s="81">
        <f>SUM(FT37:FT41)</f>
        <v>0</v>
      </c>
      <c r="FU42" s="81"/>
      <c r="FV42" s="81">
        <f>SUM(FV37:FV41)</f>
        <v>0</v>
      </c>
      <c r="FW42" s="81"/>
      <c r="FX42" s="81">
        <f>SUM(FX37:FX41)</f>
        <v>0</v>
      </c>
      <c r="FY42" s="81"/>
      <c r="FZ42" s="81">
        <f>SUM(FZ37:FZ41)</f>
        <v>0</v>
      </c>
      <c r="GA42" s="81"/>
      <c r="GB42" s="81">
        <f>SUM(GB37:GB41)</f>
        <v>0</v>
      </c>
      <c r="GC42" s="9"/>
      <c r="GD42" s="81">
        <f>SUM(GD37:GD41)</f>
        <v>0</v>
      </c>
      <c r="GE42" s="81"/>
      <c r="GF42" s="81">
        <f>SUM(GF37:GF41)</f>
        <v>0</v>
      </c>
      <c r="GG42" s="81"/>
      <c r="GH42" s="81">
        <f>SUM(GH37:GH41)</f>
        <v>0</v>
      </c>
      <c r="GI42" s="81"/>
      <c r="GJ42" s="81">
        <f>SUM(GJ37:GJ41)</f>
        <v>0</v>
      </c>
      <c r="GK42" s="81"/>
      <c r="GL42" s="81">
        <f>SUM(GL37:GL41)</f>
        <v>0</v>
      </c>
      <c r="GM42" s="81"/>
      <c r="GN42" s="81">
        <f>SUM(GN37:GN41)</f>
        <v>0</v>
      </c>
      <c r="GO42" s="81"/>
      <c r="GP42" s="81">
        <f>SUM(GP37:GP41)</f>
        <v>0</v>
      </c>
      <c r="GQ42" s="81"/>
      <c r="GR42" s="81">
        <f>SUM(GR37:GR41)</f>
        <v>0</v>
      </c>
      <c r="GS42" s="81"/>
      <c r="GT42" s="81">
        <f>SUM(GT37:GT41)</f>
        <v>0</v>
      </c>
      <c r="GU42" s="81"/>
      <c r="GV42" s="81">
        <f>SUM(GV37:GV41)</f>
        <v>0</v>
      </c>
      <c r="GW42" s="81"/>
      <c r="GX42" s="81">
        <f>SUM(GX37:GX41)</f>
        <v>0</v>
      </c>
      <c r="GY42" s="81"/>
      <c r="GZ42" s="81">
        <f>SUM(GZ37:GZ41)</f>
        <v>0</v>
      </c>
      <c r="HA42" s="81"/>
      <c r="HB42" s="81">
        <f>SUM(HB37:HB41)</f>
        <v>0</v>
      </c>
      <c r="HC42" s="81"/>
      <c r="HD42" s="81">
        <f>SUM(HD37:HD41)</f>
        <v>0</v>
      </c>
      <c r="HE42" s="81"/>
      <c r="HF42" s="81">
        <f>SUM(HF37:HF41)</f>
        <v>0</v>
      </c>
      <c r="HG42" s="81"/>
      <c r="HH42" s="81">
        <f>SUM(HH37:HH41)</f>
        <v>0</v>
      </c>
      <c r="HI42" s="81"/>
      <c r="HJ42" s="81">
        <f>SUM(HJ37:HJ41)</f>
        <v>0</v>
      </c>
      <c r="HK42" s="81"/>
      <c r="HL42" s="81">
        <f>SUM(HL37:HL41)</f>
        <v>0</v>
      </c>
      <c r="HM42" s="81"/>
      <c r="HN42" s="81">
        <f>SUM(HN37:HN41)</f>
        <v>0</v>
      </c>
      <c r="HO42" s="81"/>
      <c r="HP42" s="81">
        <f>SUM(HP37:HP41)</f>
        <v>0</v>
      </c>
      <c r="HQ42" s="81"/>
      <c r="HR42" s="81">
        <f>SUM(HR37:HR41)</f>
        <v>0</v>
      </c>
      <c r="HS42" s="81"/>
      <c r="HT42" s="81">
        <f>SUM(HT37:HT41)</f>
        <v>0</v>
      </c>
      <c r="HU42" s="81"/>
      <c r="HV42" s="81">
        <f>SUM(HV37:HV41)</f>
        <v>0</v>
      </c>
      <c r="HW42" s="81"/>
      <c r="HX42" s="81">
        <f>SUM(HX37:HX41)</f>
        <v>0</v>
      </c>
      <c r="HY42" s="9"/>
      <c r="HZ42" s="81">
        <f>SUM(HZ37:HZ41)</f>
        <v>0</v>
      </c>
      <c r="IA42" s="81"/>
      <c r="IB42" s="81">
        <f>SUM(IB37:IB41)</f>
        <v>0</v>
      </c>
      <c r="IC42" s="81"/>
      <c r="ID42" s="81">
        <f>SUM(ID37:ID41)</f>
        <v>0</v>
      </c>
      <c r="IE42" s="81"/>
      <c r="IF42" s="81">
        <f>SUM(IF37:IF41)</f>
        <v>0</v>
      </c>
      <c r="IG42" s="81"/>
      <c r="IH42" s="81">
        <f>SUM(IH37:IH41)</f>
        <v>0</v>
      </c>
      <c r="II42" s="81"/>
      <c r="IJ42" s="81">
        <f>SUM(IJ37:IJ41)</f>
        <v>0</v>
      </c>
      <c r="IK42" s="81"/>
      <c r="IL42" s="81">
        <f>SUM(IL37:IL41)</f>
        <v>0</v>
      </c>
      <c r="IM42" s="81"/>
      <c r="IN42" s="80">
        <f>SUM(IN37:IN41)</f>
        <v>0</v>
      </c>
      <c r="IP42" s="81">
        <f>SUM(IP37:IP41)</f>
        <v>0</v>
      </c>
      <c r="IQ42" s="81"/>
      <c r="IR42" s="80">
        <f>SUM(IR37:IR41)</f>
        <v>0</v>
      </c>
      <c r="IT42" s="81">
        <f>SUM(IT37:IT41)</f>
        <v>0</v>
      </c>
      <c r="IU42" s="81"/>
      <c r="IV42" s="80">
        <f>SUM(IV37:IV41)</f>
        <v>0</v>
      </c>
      <c r="IX42" s="81">
        <f>SUM(IX37:IX41)</f>
        <v>0</v>
      </c>
      <c r="IY42" s="81"/>
      <c r="IZ42" s="80">
        <f>SUM(IZ37:IZ41)</f>
        <v>0</v>
      </c>
      <c r="JB42" s="81">
        <f>SUM(JB37:JB41)</f>
        <v>0</v>
      </c>
      <c r="JC42" s="81"/>
      <c r="JD42" s="80">
        <f>SUM(JD37:JD41)</f>
        <v>0</v>
      </c>
      <c r="JF42" s="81">
        <f>SUM(JF37:JF41)</f>
        <v>0</v>
      </c>
      <c r="JG42" s="81"/>
      <c r="JH42" s="80">
        <f>SUM(JH37:JH41)</f>
        <v>0</v>
      </c>
    </row>
    <row r="43" ht="9.75" customHeight="1" spans="2:268" x14ac:dyDescent="0.25">
      <c r="B43" s="9"/>
      <c r="C43" s="28"/>
      <c r="D43" s="30"/>
      <c r="E43" s="30"/>
      <c r="F43" s="54"/>
      <c r="G43" s="54"/>
      <c r="H43" s="54"/>
      <c r="I43" s="54"/>
      <c r="J43" s="54"/>
      <c r="K43" s="54"/>
      <c r="L43" s="54"/>
      <c r="M43" s="54"/>
      <c r="N43" s="54"/>
      <c r="O43" s="54"/>
      <c r="P43" s="54"/>
      <c r="Q43" s="54"/>
      <c r="R43" s="54"/>
      <c r="S43" s="54"/>
      <c r="T43" s="54"/>
      <c r="U43" s="54"/>
      <c r="V43" s="54"/>
      <c r="W43" s="54"/>
      <c r="X43" s="54"/>
      <c r="Y43" s="54"/>
      <c r="Z43" s="54"/>
      <c r="AA43" s="54"/>
      <c r="AB43" s="54"/>
      <c r="AC43" s="54"/>
      <c r="AD43" s="54"/>
      <c r="AE43" s="54"/>
      <c r="AF43" s="54"/>
      <c r="AG43" s="54"/>
      <c r="AH43" s="54"/>
      <c r="AI43" s="54"/>
      <c r="AJ43" s="54"/>
      <c r="AK43" s="54"/>
      <c r="AL43" s="54"/>
      <c r="AM43" s="54"/>
      <c r="AN43" s="54"/>
      <c r="AO43" s="54"/>
      <c r="AP43" s="54"/>
      <c r="AQ43" s="54"/>
      <c r="AR43" s="54"/>
      <c r="AS43" s="54"/>
      <c r="AT43" s="54"/>
      <c r="AU43" s="54"/>
      <c r="AV43" s="54"/>
      <c r="AW43" s="54"/>
      <c r="AX43" s="54"/>
      <c r="AY43" s="54"/>
      <c r="AZ43" s="54"/>
      <c r="BA43" s="54"/>
      <c r="BB43" s="54"/>
      <c r="BC43" s="54"/>
      <c r="BD43" s="54"/>
      <c r="BE43" s="54"/>
      <c r="BF43" s="54"/>
      <c r="BG43" s="54"/>
      <c r="BH43" s="54"/>
      <c r="BI43" s="54"/>
      <c r="BJ43" s="54"/>
      <c r="BK43" s="54"/>
      <c r="BL43" s="54"/>
      <c r="BM43" s="54"/>
      <c r="BN43" s="54"/>
      <c r="BO43" s="54"/>
      <c r="BP43" s="54"/>
      <c r="BQ43" s="54"/>
      <c r="BR43" s="54"/>
      <c r="BS43" s="54"/>
      <c r="BT43" s="54"/>
      <c r="BU43" s="54"/>
      <c r="BV43" s="54"/>
      <c r="BW43" s="54"/>
      <c r="BX43" s="54"/>
      <c r="BY43" s="54"/>
      <c r="BZ43" s="54"/>
      <c r="CA43" s="54"/>
      <c r="CB43" s="54"/>
      <c r="CC43" s="54"/>
      <c r="CD43" s="54"/>
      <c r="CE43" s="54"/>
      <c r="CF43" s="54"/>
      <c r="CG43" s="54"/>
      <c r="CH43" s="54"/>
      <c r="CI43" s="54"/>
      <c r="CJ43" s="54"/>
      <c r="CK43" s="54"/>
      <c r="CL43" s="54"/>
      <c r="CM43" s="54"/>
      <c r="CN43" s="54"/>
      <c r="CO43" s="54"/>
      <c r="CP43" s="54"/>
      <c r="CQ43" s="54"/>
      <c r="CR43" s="54"/>
      <c r="CS43" s="54"/>
      <c r="CT43" s="54"/>
      <c r="CU43" s="54"/>
      <c r="CV43" s="54"/>
      <c r="CW43" s="54"/>
      <c r="CX43" s="54"/>
      <c r="CY43" s="54"/>
      <c r="CZ43" s="54"/>
      <c r="DA43" s="54"/>
      <c r="DB43" s="54"/>
      <c r="DC43" s="54"/>
      <c r="DD43" s="54"/>
      <c r="DE43" s="54"/>
      <c r="DF43" s="54"/>
      <c r="DG43" s="54"/>
      <c r="DH43" s="54"/>
      <c r="DI43" s="54"/>
      <c r="DJ43" s="54"/>
      <c r="DK43" s="54"/>
      <c r="DL43" s="54"/>
      <c r="DM43" s="54"/>
      <c r="DN43" s="54"/>
      <c r="DO43" s="54"/>
      <c r="DP43" s="54"/>
      <c r="DQ43" s="54"/>
      <c r="DR43" s="54"/>
      <c r="DS43" s="54"/>
      <c r="DT43" s="54"/>
      <c r="DU43" s="54"/>
      <c r="DV43" s="54"/>
      <c r="DW43" s="54"/>
      <c r="DX43" s="54"/>
      <c r="DY43" s="54"/>
      <c r="DZ43" s="54"/>
      <c r="EA43" s="54"/>
      <c r="EB43" s="54"/>
      <c r="EC43" s="54"/>
      <c r="ED43" s="54"/>
      <c r="EE43" s="54"/>
      <c r="EF43" s="54"/>
      <c r="EG43" s="54"/>
      <c r="EH43" s="54"/>
      <c r="EI43" s="54"/>
      <c r="EJ43" s="54"/>
      <c r="EK43" s="54"/>
      <c r="EL43" s="54"/>
      <c r="EM43" s="54"/>
      <c r="EN43" s="54"/>
      <c r="EO43" s="54"/>
      <c r="EP43" s="54"/>
      <c r="EQ43" s="54"/>
      <c r="ER43" s="54"/>
      <c r="ES43" s="54"/>
      <c r="ET43" s="54"/>
      <c r="EU43" s="54"/>
      <c r="EV43" s="54"/>
      <c r="EW43" s="54"/>
      <c r="EX43" s="54"/>
      <c r="EY43" s="54"/>
      <c r="EZ43" s="54"/>
      <c r="FA43" s="54"/>
      <c r="FB43" s="54"/>
      <c r="FC43" s="54"/>
      <c r="FD43" s="54"/>
      <c r="FE43" s="54"/>
      <c r="FF43" s="54"/>
      <c r="FG43" s="54"/>
      <c r="FH43" s="54"/>
      <c r="FI43" s="54"/>
      <c r="FJ43" s="54"/>
      <c r="FK43" s="54"/>
      <c r="FL43" s="54"/>
      <c r="FM43" s="54"/>
      <c r="FN43" s="54"/>
      <c r="FO43" s="54"/>
      <c r="FP43" s="54"/>
      <c r="FQ43" s="54"/>
      <c r="FR43" s="54"/>
      <c r="FS43" s="54"/>
      <c r="FT43" s="54"/>
      <c r="FU43" s="54"/>
      <c r="FV43" s="54"/>
      <c r="FW43" s="54"/>
      <c r="FX43" s="54"/>
      <c r="FY43" s="54"/>
      <c r="FZ43" s="54"/>
      <c r="GA43" s="54"/>
      <c r="GB43" s="54"/>
      <c r="GD43" s="54"/>
      <c r="GE43" s="54"/>
      <c r="GF43" s="54"/>
      <c r="GG43" s="54"/>
      <c r="GH43" s="54"/>
      <c r="GI43" s="54"/>
      <c r="GJ43" s="54"/>
      <c r="GK43" s="54"/>
      <c r="GL43" s="54"/>
      <c r="GM43" s="54"/>
      <c r="GN43" s="54"/>
      <c r="GO43" s="54"/>
      <c r="GP43" s="54"/>
      <c r="GQ43" s="54"/>
      <c r="GR43" s="54"/>
      <c r="GS43" s="54"/>
      <c r="GT43" s="54"/>
      <c r="GU43" s="54"/>
      <c r="GV43" s="54"/>
      <c r="GW43" s="54"/>
      <c r="GX43" s="54"/>
      <c r="GY43" s="54"/>
      <c r="GZ43" s="54"/>
      <c r="HA43" s="54"/>
      <c r="HB43" s="54"/>
      <c r="HC43" s="54"/>
      <c r="HD43" s="54"/>
      <c r="HE43" s="54"/>
      <c r="HF43" s="54"/>
      <c r="HG43" s="54"/>
      <c r="HH43" s="54"/>
      <c r="HI43" s="54"/>
      <c r="HJ43" s="54"/>
      <c r="HK43" s="54"/>
      <c r="HL43" s="54"/>
      <c r="HM43" s="54"/>
      <c r="HN43" s="54"/>
      <c r="HO43" s="54"/>
      <c r="HP43" s="54"/>
      <c r="HQ43" s="54"/>
      <c r="HR43" s="54"/>
      <c r="HS43" s="54"/>
      <c r="HT43" s="54"/>
      <c r="HU43" s="54"/>
      <c r="HV43" s="54"/>
      <c r="HW43" s="54"/>
      <c r="HX43" s="54"/>
      <c r="HZ43" s="54"/>
      <c r="IA43" s="54"/>
      <c r="IB43" s="54"/>
      <c r="IC43" s="54"/>
      <c r="ID43" s="54"/>
      <c r="IE43" s="54"/>
      <c r="IF43" s="54"/>
      <c r="IG43" s="54"/>
      <c r="IH43" s="54"/>
      <c r="II43" s="54"/>
      <c r="IJ43" s="54"/>
      <c r="IK43" s="54"/>
      <c r="IL43" s="54"/>
      <c r="IM43" s="54"/>
      <c r="IN43" s="54"/>
      <c r="IP43" s="54"/>
      <c r="IQ43" s="54"/>
      <c r="IR43" s="54"/>
      <c r="IT43" s="54"/>
      <c r="IU43" s="54"/>
      <c r="IV43" s="54"/>
      <c r="IX43" s="54"/>
      <c r="IY43" s="54"/>
      <c r="IZ43" s="54"/>
      <c r="JB43" s="54"/>
      <c r="JC43" s="54"/>
      <c r="JD43" s="54"/>
      <c r="JF43" s="54"/>
      <c r="JG43" s="54"/>
      <c r="JH43" s="54"/>
    </row>
    <row r="44" ht="18.75" customHeight="1" spans="2:268" x14ac:dyDescent="0.25">
      <c r="B44" s="9"/>
      <c r="C44" s="28"/>
      <c r="D44" s="28"/>
      <c r="E44" s="28"/>
      <c r="F44" s="28"/>
      <c r="J44" s="78">
        <f>'A.I Revenue Streams - P1'!K46+100%</f>
        <v>1</v>
      </c>
      <c r="K44" s="78">
        <f>$K$8</f>
        <v>1</v>
      </c>
      <c r="L44" s="77"/>
      <c r="M44" s="77"/>
      <c r="N44" s="78">
        <v>1</v>
      </c>
      <c r="O44" s="78">
        <v>1</v>
      </c>
      <c r="P44" s="77"/>
      <c r="Q44" s="77"/>
      <c r="R44" s="78">
        <f>N44</f>
        <v>1</v>
      </c>
      <c r="S44" s="78">
        <v>1</v>
      </c>
      <c r="T44" s="77"/>
      <c r="U44" s="77"/>
      <c r="V44" s="78">
        <f>R44</f>
        <v>1</v>
      </c>
      <c r="W44" s="78">
        <v>1</v>
      </c>
      <c r="X44" s="77"/>
      <c r="Y44" s="77"/>
      <c r="Z44" s="78">
        <f>V44</f>
        <v>1</v>
      </c>
      <c r="AA44" s="78">
        <v>1</v>
      </c>
      <c r="AB44" s="77"/>
      <c r="AC44" s="77"/>
      <c r="AD44" s="78">
        <f>Z44</f>
        <v>1</v>
      </c>
      <c r="AE44" s="78">
        <v>1</v>
      </c>
      <c r="AF44" s="77"/>
      <c r="AG44" s="77"/>
      <c r="AH44" s="78">
        <f>AD44</f>
        <v>1</v>
      </c>
      <c r="AI44" s="78">
        <v>1</v>
      </c>
      <c r="AJ44" s="77"/>
      <c r="AK44" s="77"/>
      <c r="AL44" s="78">
        <f>AH44</f>
        <v>1</v>
      </c>
      <c r="AM44" s="78">
        <v>1</v>
      </c>
      <c r="AN44" s="77"/>
      <c r="AO44" s="54"/>
      <c r="AP44" s="78">
        <v>1</v>
      </c>
      <c r="AQ44" s="78">
        <v>1</v>
      </c>
      <c r="AR44" s="77"/>
      <c r="AT44" s="78">
        <f>AP44</f>
        <v>1</v>
      </c>
      <c r="AU44" s="78">
        <v>1</v>
      </c>
      <c r="AV44" s="77"/>
      <c r="AW44" s="77"/>
      <c r="AX44" s="78">
        <f>AT44</f>
        <v>1</v>
      </c>
      <c r="AY44" s="78">
        <v>1</v>
      </c>
      <c r="AZ44" s="77"/>
      <c r="BA44" s="77"/>
      <c r="BB44" s="79">
        <f>'A.I Revenue Streams - P1'!M46+100%</f>
        <v>1</v>
      </c>
      <c r="BC44" s="79">
        <v>1</v>
      </c>
      <c r="BD44" s="77"/>
      <c r="BE44" s="77"/>
      <c r="BF44" s="78">
        <v>1</v>
      </c>
      <c r="BG44" s="78">
        <v>1</v>
      </c>
      <c r="BH44" s="77"/>
      <c r="BI44" s="77"/>
      <c r="BJ44" s="78">
        <f>BF44</f>
        <v>1</v>
      </c>
      <c r="BK44" s="78">
        <v>1</v>
      </c>
      <c r="BL44" s="77"/>
      <c r="BM44" s="77"/>
      <c r="BN44" s="79">
        <f>BJ44</f>
        <v>1</v>
      </c>
      <c r="BO44" s="79">
        <v>1</v>
      </c>
      <c r="BP44" s="77"/>
      <c r="BQ44" s="77"/>
      <c r="BR44" s="78">
        <f>BN44</f>
        <v>1</v>
      </c>
      <c r="BS44" s="78">
        <v>1</v>
      </c>
      <c r="BT44" s="77"/>
      <c r="BU44" s="77"/>
      <c r="BV44" s="78">
        <f>BR44</f>
        <v>1</v>
      </c>
      <c r="BW44" s="78">
        <v>1</v>
      </c>
      <c r="BX44" s="77"/>
      <c r="BY44" s="77"/>
      <c r="BZ44" s="78">
        <f>BV44</f>
        <v>1</v>
      </c>
      <c r="CA44" s="78">
        <v>1</v>
      </c>
      <c r="CB44" s="77"/>
      <c r="CC44" s="77"/>
      <c r="CD44" s="78">
        <f>BZ44</f>
        <v>1</v>
      </c>
      <c r="CE44" s="78">
        <v>1</v>
      </c>
      <c r="CF44" s="77"/>
      <c r="CG44" s="77"/>
      <c r="CH44" s="79">
        <f>CD44</f>
        <v>1</v>
      </c>
      <c r="CI44" s="79">
        <v>1</v>
      </c>
      <c r="CJ44" s="77"/>
      <c r="CK44" s="77"/>
      <c r="CL44" s="78">
        <v>1</v>
      </c>
      <c r="CM44" s="78">
        <v>1</v>
      </c>
      <c r="CN44" s="77"/>
      <c r="CP44" s="78">
        <v>1</v>
      </c>
      <c r="CQ44" s="78">
        <v>1</v>
      </c>
      <c r="CR44" s="77"/>
      <c r="CS44" s="77"/>
      <c r="CT44" s="78">
        <f>CP44</f>
        <v>1</v>
      </c>
      <c r="CU44" s="78">
        <v>1</v>
      </c>
      <c r="CV44" s="77"/>
      <c r="CW44" s="77"/>
      <c r="CX44" s="79">
        <f>'A.I Revenue Streams - P1'!O46+100%</f>
        <v>2.23</v>
      </c>
      <c r="CY44" s="79">
        <v>1</v>
      </c>
      <c r="CZ44" s="77"/>
      <c r="DA44" s="77"/>
      <c r="DB44" s="78">
        <v>1</v>
      </c>
      <c r="DC44" s="78">
        <v>1</v>
      </c>
      <c r="DD44" s="77"/>
      <c r="DE44" s="77"/>
      <c r="DF44" s="78">
        <f>DB44</f>
        <v>1</v>
      </c>
      <c r="DG44" s="78">
        <v>1</v>
      </c>
      <c r="DH44" s="77"/>
      <c r="DI44" s="77"/>
      <c r="DJ44" s="79">
        <f>DF44</f>
        <v>1</v>
      </c>
      <c r="DK44" s="79">
        <v>1</v>
      </c>
      <c r="DL44" s="77"/>
      <c r="DM44" s="77"/>
      <c r="DN44" s="78">
        <f>DJ44</f>
        <v>1</v>
      </c>
      <c r="DO44" s="78">
        <v>1</v>
      </c>
      <c r="DP44" s="77"/>
      <c r="DQ44" s="77"/>
      <c r="DR44" s="78">
        <f>DN44</f>
        <v>1</v>
      </c>
      <c r="DS44" s="78">
        <v>1</v>
      </c>
      <c r="DT44" s="77"/>
      <c r="DU44" s="77"/>
      <c r="DV44" s="78">
        <f>DR44</f>
        <v>1</v>
      </c>
      <c r="DW44" s="78">
        <v>1</v>
      </c>
      <c r="DX44" s="77"/>
      <c r="DY44" s="77"/>
      <c r="DZ44" s="78">
        <f>DV44</f>
        <v>1</v>
      </c>
      <c r="EA44" s="78">
        <v>1</v>
      </c>
      <c r="EB44" s="77"/>
      <c r="EC44" s="77"/>
      <c r="ED44" s="79">
        <f>DZ44</f>
        <v>1</v>
      </c>
      <c r="EE44" s="79">
        <v>1</v>
      </c>
      <c r="EF44" s="77"/>
      <c r="EG44" s="77"/>
      <c r="EH44" s="78">
        <v>1</v>
      </c>
      <c r="EI44" s="78">
        <v>1</v>
      </c>
      <c r="EJ44" s="77"/>
      <c r="EL44" s="78">
        <v>1</v>
      </c>
      <c r="EM44" s="78">
        <v>1</v>
      </c>
      <c r="EN44" s="77"/>
      <c r="EO44" s="77"/>
      <c r="EP44" s="78">
        <f>EL44</f>
        <v>1</v>
      </c>
      <c r="EQ44" s="78">
        <v>1</v>
      </c>
      <c r="ER44" s="77"/>
      <c r="ES44" s="77"/>
      <c r="ET44" s="79">
        <f>'A.I Revenue Streams - P1'!Q46+100%</f>
        <v>2.23</v>
      </c>
      <c r="EU44" s="79">
        <v>1</v>
      </c>
      <c r="EV44" s="77"/>
      <c r="EW44" s="77"/>
      <c r="EX44" s="78">
        <v>1</v>
      </c>
      <c r="EY44" s="78">
        <v>1</v>
      </c>
      <c r="EZ44" s="77"/>
      <c r="FA44" s="77"/>
      <c r="FB44" s="78">
        <f>EX44</f>
        <v>1</v>
      </c>
      <c r="FC44" s="78">
        <v>1</v>
      </c>
      <c r="FD44" s="77"/>
      <c r="FE44" s="77"/>
      <c r="FF44" s="79">
        <f>FB44</f>
        <v>1</v>
      </c>
      <c r="FG44" s="79">
        <v>1</v>
      </c>
      <c r="FH44" s="77"/>
      <c r="FI44" s="77"/>
      <c r="FJ44" s="78">
        <f>FF44</f>
        <v>1</v>
      </c>
      <c r="FK44" s="78">
        <v>1</v>
      </c>
      <c r="FL44" s="77"/>
      <c r="FM44" s="77"/>
      <c r="FN44" s="78">
        <f>FJ44</f>
        <v>1</v>
      </c>
      <c r="FO44" s="78">
        <v>1</v>
      </c>
      <c r="FP44" s="77"/>
      <c r="FQ44" s="77"/>
      <c r="FR44" s="78">
        <f>FN44</f>
        <v>1</v>
      </c>
      <c r="FS44" s="78">
        <v>1</v>
      </c>
      <c r="FT44" s="77"/>
      <c r="FU44" s="77"/>
      <c r="FV44" s="78">
        <f>FR44</f>
        <v>1</v>
      </c>
      <c r="FW44" s="78">
        <v>1</v>
      </c>
      <c r="FX44" s="77"/>
      <c r="FY44" s="77"/>
      <c r="FZ44" s="79">
        <f>FV44</f>
        <v>1</v>
      </c>
      <c r="GA44" s="79">
        <v>1</v>
      </c>
      <c r="GB44" s="77"/>
      <c r="GC44" s="28"/>
      <c r="GD44" s="78">
        <v>1</v>
      </c>
      <c r="GE44" s="78">
        <v>1</v>
      </c>
      <c r="GF44" s="77"/>
      <c r="GH44" s="78">
        <v>1</v>
      </c>
      <c r="GI44" s="78">
        <v>1</v>
      </c>
      <c r="GJ44" s="77"/>
      <c r="GK44" s="77"/>
      <c r="GL44" s="78">
        <f>GH44</f>
        <v>1</v>
      </c>
      <c r="GM44" s="78">
        <v>1</v>
      </c>
      <c r="GN44" s="77"/>
      <c r="GO44" s="77"/>
      <c r="GP44" s="79">
        <f>'A.I Revenue Streams - P1'!S46+100%</f>
        <v>1</v>
      </c>
      <c r="GQ44" s="79">
        <v>1</v>
      </c>
      <c r="GR44" s="77"/>
      <c r="GS44" s="77"/>
      <c r="GT44" s="78">
        <v>1</v>
      </c>
      <c r="GU44" s="78">
        <v>1</v>
      </c>
      <c r="GV44" s="77"/>
      <c r="GW44" s="77"/>
      <c r="GX44" s="78">
        <f>GT44</f>
        <v>1</v>
      </c>
      <c r="GY44" s="78">
        <v>1</v>
      </c>
      <c r="GZ44" s="77"/>
      <c r="HA44" s="77"/>
      <c r="HB44" s="79">
        <f>GX44</f>
        <v>1</v>
      </c>
      <c r="HC44" s="79">
        <v>1</v>
      </c>
      <c r="HD44" s="77"/>
      <c r="HE44" s="77"/>
      <c r="HF44" s="78">
        <f>HB44</f>
        <v>1</v>
      </c>
      <c r="HG44" s="78">
        <v>1</v>
      </c>
      <c r="HH44" s="77"/>
      <c r="HI44" s="77"/>
      <c r="HJ44" s="78">
        <f>HF44</f>
        <v>1</v>
      </c>
      <c r="HK44" s="78">
        <v>1</v>
      </c>
      <c r="HL44" s="77"/>
      <c r="HM44" s="77"/>
      <c r="HN44" s="78">
        <f>HJ44</f>
        <v>1</v>
      </c>
      <c r="HO44" s="78">
        <v>1</v>
      </c>
      <c r="HP44" s="77"/>
      <c r="HQ44" s="77"/>
      <c r="HR44" s="78">
        <f>HN44</f>
        <v>1</v>
      </c>
      <c r="HS44" s="78">
        <v>1</v>
      </c>
      <c r="HT44" s="77"/>
      <c r="HU44" s="77"/>
      <c r="HV44" s="79">
        <f>HR44</f>
        <v>1</v>
      </c>
      <c r="HW44" s="79">
        <v>1</v>
      </c>
      <c r="HX44" s="77"/>
      <c r="HY44" s="28"/>
      <c r="HZ44" s="78">
        <v>1</v>
      </c>
      <c r="IA44" s="78">
        <v>1</v>
      </c>
      <c r="IB44" s="77"/>
      <c r="ID44" s="78">
        <v>1</v>
      </c>
      <c r="IE44" s="78">
        <v>1</v>
      </c>
      <c r="IF44" s="77"/>
      <c r="IG44" s="77"/>
      <c r="IH44" s="78">
        <f>ID44</f>
        <v>1</v>
      </c>
      <c r="II44" s="78">
        <v>1</v>
      </c>
      <c r="IJ44" s="77"/>
      <c r="IK44" s="77"/>
      <c r="IL44" s="78">
        <f>'A.I Revenue Streams - P2'!DI46+100%</f>
        <v>1</v>
      </c>
      <c r="IM44" s="78">
        <v>1</v>
      </c>
      <c r="IN44" s="54"/>
      <c r="IP44" s="78">
        <f>'A.I Revenue Streams - P2'!DM46+100%</f>
        <v>1</v>
      </c>
      <c r="IQ44" s="78">
        <v>1</v>
      </c>
      <c r="IR44" s="54"/>
      <c r="IT44" s="78">
        <f>'A.I Revenue Streams - P2'!DQ46+100%</f>
        <v>1</v>
      </c>
      <c r="IU44" s="78">
        <v>1</v>
      </c>
      <c r="IV44" s="54"/>
      <c r="IX44" s="78">
        <f>'A.I Revenue Streams - P2'!DU46+100%</f>
        <v>1</v>
      </c>
      <c r="IY44" s="78">
        <v>1</v>
      </c>
      <c r="IZ44" s="54"/>
      <c r="JB44" s="78">
        <f>'A.I Revenue Streams - P2'!DY46+100%</f>
        <v>1</v>
      </c>
      <c r="JC44" s="78">
        <v>1</v>
      </c>
      <c r="JD44" s="54"/>
      <c r="JF44" s="78">
        <f>'A.I Revenue Streams - P2'!EC46+100%</f>
        <v>1</v>
      </c>
      <c r="JG44" s="78">
        <v>1</v>
      </c>
      <c r="JH44" s="54"/>
    </row>
    <row r="45" ht="18.75" customHeight="1" spans="2:268" x14ac:dyDescent="0.25">
      <c r="B45" s="5">
        <v>5</v>
      </c>
      <c r="C45" s="27">
        <f>'A.I Revenue Streams - P1'!D45</f>
        <v>0</v>
      </c>
      <c r="D45" s="27"/>
      <c r="E45" s="28"/>
      <c r="F45" s="51"/>
      <c r="G45" s="51"/>
      <c r="H45" s="51"/>
      <c r="I45" s="54"/>
      <c r="J45" s="51"/>
      <c r="K45" s="51"/>
      <c r="L45" s="51"/>
      <c r="M45" s="54"/>
      <c r="N45" s="51"/>
      <c r="O45" s="51"/>
      <c r="P45" s="51"/>
      <c r="Q45" s="54"/>
      <c r="R45" s="51"/>
      <c r="S45" s="51"/>
      <c r="T45" s="51"/>
      <c r="U45" s="54"/>
      <c r="V45" s="51"/>
      <c r="W45" s="51"/>
      <c r="X45" s="51"/>
      <c r="Y45" s="54"/>
      <c r="Z45" s="51"/>
      <c r="AA45" s="51"/>
      <c r="AB45" s="51"/>
      <c r="AC45" s="54"/>
      <c r="AD45" s="51"/>
      <c r="AE45" s="51"/>
      <c r="AF45" s="51"/>
      <c r="AG45" s="54"/>
      <c r="AH45" s="51"/>
      <c r="AI45" s="51"/>
      <c r="AJ45" s="51"/>
      <c r="AK45" s="54"/>
      <c r="AL45" s="51"/>
      <c r="AM45" s="51"/>
      <c r="AN45" s="51"/>
      <c r="AO45" s="54"/>
      <c r="AP45" s="51"/>
      <c r="AQ45" s="51"/>
      <c r="AR45" s="51"/>
      <c r="AS45" s="54"/>
      <c r="AT45" s="51"/>
      <c r="AU45" s="51"/>
      <c r="AV45" s="51"/>
      <c r="AW45" s="54"/>
      <c r="AX45" s="51"/>
      <c r="AY45" s="51"/>
      <c r="AZ45" s="51"/>
      <c r="BA45" s="54"/>
      <c r="BB45" s="51"/>
      <c r="BC45" s="51"/>
      <c r="BD45" s="51"/>
      <c r="BE45" s="54"/>
      <c r="BF45" s="51"/>
      <c r="BG45" s="51"/>
      <c r="BH45" s="51"/>
      <c r="BI45" s="54"/>
      <c r="BJ45" s="51"/>
      <c r="BK45" s="51"/>
      <c r="BL45" s="51"/>
      <c r="BM45" s="54"/>
      <c r="BN45" s="51"/>
      <c r="BO45" s="51"/>
      <c r="BP45" s="51"/>
      <c r="BQ45" s="54"/>
      <c r="BR45" s="51"/>
      <c r="BS45" s="51"/>
      <c r="BT45" s="51"/>
      <c r="BU45" s="54"/>
      <c r="BV45" s="51"/>
      <c r="BW45" s="51"/>
      <c r="BX45" s="51"/>
      <c r="BY45" s="54"/>
      <c r="BZ45" s="51"/>
      <c r="CA45" s="51"/>
      <c r="CB45" s="51"/>
      <c r="CC45" s="54"/>
      <c r="CD45" s="51"/>
      <c r="CE45" s="51"/>
      <c r="CF45" s="51"/>
      <c r="CG45" s="54"/>
      <c r="CH45" s="51"/>
      <c r="CI45" s="51"/>
      <c r="CJ45" s="51"/>
      <c r="CK45" s="54"/>
      <c r="CL45" s="51"/>
      <c r="CM45" s="51"/>
      <c r="CN45" s="51"/>
      <c r="CO45" s="54"/>
      <c r="CP45" s="51"/>
      <c r="CQ45" s="51"/>
      <c r="CR45" s="51"/>
      <c r="CS45" s="54"/>
      <c r="CT45" s="51"/>
      <c r="CU45" s="51"/>
      <c r="CV45" s="51"/>
      <c r="CW45" s="54"/>
      <c r="CX45" s="51"/>
      <c r="CY45" s="51"/>
      <c r="CZ45" s="51"/>
      <c r="DA45" s="54"/>
      <c r="DB45" s="51"/>
      <c r="DC45" s="51"/>
      <c r="DD45" s="51"/>
      <c r="DE45" s="54"/>
      <c r="DF45" s="51"/>
      <c r="DG45" s="51"/>
      <c r="DH45" s="51"/>
      <c r="DI45" s="54"/>
      <c r="DJ45" s="51"/>
      <c r="DK45" s="51"/>
      <c r="DL45" s="51"/>
      <c r="DM45" s="54"/>
      <c r="DN45" s="51"/>
      <c r="DO45" s="51"/>
      <c r="DP45" s="51"/>
      <c r="DQ45" s="54"/>
      <c r="DR45" s="51"/>
      <c r="DS45" s="51"/>
      <c r="DT45" s="51"/>
      <c r="DU45" s="54"/>
      <c r="DV45" s="51"/>
      <c r="DW45" s="51"/>
      <c r="DX45" s="51"/>
      <c r="DY45" s="54"/>
      <c r="DZ45" s="51"/>
      <c r="EA45" s="51"/>
      <c r="EB45" s="51"/>
      <c r="EC45" s="54"/>
      <c r="ED45" s="51"/>
      <c r="EE45" s="51"/>
      <c r="EF45" s="51"/>
      <c r="EG45" s="54"/>
      <c r="EH45" s="51"/>
      <c r="EI45" s="51"/>
      <c r="EJ45" s="51"/>
      <c r="EK45" s="54"/>
      <c r="EL45" s="51"/>
      <c r="EM45" s="51"/>
      <c r="EN45" s="51"/>
      <c r="EO45" s="54"/>
      <c r="EP45" s="51"/>
      <c r="EQ45" s="51"/>
      <c r="ER45" s="51"/>
      <c r="ES45" s="54"/>
      <c r="ET45" s="51"/>
      <c r="EU45" s="51"/>
      <c r="EV45" s="51"/>
      <c r="EW45" s="54"/>
      <c r="EX45" s="51"/>
      <c r="EY45" s="51"/>
      <c r="EZ45" s="51"/>
      <c r="FA45" s="54"/>
      <c r="FB45" s="51"/>
      <c r="FC45" s="51"/>
      <c r="FD45" s="51"/>
      <c r="FE45" s="54"/>
      <c r="FF45" s="51"/>
      <c r="FG45" s="51"/>
      <c r="FH45" s="51"/>
      <c r="FI45" s="54"/>
      <c r="FJ45" s="51"/>
      <c r="FK45" s="51"/>
      <c r="FL45" s="51"/>
      <c r="FM45" s="54"/>
      <c r="FN45" s="51"/>
      <c r="FO45" s="51"/>
      <c r="FP45" s="51"/>
      <c r="FQ45" s="54"/>
      <c r="FR45" s="51"/>
      <c r="FS45" s="51"/>
      <c r="FT45" s="51"/>
      <c r="FU45" s="54"/>
      <c r="FV45" s="51"/>
      <c r="FW45" s="51"/>
      <c r="FX45" s="51"/>
      <c r="FY45" s="54"/>
      <c r="FZ45" s="51"/>
      <c r="GA45" s="51"/>
      <c r="GB45" s="51"/>
      <c r="GD45" s="51"/>
      <c r="GE45" s="51"/>
      <c r="GF45" s="51"/>
      <c r="GG45" s="54"/>
      <c r="GH45" s="51"/>
      <c r="GI45" s="51"/>
      <c r="GJ45" s="51"/>
      <c r="GK45" s="54"/>
      <c r="GL45" s="51"/>
      <c r="GM45" s="51"/>
      <c r="GN45" s="51"/>
      <c r="GO45" s="54"/>
      <c r="GP45" s="51"/>
      <c r="GQ45" s="51"/>
      <c r="GR45" s="51"/>
      <c r="GS45" s="54"/>
      <c r="GT45" s="51"/>
      <c r="GU45" s="51"/>
      <c r="GV45" s="51"/>
      <c r="GW45" s="54"/>
      <c r="GX45" s="51"/>
      <c r="GY45" s="51"/>
      <c r="GZ45" s="51"/>
      <c r="HA45" s="54"/>
      <c r="HB45" s="51"/>
      <c r="HC45" s="51"/>
      <c r="HD45" s="51"/>
      <c r="HE45" s="54"/>
      <c r="HF45" s="51"/>
      <c r="HG45" s="51"/>
      <c r="HH45" s="51"/>
      <c r="HI45" s="54"/>
      <c r="HJ45" s="51"/>
      <c r="HK45" s="51"/>
      <c r="HL45" s="51"/>
      <c r="HM45" s="54"/>
      <c r="HN45" s="51"/>
      <c r="HO45" s="51"/>
      <c r="HP45" s="51"/>
      <c r="HQ45" s="54"/>
      <c r="HR45" s="51"/>
      <c r="HS45" s="51"/>
      <c r="HT45" s="51"/>
      <c r="HU45" s="54"/>
      <c r="HV45" s="51"/>
      <c r="HW45" s="51"/>
      <c r="HX45" s="51"/>
      <c r="HZ45" s="51"/>
      <c r="IA45" s="51"/>
      <c r="IB45" s="51"/>
      <c r="IC45" s="54"/>
      <c r="ID45" s="51"/>
      <c r="IE45" s="51"/>
      <c r="IF45" s="51"/>
      <c r="IG45" s="54"/>
      <c r="IH45" s="51"/>
      <c r="II45" s="51"/>
      <c r="IJ45" s="51"/>
      <c r="IK45" s="54"/>
      <c r="IL45" s="80"/>
      <c r="IM45" s="80"/>
      <c r="IN45" s="80"/>
      <c r="IP45" s="80"/>
      <c r="IQ45" s="80"/>
      <c r="IR45" s="80"/>
      <c r="IT45" s="80"/>
      <c r="IU45" s="80"/>
      <c r="IV45" s="80"/>
      <c r="IX45" s="80"/>
      <c r="IY45" s="80"/>
      <c r="IZ45" s="80"/>
      <c r="JB45" s="80"/>
      <c r="JC45" s="80"/>
      <c r="JD45" s="80"/>
      <c r="JF45" s="80"/>
      <c r="JG45" s="80"/>
      <c r="JH45" s="80"/>
    </row>
    <row r="46" ht="18.75" customHeight="1" spans="2:268" x14ac:dyDescent="0.25">
      <c r="B46" s="5" t="s">
        <v>75</v>
      </c>
      <c r="C46" s="27"/>
      <c r="D46" s="29">
        <f>'A.I Revenue Streams - P1'!E46</f>
        <v>0</v>
      </c>
      <c r="E46" s="30"/>
      <c r="F46" s="51">
        <f>'A.I Revenue Streams - P1'!G46</f>
        <v>0</v>
      </c>
      <c r="G46" s="51">
        <f>'A.I Revenue Streams - P1'!I46</f>
        <v>0</v>
      </c>
      <c r="H46" s="51">
        <f>F46*G46</f>
        <v>0</v>
      </c>
      <c r="I46" s="54"/>
      <c r="J46" s="51">
        <f>F46*$J$44</f>
        <v>0</v>
      </c>
      <c r="K46" s="51">
        <f>G46*$K$44</f>
        <v>0</v>
      </c>
      <c r="L46" s="51">
        <f>J46*K46</f>
        <v>0</v>
      </c>
      <c r="M46" s="54"/>
      <c r="N46" s="51">
        <f>J46*$N$44</f>
        <v>0</v>
      </c>
      <c r="O46" s="51">
        <f>K46*$O$44</f>
        <v>0</v>
      </c>
      <c r="P46" s="51">
        <f>N46*O46</f>
        <v>0</v>
      </c>
      <c r="Q46" s="54"/>
      <c r="R46" s="51">
        <f>N46*$R$44</f>
        <v>0</v>
      </c>
      <c r="S46" s="51">
        <f>O46*$S$44</f>
        <v>0</v>
      </c>
      <c r="T46" s="51">
        <f>R46*S46</f>
        <v>0</v>
      </c>
      <c r="U46" s="54"/>
      <c r="V46" s="51">
        <f>R46*$V$44</f>
        <v>0</v>
      </c>
      <c r="W46" s="51">
        <f>S46*$W$44</f>
        <v>0</v>
      </c>
      <c r="X46" s="51">
        <f>V46*W46</f>
        <v>0</v>
      </c>
      <c r="Y46" s="54"/>
      <c r="Z46" s="51">
        <f>V46*$Z$44</f>
        <v>0</v>
      </c>
      <c r="AA46" s="51">
        <f>W46*$AA$44</f>
        <v>0</v>
      </c>
      <c r="AB46" s="51">
        <f>Z46*AA46</f>
        <v>0</v>
      </c>
      <c r="AC46" s="54"/>
      <c r="AD46" s="51">
        <f>Z46*$AD$44</f>
        <v>0</v>
      </c>
      <c r="AE46" s="51">
        <f>AA46*$AE$44</f>
        <v>0</v>
      </c>
      <c r="AF46" s="51">
        <f>AD46*AE46</f>
        <v>0</v>
      </c>
      <c r="AG46" s="54"/>
      <c r="AH46" s="51">
        <f>AD46*$AH$44</f>
        <v>0</v>
      </c>
      <c r="AI46" s="51">
        <f>AE46*$AI$44</f>
        <v>0</v>
      </c>
      <c r="AJ46" s="51">
        <f>AH46*AI46</f>
        <v>0</v>
      </c>
      <c r="AK46" s="54"/>
      <c r="AL46" s="51">
        <f>AH46*$AL$44</f>
        <v>0</v>
      </c>
      <c r="AM46" s="51">
        <f>AI46*$AM$44</f>
        <v>0</v>
      </c>
      <c r="AN46" s="51">
        <f>AL46*AM46</f>
        <v>0</v>
      </c>
      <c r="AO46" s="54"/>
      <c r="AP46" s="51">
        <f>AL46*$AP$44</f>
        <v>0</v>
      </c>
      <c r="AQ46" s="51">
        <f>AM46*$AQ$44</f>
        <v>0</v>
      </c>
      <c r="AR46" s="51">
        <f>AP46*AQ46</f>
        <v>0</v>
      </c>
      <c r="AS46" s="54"/>
      <c r="AT46" s="51">
        <f>AP46*$AT$44</f>
        <v>0</v>
      </c>
      <c r="AU46" s="51">
        <f>AQ46*$AU$44</f>
        <v>0</v>
      </c>
      <c r="AV46" s="51">
        <f>AT46*AU46</f>
        <v>0</v>
      </c>
      <c r="AW46" s="54"/>
      <c r="AX46" s="51">
        <f>AT46*$AX$44</f>
        <v>0</v>
      </c>
      <c r="AY46" s="51">
        <f>AU46*$AY$44</f>
        <v>0</v>
      </c>
      <c r="AZ46" s="51">
        <f>AX46*AY46</f>
        <v>0</v>
      </c>
      <c r="BA46" s="54"/>
      <c r="BB46" s="51">
        <f>AX46*$BB$44</f>
        <v>0</v>
      </c>
      <c r="BC46" s="51">
        <f>AY46*$BC$44</f>
        <v>0</v>
      </c>
      <c r="BD46" s="51">
        <f>BB46*BC46</f>
        <v>0</v>
      </c>
      <c r="BE46" s="54"/>
      <c r="BF46" s="51">
        <f>BB46*$BF$44</f>
        <v>0</v>
      </c>
      <c r="BG46" s="51">
        <f>BC46*$BG$44</f>
        <v>0</v>
      </c>
      <c r="BH46" s="51">
        <f>BF46*BG46</f>
        <v>0</v>
      </c>
      <c r="BI46" s="54"/>
      <c r="BJ46" s="51">
        <f>BF46*$BJ$44</f>
        <v>0</v>
      </c>
      <c r="BK46" s="51">
        <f>BG46*$BK$44</f>
        <v>0</v>
      </c>
      <c r="BL46" s="51">
        <f>BJ46*BK46</f>
        <v>0</v>
      </c>
      <c r="BM46" s="54"/>
      <c r="BN46" s="51">
        <f>BJ46*$BN$44</f>
        <v>0</v>
      </c>
      <c r="BO46" s="51">
        <f>BK46*$BO$44</f>
        <v>0</v>
      </c>
      <c r="BP46" s="51">
        <f>BN46*BO46</f>
        <v>0</v>
      </c>
      <c r="BQ46" s="54"/>
      <c r="BR46" s="51">
        <f>BN46*$BR$44</f>
        <v>0</v>
      </c>
      <c r="BS46" s="51">
        <f>BO46*$BS$44</f>
        <v>0</v>
      </c>
      <c r="BT46" s="51">
        <f>BR46*BS46</f>
        <v>0</v>
      </c>
      <c r="BU46" s="54"/>
      <c r="BV46" s="51">
        <f>BR46*$BV$44</f>
        <v>0</v>
      </c>
      <c r="BW46" s="51">
        <f>BS46*$BW$44</f>
        <v>0</v>
      </c>
      <c r="BX46" s="51">
        <f>BV46*BW46</f>
        <v>0</v>
      </c>
      <c r="BY46" s="54"/>
      <c r="BZ46" s="51">
        <f>BV46*$BZ$44</f>
        <v>0</v>
      </c>
      <c r="CA46" s="51">
        <f>BW46*$CA$44</f>
        <v>0</v>
      </c>
      <c r="CB46" s="51">
        <f>BZ46*CA46</f>
        <v>0</v>
      </c>
      <c r="CC46" s="54"/>
      <c r="CD46" s="51">
        <f>BZ46*$CD$44</f>
        <v>0</v>
      </c>
      <c r="CE46" s="51">
        <f>CA46*$CE$44</f>
        <v>0</v>
      </c>
      <c r="CF46" s="51">
        <f>CD46*CE46</f>
        <v>0</v>
      </c>
      <c r="CG46" s="54"/>
      <c r="CH46" s="51">
        <f>CD46*$CH$44</f>
        <v>0</v>
      </c>
      <c r="CI46" s="51">
        <f>CE46*$CI$44</f>
        <v>0</v>
      </c>
      <c r="CJ46" s="51">
        <f>CH46*CI46</f>
        <v>0</v>
      </c>
      <c r="CK46" s="54"/>
      <c r="CL46" s="51">
        <f>CH46*$CL$44</f>
        <v>0</v>
      </c>
      <c r="CM46" s="51">
        <f>CI46*$CM$44</f>
        <v>0</v>
      </c>
      <c r="CN46" s="51">
        <f>CL46*CM46</f>
        <v>0</v>
      </c>
      <c r="CO46" s="54"/>
      <c r="CP46" s="51">
        <f>CL46*$CP$44</f>
        <v>0</v>
      </c>
      <c r="CQ46" s="51">
        <f>CM46*$CQ$44</f>
        <v>0</v>
      </c>
      <c r="CR46" s="51">
        <f>CP46*CQ46</f>
        <v>0</v>
      </c>
      <c r="CS46" s="54"/>
      <c r="CT46" s="51">
        <f>CP46*$CT$44</f>
        <v>0</v>
      </c>
      <c r="CU46" s="51">
        <f>CQ46*$CU$44</f>
        <v>0</v>
      </c>
      <c r="CV46" s="51">
        <f>CT46*CU46</f>
        <v>0</v>
      </c>
      <c r="CW46" s="54"/>
      <c r="CX46" s="51">
        <f>CT46*$CX$44</f>
        <v>0</v>
      </c>
      <c r="CY46" s="51">
        <f>CU46*$CY$44</f>
        <v>0</v>
      </c>
      <c r="CZ46" s="51">
        <f>CX46*CY46</f>
        <v>0</v>
      </c>
      <c r="DA46" s="54"/>
      <c r="DB46" s="51">
        <f>CX46*$DB$44</f>
        <v>0</v>
      </c>
      <c r="DC46" s="51">
        <f>CY46*$DC$44</f>
        <v>0</v>
      </c>
      <c r="DD46" s="51">
        <f>DB46*DC46</f>
        <v>0</v>
      </c>
      <c r="DE46" s="54"/>
      <c r="DF46" s="51">
        <f>DB46*$DF$44</f>
        <v>0</v>
      </c>
      <c r="DG46" s="51">
        <f>DC46*$DG$44</f>
        <v>0</v>
      </c>
      <c r="DH46" s="51">
        <f>DF46*DG46</f>
        <v>0</v>
      </c>
      <c r="DI46" s="54"/>
      <c r="DJ46" s="51">
        <f>DF46*$DJ$44</f>
        <v>0</v>
      </c>
      <c r="DK46" s="51">
        <f>DG46*$DK$44</f>
        <v>0</v>
      </c>
      <c r="DL46" s="51">
        <f>DJ46*DK46</f>
        <v>0</v>
      </c>
      <c r="DM46" s="54"/>
      <c r="DN46" s="51">
        <f>DJ46*$DN$44</f>
        <v>0</v>
      </c>
      <c r="DO46" s="51">
        <f>DK46*$DO$44</f>
        <v>0</v>
      </c>
      <c r="DP46" s="51">
        <f>DN46*DO46</f>
        <v>0</v>
      </c>
      <c r="DQ46" s="54"/>
      <c r="DR46" s="51">
        <f>DN46*$DR$44</f>
        <v>0</v>
      </c>
      <c r="DS46" s="51">
        <f>DO46*$DS$44</f>
        <v>0</v>
      </c>
      <c r="DT46" s="51">
        <f>DR46*DS46</f>
        <v>0</v>
      </c>
      <c r="DU46" s="54"/>
      <c r="DV46" s="51">
        <f>DR46*$DV$44</f>
        <v>0</v>
      </c>
      <c r="DW46" s="51">
        <f>DS46*$DW$44</f>
        <v>0</v>
      </c>
      <c r="DX46" s="51">
        <f>DV46*DW46</f>
        <v>0</v>
      </c>
      <c r="DY46" s="54"/>
      <c r="DZ46" s="51">
        <f>DV46*$DZ$44</f>
        <v>0</v>
      </c>
      <c r="EA46" s="51">
        <f>DW46*$EA$44</f>
        <v>0</v>
      </c>
      <c r="EB46" s="51">
        <f>DZ46*EA46</f>
        <v>0</v>
      </c>
      <c r="EC46" s="54"/>
      <c r="ED46" s="51">
        <f>DZ46*$ED$44</f>
        <v>0</v>
      </c>
      <c r="EE46" s="51">
        <f>EA46*$EE$44</f>
        <v>0</v>
      </c>
      <c r="EF46" s="51">
        <f>ED46*EE46</f>
        <v>0</v>
      </c>
      <c r="EG46" s="54"/>
      <c r="EH46" s="51">
        <f>ED46*$EH$44</f>
        <v>0</v>
      </c>
      <c r="EI46" s="51">
        <f>EE46*$EI$44</f>
        <v>0</v>
      </c>
      <c r="EJ46" s="51">
        <f>EH46*EI46</f>
        <v>0</v>
      </c>
      <c r="EK46" s="54"/>
      <c r="EL46" s="51">
        <f>EH46*$EL$44</f>
        <v>0</v>
      </c>
      <c r="EM46" s="51">
        <f>EI46*$EM$44</f>
        <v>0</v>
      </c>
      <c r="EN46" s="51">
        <f>EL46*EM46</f>
        <v>0</v>
      </c>
      <c r="EO46" s="54"/>
      <c r="EP46" s="51">
        <f>EL46*$EP$44</f>
        <v>0</v>
      </c>
      <c r="EQ46" s="51">
        <f>EM46*$EQ$44</f>
        <v>0</v>
      </c>
      <c r="ER46" s="51">
        <f>EP46*EQ46</f>
        <v>0</v>
      </c>
      <c r="ES46" s="54"/>
      <c r="ET46" s="51">
        <f>EP46*$ET$44</f>
        <v>0</v>
      </c>
      <c r="EU46" s="51">
        <f>EQ46*$EU$44</f>
        <v>0</v>
      </c>
      <c r="EV46" s="51">
        <f>ET46*EU46</f>
        <v>0</v>
      </c>
      <c r="EW46" s="54"/>
      <c r="EX46" s="51">
        <f>ET46*$EX$44</f>
        <v>0</v>
      </c>
      <c r="EY46" s="51">
        <f>EU46*$EY$44</f>
        <v>0</v>
      </c>
      <c r="EZ46" s="51">
        <f>EX46*EY46</f>
        <v>0</v>
      </c>
      <c r="FA46" s="54"/>
      <c r="FB46" s="51">
        <f>EX46*$FB$44</f>
        <v>0</v>
      </c>
      <c r="FC46" s="51">
        <f>EY46*$FC$44</f>
        <v>0</v>
      </c>
      <c r="FD46" s="51">
        <f>FB46*FC46</f>
        <v>0</v>
      </c>
      <c r="FE46" s="54"/>
      <c r="FF46" s="51">
        <f>FB46*$FF$44</f>
        <v>0</v>
      </c>
      <c r="FG46" s="51">
        <f>FC46*$FG$44</f>
        <v>0</v>
      </c>
      <c r="FH46" s="51">
        <f>FF46*FG46</f>
        <v>0</v>
      </c>
      <c r="FI46" s="54"/>
      <c r="FJ46" s="51">
        <f>FF46*$FJ$44</f>
        <v>0</v>
      </c>
      <c r="FK46" s="51">
        <f>FG46*$FK$44</f>
        <v>0</v>
      </c>
      <c r="FL46" s="51">
        <f>FJ46*FK46</f>
        <v>0</v>
      </c>
      <c r="FM46" s="54"/>
      <c r="FN46" s="51">
        <f>FJ46*$FN$44</f>
        <v>0</v>
      </c>
      <c r="FO46" s="51">
        <f>FK46*$FO$44</f>
        <v>0</v>
      </c>
      <c r="FP46" s="51">
        <f>FN46*FO46</f>
        <v>0</v>
      </c>
      <c r="FQ46" s="54"/>
      <c r="FR46" s="51">
        <f>FN46*$FR$44</f>
        <v>0</v>
      </c>
      <c r="FS46" s="51">
        <f>FO46*$FS$44</f>
        <v>0</v>
      </c>
      <c r="FT46" s="51">
        <f>FR46*FS46</f>
        <v>0</v>
      </c>
      <c r="FU46" s="54"/>
      <c r="FV46" s="51">
        <f>FR46*$FV$44</f>
        <v>0</v>
      </c>
      <c r="FW46" s="51">
        <f>FS46*$FW$44</f>
        <v>0</v>
      </c>
      <c r="FX46" s="51">
        <f>FV46*FW46</f>
        <v>0</v>
      </c>
      <c r="FY46" s="54"/>
      <c r="FZ46" s="51">
        <f>FV46*$FZ$44</f>
        <v>0</v>
      </c>
      <c r="GA46" s="51">
        <f>FW46*$GA$44</f>
        <v>0</v>
      </c>
      <c r="GB46" s="51">
        <f>FZ46*GA46</f>
        <v>0</v>
      </c>
      <c r="GD46" s="51">
        <f>FZ46*$GD$44</f>
        <v>0</v>
      </c>
      <c r="GE46" s="51">
        <f>GA46*$GE$44</f>
        <v>0</v>
      </c>
      <c r="GF46" s="51">
        <f>GD46*GE46</f>
        <v>0</v>
      </c>
      <c r="GG46" s="54"/>
      <c r="GH46" s="51">
        <f>GD46*$GH$44</f>
        <v>0</v>
      </c>
      <c r="GI46" s="51">
        <f>GE46*$GI$44</f>
        <v>0</v>
      </c>
      <c r="GJ46" s="51">
        <f>GH46*GI46</f>
        <v>0</v>
      </c>
      <c r="GK46" s="54"/>
      <c r="GL46" s="51">
        <f>GH46*$GL$44</f>
        <v>0</v>
      </c>
      <c r="GM46" s="51">
        <f>GI46*$GM$44</f>
        <v>0</v>
      </c>
      <c r="GN46" s="51">
        <f>GL46*GM46</f>
        <v>0</v>
      </c>
      <c r="GO46" s="54"/>
      <c r="GP46" s="51">
        <f>GL46*$GP$44</f>
        <v>0</v>
      </c>
      <c r="GQ46" s="51">
        <f>GM46*$GQ$44</f>
        <v>0</v>
      </c>
      <c r="GR46" s="51">
        <f>GP46*GQ46</f>
        <v>0</v>
      </c>
      <c r="GS46" s="54"/>
      <c r="GT46" s="51">
        <f>GP46*$GT$44</f>
        <v>0</v>
      </c>
      <c r="GU46" s="51">
        <f>GQ46*$GU$44</f>
        <v>0</v>
      </c>
      <c r="GV46" s="51">
        <f>GT46*GU46</f>
        <v>0</v>
      </c>
      <c r="GW46" s="54"/>
      <c r="GX46" s="51">
        <f>GT46*$GX$44</f>
        <v>0</v>
      </c>
      <c r="GY46" s="51">
        <f>GU46*$GY$44</f>
        <v>0</v>
      </c>
      <c r="GZ46" s="51">
        <f>GX46*GY46</f>
        <v>0</v>
      </c>
      <c r="HA46" s="54"/>
      <c r="HB46" s="51">
        <f>GX46*$HB$44</f>
        <v>0</v>
      </c>
      <c r="HC46" s="51">
        <f>GY46*$HC$44</f>
        <v>0</v>
      </c>
      <c r="HD46" s="51">
        <f>HB46*HC46</f>
        <v>0</v>
      </c>
      <c r="HE46" s="54"/>
      <c r="HF46" s="51">
        <f>HB46*$HF$44</f>
        <v>0</v>
      </c>
      <c r="HG46" s="51">
        <f>HC46*$HG$44</f>
        <v>0</v>
      </c>
      <c r="HH46" s="51">
        <f>HF46*HG46</f>
        <v>0</v>
      </c>
      <c r="HI46" s="54"/>
      <c r="HJ46" s="51">
        <f>HF46*$HJ$44</f>
        <v>0</v>
      </c>
      <c r="HK46" s="51">
        <f>HG46*$HK$44</f>
        <v>0</v>
      </c>
      <c r="HL46" s="51">
        <f>HJ46*HK46</f>
        <v>0</v>
      </c>
      <c r="HM46" s="54"/>
      <c r="HN46" s="51">
        <f>HJ46*$HN$44</f>
        <v>0</v>
      </c>
      <c r="HO46" s="51">
        <f>HK46*$HO$44</f>
        <v>0</v>
      </c>
      <c r="HP46" s="51">
        <f>HN46*HO46</f>
        <v>0</v>
      </c>
      <c r="HQ46" s="54"/>
      <c r="HR46" s="51">
        <f>HN46*$HR$44</f>
        <v>0</v>
      </c>
      <c r="HS46" s="51">
        <f>HO46*$HS$44</f>
        <v>0</v>
      </c>
      <c r="HT46" s="51">
        <f>HR46*HS46</f>
        <v>0</v>
      </c>
      <c r="HU46" s="54"/>
      <c r="HV46" s="51">
        <f>HR46*$HV$44</f>
        <v>0</v>
      </c>
      <c r="HW46" s="51">
        <f>HS46*$HW$44</f>
        <v>0</v>
      </c>
      <c r="HX46" s="51">
        <f>HV46*HW46</f>
        <v>0</v>
      </c>
      <c r="HZ46" s="51">
        <f>HV46*$HZ$44</f>
        <v>0</v>
      </c>
      <c r="IA46" s="51">
        <f>HW46*$IA$44</f>
        <v>0</v>
      </c>
      <c r="IB46" s="51">
        <f>HZ46*IA46</f>
        <v>0</v>
      </c>
      <c r="IC46" s="54"/>
      <c r="ID46" s="51">
        <f>HZ46*$ID$44</f>
        <v>0</v>
      </c>
      <c r="IE46" s="51">
        <f>IA46*$IE$44</f>
        <v>0</v>
      </c>
      <c r="IF46" s="51">
        <f>ID46*IE46</f>
        <v>0</v>
      </c>
      <c r="IG46" s="54"/>
      <c r="IH46" s="51">
        <f>ID46*$IH$44</f>
        <v>0</v>
      </c>
      <c r="II46" s="51">
        <f>IE46*$II$44</f>
        <v>0</v>
      </c>
      <c r="IJ46" s="51">
        <f>IH46*II46</f>
        <v>0</v>
      </c>
      <c r="IK46" s="54"/>
      <c r="IL46" s="80">
        <f>SUMIFS($F46:$IK46,$F$3:$IK$3,IL$5,$F$6:$IK$6,IL$6)</f>
        <v>0</v>
      </c>
      <c r="IM46" s="80">
        <v>0</v>
      </c>
      <c r="IN46" s="80">
        <f>SUMIFS($F46:$IK46,$F$3:$IK$3,IL$5,$F$6:$IK$6,IN$6)</f>
        <v>0</v>
      </c>
      <c r="IP46" s="80">
        <f>SUMIFS($F46:$IK46,$F$3:$IK$3,IP$5,$F$6:$IK$6,IP$6)</f>
        <v>0</v>
      </c>
      <c r="IQ46" s="80">
        <v>0</v>
      </c>
      <c r="IR46" s="80">
        <f>SUMIFS($F46:$IK46,$F$3:$IK$3,IP$5,$F$6:$IK$6,IR$6)</f>
        <v>0</v>
      </c>
      <c r="IT46" s="80">
        <f>SUMIFS($F46:$IK46,$F$3:$IK$3,IT$5,$F$6:$IK$6,IT$6)</f>
        <v>0</v>
      </c>
      <c r="IU46" s="80">
        <v>0</v>
      </c>
      <c r="IV46" s="80">
        <f>SUMIFS($F46:$IK46,$F$3:$IK$3,IT$5,$F$6:$IK$6,IV$6)</f>
        <v>0</v>
      </c>
      <c r="IX46" s="80">
        <f>SUMIFS($F46:$IK46,$F$3:$IK$3,IX$5,$F$6:$IK$6,IX$6)</f>
        <v>0</v>
      </c>
      <c r="IY46" s="80">
        <v>0</v>
      </c>
      <c r="IZ46" s="80">
        <f>SUMIFS($F46:$IK46,$F$3:$IK$3,IX$5,$F$6:$IK$6,IZ$6)</f>
        <v>0</v>
      </c>
      <c r="JB46" s="80">
        <f>SUMIFS($F46:$IK46,$F$3:$IK$3,JB$5,$F$6:$IK$6,JB$6)</f>
        <v>0</v>
      </c>
      <c r="JC46" s="80">
        <v>0</v>
      </c>
      <c r="JD46" s="80">
        <f>SUMIFS($F46:$IK46,$F$3:$IK$3,JB$5,$F$6:$IK$6,JD$6)</f>
        <v>0</v>
      </c>
      <c r="JF46" s="80">
        <f>SUMIFS($F46:$IK46,$F$3:$IK$3,JF$5,$F$6:$IK$6,JF$6)</f>
        <v>0</v>
      </c>
      <c r="JG46" s="80">
        <v>0</v>
      </c>
      <c r="JH46" s="80">
        <f>SUMIFS($F46:$IK46,$F$3:$IK$3,JF$5,$F$6:$IK$6,JH$6)</f>
        <v>0</v>
      </c>
    </row>
    <row r="47" ht="18.75" customHeight="1" spans="2:268" x14ac:dyDescent="0.25">
      <c r="B47" s="5" t="s">
        <v>76</v>
      </c>
      <c r="C47" s="27"/>
      <c r="D47" s="29">
        <f>'A.I Revenue Streams - P1'!E47</f>
        <v>0</v>
      </c>
      <c r="E47" s="30"/>
      <c r="F47" s="51">
        <f>'A.I Revenue Streams - P1'!G47</f>
        <v>0</v>
      </c>
      <c r="G47" s="51">
        <f>'A.I Revenue Streams - P1'!I47</f>
        <v>0</v>
      </c>
      <c r="H47" s="51">
        <f>F47*G47</f>
        <v>0</v>
      </c>
      <c r="I47" s="54"/>
      <c r="J47" s="51">
        <f>F47*$J$44</f>
        <v>0</v>
      </c>
      <c r="K47" s="51">
        <f>G47*$K$44</f>
        <v>0</v>
      </c>
      <c r="L47" s="51">
        <f>J47*K47</f>
        <v>0</v>
      </c>
      <c r="M47" s="54"/>
      <c r="N47" s="51">
        <f>J47*$N$44</f>
        <v>0</v>
      </c>
      <c r="O47" s="51">
        <f>K47*$O$44</f>
        <v>0</v>
      </c>
      <c r="P47" s="51">
        <f>N47*O47</f>
        <v>0</v>
      </c>
      <c r="Q47" s="54"/>
      <c r="R47" s="51">
        <f>N47*$R$44</f>
        <v>0</v>
      </c>
      <c r="S47" s="51">
        <f>O47*$S$44</f>
        <v>0</v>
      </c>
      <c r="T47" s="51">
        <f>R47*S47</f>
        <v>0</v>
      </c>
      <c r="U47" s="54"/>
      <c r="V47" s="51">
        <f>R47*$V$44</f>
        <v>0</v>
      </c>
      <c r="W47" s="51">
        <f>S47*$W$44</f>
        <v>0</v>
      </c>
      <c r="X47" s="51">
        <f>V47*W47</f>
        <v>0</v>
      </c>
      <c r="Y47" s="54"/>
      <c r="Z47" s="51">
        <f>V47*$Z$44</f>
        <v>0</v>
      </c>
      <c r="AA47" s="51">
        <f>W47*$AA$44</f>
        <v>0</v>
      </c>
      <c r="AB47" s="51">
        <f>Z47*AA47</f>
        <v>0</v>
      </c>
      <c r="AC47" s="54"/>
      <c r="AD47" s="51">
        <f>Z47*$AD$44</f>
        <v>0</v>
      </c>
      <c r="AE47" s="51">
        <f>AA47*$AE$44</f>
        <v>0</v>
      </c>
      <c r="AF47" s="51">
        <f>AD47*AE47</f>
        <v>0</v>
      </c>
      <c r="AG47" s="54"/>
      <c r="AH47" s="51">
        <f>AD47*$AH$44</f>
        <v>0</v>
      </c>
      <c r="AI47" s="51">
        <f>AE47*$AI$44</f>
        <v>0</v>
      </c>
      <c r="AJ47" s="51">
        <f>AH47*AI47</f>
        <v>0</v>
      </c>
      <c r="AK47" s="54"/>
      <c r="AL47" s="51">
        <f>AH47*$AL$44</f>
        <v>0</v>
      </c>
      <c r="AM47" s="51">
        <f>AI47*$AM$44</f>
        <v>0</v>
      </c>
      <c r="AN47" s="51">
        <f>AL47*AM47</f>
        <v>0</v>
      </c>
      <c r="AO47" s="54"/>
      <c r="AP47" s="51">
        <f>AL47*$AP$44</f>
        <v>0</v>
      </c>
      <c r="AQ47" s="51">
        <f>AM47*$AQ$44</f>
        <v>0</v>
      </c>
      <c r="AR47" s="51">
        <f>AP47*AQ47</f>
        <v>0</v>
      </c>
      <c r="AS47" s="54"/>
      <c r="AT47" s="51">
        <f t="shared" ref="AT47:AT48" si="786">AP47*$AT$44</f>
        <v>0</v>
      </c>
      <c r="AU47" s="51">
        <f t="shared" ref="AU47:AU48" si="787">AQ47*$AU$44</f>
        <v>0</v>
      </c>
      <c r="AV47" s="51">
        <f>AT47*AU47</f>
        <v>0</v>
      </c>
      <c r="AW47" s="54"/>
      <c r="AX47" s="51">
        <f t="shared" ref="AX47:AX48" si="788">AT47*$AX$44</f>
        <v>0</v>
      </c>
      <c r="AY47" s="51">
        <f t="shared" ref="AY47:AY48" si="789">AU47*$AY$44</f>
        <v>0</v>
      </c>
      <c r="AZ47" s="51">
        <f>AX47*AY47</f>
        <v>0</v>
      </c>
      <c r="BA47" s="54"/>
      <c r="BB47" s="51">
        <f t="shared" ref="BB47:BB48" si="790">AX47*$BB$44</f>
        <v>0</v>
      </c>
      <c r="BC47" s="51">
        <f t="shared" ref="BC47:BC48" si="791">AY47*$BC$44</f>
        <v>0</v>
      </c>
      <c r="BD47" s="51">
        <f>BB47*BC47</f>
        <v>0</v>
      </c>
      <c r="BE47" s="54"/>
      <c r="BF47" s="51">
        <f t="shared" ref="BF47:BF48" si="792">BB47*$BF$44</f>
        <v>0</v>
      </c>
      <c r="BG47" s="51">
        <f t="shared" ref="BG47:BG48" si="793">BC47*$BG$44</f>
        <v>0</v>
      </c>
      <c r="BH47" s="51">
        <f>BF47*BG47</f>
        <v>0</v>
      </c>
      <c r="BI47" s="54"/>
      <c r="BJ47" s="51">
        <f t="shared" ref="BJ47:BJ48" si="794">BF47*$BJ$44</f>
        <v>0</v>
      </c>
      <c r="BK47" s="51">
        <f t="shared" ref="BK47:BK48" si="795">BG47*$BK$44</f>
        <v>0</v>
      </c>
      <c r="BL47" s="51">
        <f>BJ47*BK47</f>
        <v>0</v>
      </c>
      <c r="BM47" s="54"/>
      <c r="BN47" s="51">
        <f t="shared" ref="BN47:BN48" si="796">BJ47*$BN$44</f>
        <v>0</v>
      </c>
      <c r="BO47" s="51">
        <f t="shared" ref="BO47:BO48" si="797">BK47*$BO$44</f>
        <v>0</v>
      </c>
      <c r="BP47" s="51">
        <f>BN47*BO47</f>
        <v>0</v>
      </c>
      <c r="BQ47" s="54"/>
      <c r="BR47" s="51">
        <f t="shared" ref="BR47:BR48" si="798">BN47*$BR$44</f>
        <v>0</v>
      </c>
      <c r="BS47" s="51">
        <f t="shared" ref="BS47:BS48" si="799">BO47*$BS$44</f>
        <v>0</v>
      </c>
      <c r="BT47" s="51">
        <f>BR47*BS47</f>
        <v>0</v>
      </c>
      <c r="BU47" s="54"/>
      <c r="BV47" s="51">
        <f t="shared" ref="BV47:BV48" si="800">BR47*$BV$44</f>
        <v>0</v>
      </c>
      <c r="BW47" s="51">
        <f t="shared" ref="BW47:BW48" si="801">BS47*$BW$44</f>
        <v>0</v>
      </c>
      <c r="BX47" s="51">
        <f>BV47*BW47</f>
        <v>0</v>
      </c>
      <c r="BY47" s="54"/>
      <c r="BZ47" s="51">
        <f t="shared" ref="BZ47:BZ48" si="802">BV47*$BZ$44</f>
        <v>0</v>
      </c>
      <c r="CA47" s="51">
        <f t="shared" ref="CA47:CA48" si="803">BW47*$CA$44</f>
        <v>0</v>
      </c>
      <c r="CB47" s="51">
        <f>BZ47*CA47</f>
        <v>0</v>
      </c>
      <c r="CC47" s="54"/>
      <c r="CD47" s="51">
        <f t="shared" ref="CD47:CD48" si="804">BZ47*$CD$44</f>
        <v>0</v>
      </c>
      <c r="CE47" s="51">
        <f t="shared" ref="CE47:CE48" si="805">CA47*$CE$44</f>
        <v>0</v>
      </c>
      <c r="CF47" s="51">
        <f>CD47*CE47</f>
        <v>0</v>
      </c>
      <c r="CG47" s="54"/>
      <c r="CH47" s="51">
        <f t="shared" ref="CH47:CH48" si="806">CD47*$CH$44</f>
        <v>0</v>
      </c>
      <c r="CI47" s="51">
        <f t="shared" ref="CI47:CI48" si="807">CE47*$CI$44</f>
        <v>0</v>
      </c>
      <c r="CJ47" s="51">
        <f>CH47*CI47</f>
        <v>0</v>
      </c>
      <c r="CK47" s="54"/>
      <c r="CL47" s="51">
        <f>CH47*$CL$44</f>
        <v>0</v>
      </c>
      <c r="CM47" s="51">
        <f>CI47*$CM$44</f>
        <v>0</v>
      </c>
      <c r="CN47" s="51">
        <f>CL47*CM47</f>
        <v>0</v>
      </c>
      <c r="CO47" s="54"/>
      <c r="CP47" s="51">
        <f>CL47*$CP$44</f>
        <v>0</v>
      </c>
      <c r="CQ47" s="51">
        <f t="shared" ref="CQ47" si="808">CM47*$CQ$44</f>
        <v>0</v>
      </c>
      <c r="CR47" s="51">
        <f>CP47*CQ47</f>
        <v>0</v>
      </c>
      <c r="CS47" s="54"/>
      <c r="CT47" s="51">
        <f t="shared" ref="CT47:CT48" si="809">CP47*$CT$44</f>
        <v>0</v>
      </c>
      <c r="CU47" s="51">
        <f t="shared" ref="CU47:CU48" si="810">CQ47*$CU$44</f>
        <v>0</v>
      </c>
      <c r="CV47" s="51">
        <f>CT47*CU47</f>
        <v>0</v>
      </c>
      <c r="CW47" s="54"/>
      <c r="CX47" s="51">
        <f t="shared" ref="CX47:CX48" si="811">CT47*$CX$44</f>
        <v>0</v>
      </c>
      <c r="CY47" s="51">
        <f t="shared" ref="CY47:CY48" si="812">CU47*$CY$44</f>
        <v>0</v>
      </c>
      <c r="CZ47" s="51">
        <f>CX47*CY47</f>
        <v>0</v>
      </c>
      <c r="DA47" s="54"/>
      <c r="DB47" s="51">
        <f t="shared" ref="DB47:DB48" si="813">CX47*$DB$44</f>
        <v>0</v>
      </c>
      <c r="DC47" s="51">
        <f t="shared" ref="DC47:DC48" si="814">CY47*$DC$44</f>
        <v>0</v>
      </c>
      <c r="DD47" s="51">
        <f>DB47*DC47</f>
        <v>0</v>
      </c>
      <c r="DE47" s="54"/>
      <c r="DF47" s="51">
        <f t="shared" ref="DF47:DF48" si="815">DB47*$DF$44</f>
        <v>0</v>
      </c>
      <c r="DG47" s="51">
        <f t="shared" ref="DG47:DG48" si="816">DC47*$DG$44</f>
        <v>0</v>
      </c>
      <c r="DH47" s="51">
        <f>DF47*DG47</f>
        <v>0</v>
      </c>
      <c r="DI47" s="54"/>
      <c r="DJ47" s="51">
        <f t="shared" ref="DJ47:DJ48" si="817">DF47*$DJ$44</f>
        <v>0</v>
      </c>
      <c r="DK47" s="51">
        <f>DG47*$DK$44</f>
        <v>0</v>
      </c>
      <c r="DL47" s="51">
        <f>DJ47*DK47</f>
        <v>0</v>
      </c>
      <c r="DM47" s="54"/>
      <c r="DN47" s="51">
        <f>DJ47*$DN$44</f>
        <v>0</v>
      </c>
      <c r="DO47" s="51">
        <f>DK47*$DO$44</f>
        <v>0</v>
      </c>
      <c r="DP47" s="51">
        <f>DN47*DO47</f>
        <v>0</v>
      </c>
      <c r="DQ47" s="54"/>
      <c r="DR47" s="51">
        <f t="shared" ref="DR47:DR48" si="818">DN47*$DR$44</f>
        <v>0</v>
      </c>
      <c r="DS47" s="51">
        <f t="shared" ref="DS47:DS48" si="819">DO47*$DS$44</f>
        <v>0</v>
      </c>
      <c r="DT47" s="51">
        <f>DR47*DS47</f>
        <v>0</v>
      </c>
      <c r="DU47" s="54"/>
      <c r="DV47" s="51">
        <f t="shared" ref="DV47:DV48" si="820">DR47*$DV$44</f>
        <v>0</v>
      </c>
      <c r="DW47" s="51">
        <f t="shared" ref="DW47:DW48" si="821">DS47*$DW$44</f>
        <v>0</v>
      </c>
      <c r="DX47" s="51">
        <f>DV47*DW47</f>
        <v>0</v>
      </c>
      <c r="DY47" s="54"/>
      <c r="DZ47" s="51">
        <f t="shared" ref="DZ47:DZ48" si="822">DV47*$DZ$44</f>
        <v>0</v>
      </c>
      <c r="EA47" s="51">
        <f t="shared" ref="EA47:EA48" si="823">DW47*$EA$44</f>
        <v>0</v>
      </c>
      <c r="EB47" s="51">
        <f>DZ47*EA47</f>
        <v>0</v>
      </c>
      <c r="EC47" s="54"/>
      <c r="ED47" s="51">
        <f t="shared" ref="ED47:ED48" si="824">DZ47*$ED$44</f>
        <v>0</v>
      </c>
      <c r="EE47" s="51">
        <f t="shared" ref="EE47:EE48" si="825">EA47*$EE$44</f>
        <v>0</v>
      </c>
      <c r="EF47" s="51">
        <f>ED47*EE47</f>
        <v>0</v>
      </c>
      <c r="EG47" s="54"/>
      <c r="EH47" s="51">
        <f>ED47*$EH$44</f>
        <v>0</v>
      </c>
      <c r="EI47" s="51">
        <f>EE47*$EI$44</f>
        <v>0</v>
      </c>
      <c r="EJ47" s="51">
        <f>EH47*EI47</f>
        <v>0</v>
      </c>
      <c r="EK47" s="54"/>
      <c r="EL47" s="51">
        <f t="shared" ref="EL47:EL48" si="826">EH47*$EL$44</f>
        <v>0</v>
      </c>
      <c r="EM47" s="51">
        <f t="shared" ref="EM47:EM48" si="827">EI47*$EM$44</f>
        <v>0</v>
      </c>
      <c r="EN47" s="51">
        <f>EL47*EM47</f>
        <v>0</v>
      </c>
      <c r="EO47" s="54"/>
      <c r="EP47" s="51">
        <f t="shared" ref="EP47:EP48" si="828">EL47*$EP$44</f>
        <v>0</v>
      </c>
      <c r="EQ47" s="51">
        <f t="shared" ref="EQ47:EQ48" si="829">EM47*$EQ$44</f>
        <v>0</v>
      </c>
      <c r="ER47" s="51">
        <f>EP47*EQ47</f>
        <v>0</v>
      </c>
      <c r="ES47" s="54"/>
      <c r="ET47" s="51">
        <f t="shared" ref="ET47:ET48" si="830">EP47*$ET$44</f>
        <v>0</v>
      </c>
      <c r="EU47" s="51">
        <f t="shared" ref="EU47:EU48" si="831">EQ47*$EU$44</f>
        <v>0</v>
      </c>
      <c r="EV47" s="51">
        <f>ET47*EU47</f>
        <v>0</v>
      </c>
      <c r="EW47" s="54"/>
      <c r="EX47" s="51">
        <f t="shared" ref="EX47" si="832">ET47*$EX$44</f>
        <v>0</v>
      </c>
      <c r="EY47" s="51">
        <f>EU47*$EY$44</f>
        <v>0</v>
      </c>
      <c r="EZ47" s="51">
        <f>EX47*EY47</f>
        <v>0</v>
      </c>
      <c r="FA47" s="54"/>
      <c r="FB47" s="51">
        <f t="shared" ref="FB47:FB48" si="833">EX47*$FB$44</f>
        <v>0</v>
      </c>
      <c r="FC47" s="51">
        <f t="shared" ref="FC47" si="834">EY47*$FC$44</f>
        <v>0</v>
      </c>
      <c r="FD47" s="51">
        <f>FB47*FC47</f>
        <v>0</v>
      </c>
      <c r="FE47" s="54"/>
      <c r="FF47" s="51">
        <f t="shared" ref="FF47:FF48" si="835">FB47*$FF$44</f>
        <v>0</v>
      </c>
      <c r="FG47" s="51">
        <f t="shared" ref="FG47:FG48" si="836">FC47*$FG$44</f>
        <v>0</v>
      </c>
      <c r="FH47" s="51">
        <f>FF47*FG47</f>
        <v>0</v>
      </c>
      <c r="FI47" s="54"/>
      <c r="FJ47" s="51">
        <f t="shared" ref="FJ47" si="837">FF47*$FJ$44</f>
        <v>0</v>
      </c>
      <c r="FK47" s="51">
        <f>FG47*$FK$44</f>
        <v>0</v>
      </c>
      <c r="FL47" s="51">
        <f>FJ47*FK47</f>
        <v>0</v>
      </c>
      <c r="FM47" s="54"/>
      <c r="FN47" s="51">
        <f t="shared" ref="FN47:FN48" si="838">FJ47*$FN$44</f>
        <v>0</v>
      </c>
      <c r="FO47" s="51">
        <f>FK47*$FO$44</f>
        <v>0</v>
      </c>
      <c r="FP47" s="51">
        <f>FN47*FO47</f>
        <v>0</v>
      </c>
      <c r="FQ47" s="54"/>
      <c r="FR47" s="51">
        <f t="shared" ref="FR47:FR48" si="839">FN47*$FR$44</f>
        <v>0</v>
      </c>
      <c r="FS47" s="51">
        <f t="shared" ref="FS47:FS48" si="840">FO47*$FS$44</f>
        <v>0</v>
      </c>
      <c r="FT47" s="51">
        <f>FR47*FS47</f>
        <v>0</v>
      </c>
      <c r="FU47" s="54"/>
      <c r="FV47" s="51">
        <f>FR47*$FV$44</f>
        <v>0</v>
      </c>
      <c r="FW47" s="51">
        <f>FS47*$FW$44</f>
        <v>0</v>
      </c>
      <c r="FX47" s="51">
        <f>FV47*FW47</f>
        <v>0</v>
      </c>
      <c r="FY47" s="54"/>
      <c r="FZ47" s="51">
        <f t="shared" ref="FZ47:FZ48" si="841">FV47*$FZ$44</f>
        <v>0</v>
      </c>
      <c r="GA47" s="51">
        <f t="shared" ref="GA47:GA48" si="842">FW47*$GA$44</f>
        <v>0</v>
      </c>
      <c r="GB47" s="51">
        <f>FZ47*GA47</f>
        <v>0</v>
      </c>
      <c r="GD47" s="51">
        <f>FZ47*$GD$44</f>
        <v>0</v>
      </c>
      <c r="GE47" s="51">
        <f>GA47*$GE$44</f>
        <v>0</v>
      </c>
      <c r="GF47" s="51">
        <f>GD47*GE47</f>
        <v>0</v>
      </c>
      <c r="GG47" s="54"/>
      <c r="GH47" s="51">
        <f t="shared" ref="GH47:GH48" si="843">GD47*$GH$44</f>
        <v>0</v>
      </c>
      <c r="GI47" s="51">
        <f t="shared" ref="GI47:GI48" si="844">GE47*$GI$44</f>
        <v>0</v>
      </c>
      <c r="GJ47" s="51">
        <f>GH47*GI47</f>
        <v>0</v>
      </c>
      <c r="GK47" s="54"/>
      <c r="GL47" s="51">
        <f t="shared" ref="GL47:GL48" si="845">GH47*$GL$44</f>
        <v>0</v>
      </c>
      <c r="GM47" s="51">
        <f t="shared" ref="GM47:GM48" si="846">GI47*$GM$44</f>
        <v>0</v>
      </c>
      <c r="GN47" s="51">
        <f>GL47*GM47</f>
        <v>0</v>
      </c>
      <c r="GO47" s="54"/>
      <c r="GP47" s="51">
        <f t="shared" ref="GP47:GP48" si="847">GL47*$GP$44</f>
        <v>0</v>
      </c>
      <c r="GQ47" s="51">
        <f t="shared" ref="GQ47:GQ48" si="848">GM47*$GQ$44</f>
        <v>0</v>
      </c>
      <c r="GR47" s="51">
        <f>GP47*GQ47</f>
        <v>0</v>
      </c>
      <c r="GS47" s="54"/>
      <c r="GT47" s="51">
        <f t="shared" ref="GT47:GT48" si="849">GP47*$GT$44</f>
        <v>0</v>
      </c>
      <c r="GU47" s="51">
        <f t="shared" ref="GU47:GU48" si="850">GQ47*$GU$44</f>
        <v>0</v>
      </c>
      <c r="GV47" s="51">
        <f>GT47*GU47</f>
        <v>0</v>
      </c>
      <c r="GW47" s="54"/>
      <c r="GX47" s="51">
        <f t="shared" ref="GX47:GX48" si="851">GT47*$GX$44</f>
        <v>0</v>
      </c>
      <c r="GY47" s="51">
        <f t="shared" ref="GY47:GY48" si="852">GU47*$GY$44</f>
        <v>0</v>
      </c>
      <c r="GZ47" s="51">
        <f>GX47*GY47</f>
        <v>0</v>
      </c>
      <c r="HA47" s="54"/>
      <c r="HB47" s="51">
        <f t="shared" ref="HB47:HB48" si="853">GX47*$HB$44</f>
        <v>0</v>
      </c>
      <c r="HC47" s="51">
        <f t="shared" ref="HC47:HC48" si="854">GY47*$HC$44</f>
        <v>0</v>
      </c>
      <c r="HD47" s="51">
        <f>HB47*HC47</f>
        <v>0</v>
      </c>
      <c r="HE47" s="54"/>
      <c r="HF47" s="51">
        <f t="shared" ref="HF47:HF48" si="855">HB47*$HF$44</f>
        <v>0</v>
      </c>
      <c r="HG47" s="51">
        <f t="shared" ref="HG47:HG48" si="856">HC47*$HG$44</f>
        <v>0</v>
      </c>
      <c r="HH47" s="51">
        <f>HF47*HG47</f>
        <v>0</v>
      </c>
      <c r="HI47" s="54"/>
      <c r="HJ47" s="51">
        <f t="shared" ref="HJ47:HJ48" si="857">HF47*$HJ$44</f>
        <v>0</v>
      </c>
      <c r="HK47" s="51">
        <f t="shared" ref="HK47:HK48" si="858">HG47*$HK$44</f>
        <v>0</v>
      </c>
      <c r="HL47" s="51">
        <f>HJ47*HK47</f>
        <v>0</v>
      </c>
      <c r="HM47" s="54"/>
      <c r="HN47" s="51">
        <f t="shared" ref="HN47:HN48" si="859">HJ47*$HN$44</f>
        <v>0</v>
      </c>
      <c r="HO47" s="51">
        <f t="shared" ref="HO47:HO48" si="860">HK47*$HO$44</f>
        <v>0</v>
      </c>
      <c r="HP47" s="51">
        <f>HN47*HO47</f>
        <v>0</v>
      </c>
      <c r="HQ47" s="54"/>
      <c r="HR47" s="51">
        <f t="shared" ref="HR47:HR48" si="861">HN47*$HR$44</f>
        <v>0</v>
      </c>
      <c r="HS47" s="51">
        <f t="shared" ref="HS47:HS48" si="862">HO47*$HS$44</f>
        <v>0</v>
      </c>
      <c r="HT47" s="51">
        <f>HR47*HS47</f>
        <v>0</v>
      </c>
      <c r="HU47" s="54"/>
      <c r="HV47" s="51">
        <f t="shared" ref="HV47:HV48" si="863">HR47*$HV$44</f>
        <v>0</v>
      </c>
      <c r="HW47" s="51">
        <f t="shared" ref="HW47:HW48" si="864">HS47*$HW$44</f>
        <v>0</v>
      </c>
      <c r="HX47" s="51">
        <f>HV47*HW47</f>
        <v>0</v>
      </c>
      <c r="HZ47" s="51">
        <f>HV47*$HZ$44</f>
        <v>0</v>
      </c>
      <c r="IA47" s="51">
        <f>HW47*$IA$44</f>
        <v>0</v>
      </c>
      <c r="IB47" s="51">
        <f>HZ47*IA47</f>
        <v>0</v>
      </c>
      <c r="IC47" s="54"/>
      <c r="ID47" s="51">
        <f t="shared" ref="ID47:ID48" si="865">HZ47*$ID$44</f>
        <v>0</v>
      </c>
      <c r="IE47" s="51">
        <f t="shared" ref="IE47:IE48" si="866">IA47*$IE$44</f>
        <v>0</v>
      </c>
      <c r="IF47" s="51">
        <f>ID47*IE47</f>
        <v>0</v>
      </c>
      <c r="IG47" s="54"/>
      <c r="IH47" s="51">
        <f t="shared" ref="IH47:IH48" si="867">ID47*$IH$44</f>
        <v>0</v>
      </c>
      <c r="II47" s="51">
        <f t="shared" ref="II47:II48" si="868">IE47*$II$44</f>
        <v>0</v>
      </c>
      <c r="IJ47" s="51">
        <f>IH47*II47</f>
        <v>0</v>
      </c>
      <c r="IK47" s="54"/>
      <c r="IL47" s="80">
        <f>SUMIFS($F47:$IK47,$F$3:$IK$3,IL$5,$F$6:$IK$6,IL$6)</f>
        <v>0</v>
      </c>
      <c r="IM47" s="80">
        <v>0</v>
      </c>
      <c r="IN47" s="80">
        <f>SUMIFS($F47:$IK47,$F$3:$IK$3,IL$5,$F$6:$IK$6,IN$6)</f>
        <v>0</v>
      </c>
      <c r="IP47" s="80">
        <f>SUMIFS($F47:$IK47,$F$3:$IK$3,IP$5,$F$6:$IK$6,IP$6)</f>
        <v>0</v>
      </c>
      <c r="IQ47" s="80">
        <v>0</v>
      </c>
      <c r="IR47" s="80">
        <f>SUMIFS($F47:$IK47,$F$3:$IK$3,IP$5,$F$6:$IK$6,IR$6)</f>
        <v>0</v>
      </c>
      <c r="IT47" s="80">
        <f>SUMIFS($F47:$IK47,$F$3:$IK$3,IT$5,$F$6:$IK$6,IT$6)</f>
        <v>0</v>
      </c>
      <c r="IU47" s="80">
        <v>0</v>
      </c>
      <c r="IV47" s="80">
        <f>SUMIFS($F47:$IK47,$F$3:$IK$3,IT$5,$F$6:$IK$6,IV$6)</f>
        <v>0</v>
      </c>
      <c r="IX47" s="80">
        <f>SUMIFS($F47:$IK47,$F$3:$IK$3,IX$5,$F$6:$IK$6,IX$6)</f>
        <v>0</v>
      </c>
      <c r="IY47" s="80">
        <v>0</v>
      </c>
      <c r="IZ47" s="80">
        <f>SUMIFS($F47:$IK47,$F$3:$IK$3,IX$5,$F$6:$IK$6,IZ$6)</f>
        <v>0</v>
      </c>
      <c r="JB47" s="80">
        <f>SUMIFS($F47:$IK47,$F$3:$IK$3,JB$5,$F$6:$IK$6,JB$6)</f>
        <v>0</v>
      </c>
      <c r="JC47" s="80">
        <v>0</v>
      </c>
      <c r="JD47" s="80">
        <f>SUMIFS($F47:$IK47,$F$3:$IK$3,JB$5,$F$6:$IK$6,JD$6)</f>
        <v>0</v>
      </c>
      <c r="JF47" s="80">
        <f>SUMIFS($F47:$IK47,$F$3:$IK$3,JF$5,$F$6:$IK$6,JF$6)</f>
        <v>0</v>
      </c>
      <c r="JG47" s="80">
        <v>0</v>
      </c>
      <c r="JH47" s="80">
        <f>SUMIFS($F47:$IK47,$F$3:$IK$3,JF$5,$F$6:$IK$6,JH$6)</f>
        <v>0</v>
      </c>
    </row>
    <row r="48" ht="18.75" customHeight="1" spans="2:268" x14ac:dyDescent="0.25">
      <c r="B48" s="5" t="s">
        <v>77</v>
      </c>
      <c r="C48" s="27"/>
      <c r="D48" s="29">
        <f>'A.I Revenue Streams - P1'!E48</f>
        <v>0</v>
      </c>
      <c r="E48" s="30"/>
      <c r="F48" s="51">
        <f>'A.I Revenue Streams - P1'!G48</f>
        <v>0</v>
      </c>
      <c r="G48" s="51">
        <f>'A.I Revenue Streams - P1'!I48</f>
        <v>0</v>
      </c>
      <c r="H48" s="51">
        <f>F48*G48</f>
        <v>0</v>
      </c>
      <c r="I48" s="54"/>
      <c r="J48" s="51">
        <f>F48*$J$44</f>
        <v>0</v>
      </c>
      <c r="K48" s="51">
        <f>G48*$K$44</f>
        <v>0</v>
      </c>
      <c r="L48" s="51">
        <f>J48*K48</f>
        <v>0</v>
      </c>
      <c r="M48" s="54"/>
      <c r="N48" s="51">
        <f>J48*$N$44</f>
        <v>0</v>
      </c>
      <c r="O48" s="51">
        <f>K48*$O$44</f>
        <v>0</v>
      </c>
      <c r="P48" s="51">
        <f>N48*O48</f>
        <v>0</v>
      </c>
      <c r="Q48" s="54"/>
      <c r="R48" s="51">
        <f>N48*$R$44</f>
        <v>0</v>
      </c>
      <c r="S48" s="51">
        <f>O48*$S$44</f>
        <v>0</v>
      </c>
      <c r="T48" s="51">
        <f>R48*S48</f>
        <v>0</v>
      </c>
      <c r="U48" s="54"/>
      <c r="V48" s="51">
        <f>R48*$V$44</f>
        <v>0</v>
      </c>
      <c r="W48" s="51">
        <f>S48*$W$44</f>
        <v>0</v>
      </c>
      <c r="X48" s="51">
        <f>V48*W48</f>
        <v>0</v>
      </c>
      <c r="Y48" s="54"/>
      <c r="Z48" s="51">
        <f>V48*$Z$44</f>
        <v>0</v>
      </c>
      <c r="AA48" s="51">
        <f>W48*$AA$44</f>
        <v>0</v>
      </c>
      <c r="AB48" s="51">
        <f>Z48*AA48</f>
        <v>0</v>
      </c>
      <c r="AC48" s="54"/>
      <c r="AD48" s="51">
        <f>Z48*$AD$44</f>
        <v>0</v>
      </c>
      <c r="AE48" s="51">
        <f>AA48*$AE$44</f>
        <v>0</v>
      </c>
      <c r="AF48" s="51">
        <f>AD48*AE48</f>
        <v>0</v>
      </c>
      <c r="AG48" s="54"/>
      <c r="AH48" s="51">
        <f>AD48*$AH$44</f>
        <v>0</v>
      </c>
      <c r="AI48" s="51">
        <f>AE48*$AI$44</f>
        <v>0</v>
      </c>
      <c r="AJ48" s="51">
        <f>AH48*AI48</f>
        <v>0</v>
      </c>
      <c r="AK48" s="54"/>
      <c r="AL48" s="51">
        <f>AH48*$AL$44</f>
        <v>0</v>
      </c>
      <c r="AM48" s="51">
        <f>AI48*$AM$44</f>
        <v>0</v>
      </c>
      <c r="AN48" s="51">
        <f>AL48*AM48</f>
        <v>0</v>
      </c>
      <c r="AO48" s="54"/>
      <c r="AP48" s="51">
        <f>AL48*$AP$44</f>
        <v>0</v>
      </c>
      <c r="AQ48" s="51">
        <f>AM48*$AQ$44</f>
        <v>0</v>
      </c>
      <c r="AR48" s="51">
        <f>AP48*AQ48</f>
        <v>0</v>
      </c>
      <c r="AS48" s="54"/>
      <c r="AT48" s="51">
        <f t="shared" si="786"/>
        <v>0</v>
      </c>
      <c r="AU48" s="51">
        <f t="shared" si="787"/>
        <v>0</v>
      </c>
      <c r="AV48" s="51">
        <f>AT48*AU48</f>
        <v>0</v>
      </c>
      <c r="AW48" s="54"/>
      <c r="AX48" s="51">
        <f t="shared" si="788"/>
        <v>0</v>
      </c>
      <c r="AY48" s="51">
        <f t="shared" si="789"/>
        <v>0</v>
      </c>
      <c r="AZ48" s="51">
        <f>AX48*AY48</f>
        <v>0</v>
      </c>
      <c r="BA48" s="54"/>
      <c r="BB48" s="51">
        <f t="shared" si="790"/>
        <v>0</v>
      </c>
      <c r="BC48" s="51">
        <f t="shared" si="791"/>
        <v>0</v>
      </c>
      <c r="BD48" s="51">
        <f>BB48*BC48</f>
        <v>0</v>
      </c>
      <c r="BE48" s="54"/>
      <c r="BF48" s="51">
        <f t="shared" si="792"/>
        <v>0</v>
      </c>
      <c r="BG48" s="51">
        <f t="shared" si="793"/>
        <v>0</v>
      </c>
      <c r="BH48" s="51">
        <f>BF48*BG48</f>
        <v>0</v>
      </c>
      <c r="BI48" s="54"/>
      <c r="BJ48" s="51">
        <f t="shared" si="794"/>
        <v>0</v>
      </c>
      <c r="BK48" s="51">
        <f t="shared" si="795"/>
        <v>0</v>
      </c>
      <c r="BL48" s="51">
        <f>BJ48*BK48</f>
        <v>0</v>
      </c>
      <c r="BM48" s="54"/>
      <c r="BN48" s="51">
        <f t="shared" si="796"/>
        <v>0</v>
      </c>
      <c r="BO48" s="51">
        <f t="shared" si="797"/>
        <v>0</v>
      </c>
      <c r="BP48" s="51">
        <f>BN48*BO48</f>
        <v>0</v>
      </c>
      <c r="BQ48" s="54"/>
      <c r="BR48" s="51">
        <f t="shared" si="798"/>
        <v>0</v>
      </c>
      <c r="BS48" s="51">
        <f t="shared" si="799"/>
        <v>0</v>
      </c>
      <c r="BT48" s="51">
        <f>BR48*BS48</f>
        <v>0</v>
      </c>
      <c r="BU48" s="54"/>
      <c r="BV48" s="51">
        <f t="shared" si="800"/>
        <v>0</v>
      </c>
      <c r="BW48" s="51">
        <f t="shared" si="801"/>
        <v>0</v>
      </c>
      <c r="BX48" s="51">
        <f>BV48*BW48</f>
        <v>0</v>
      </c>
      <c r="BY48" s="54"/>
      <c r="BZ48" s="51">
        <f t="shared" si="802"/>
        <v>0</v>
      </c>
      <c r="CA48" s="51">
        <f t="shared" si="803"/>
        <v>0</v>
      </c>
      <c r="CB48" s="51">
        <f>BZ48*CA48</f>
        <v>0</v>
      </c>
      <c r="CC48" s="54"/>
      <c r="CD48" s="51">
        <f t="shared" si="804"/>
        <v>0</v>
      </c>
      <c r="CE48" s="51">
        <f t="shared" si="805"/>
        <v>0</v>
      </c>
      <c r="CF48" s="51">
        <f>CD48*CE48</f>
        <v>0</v>
      </c>
      <c r="CG48" s="54"/>
      <c r="CH48" s="51">
        <f t="shared" si="806"/>
        <v>0</v>
      </c>
      <c r="CI48" s="51">
        <f t="shared" si="807"/>
        <v>0</v>
      </c>
      <c r="CJ48" s="51">
        <f>CH48*CI48</f>
        <v>0</v>
      </c>
      <c r="CK48" s="54"/>
      <c r="CL48" s="51">
        <f>CH48*$CL$44</f>
        <v>0</v>
      </c>
      <c r="CM48" s="51">
        <f>CI48*$CM$44</f>
        <v>0</v>
      </c>
      <c r="CN48" s="51">
        <f>CL48*CM48</f>
        <v>0</v>
      </c>
      <c r="CO48" s="54"/>
      <c r="CP48" s="51">
        <f t="shared" ref="CP48" si="869">CL48*$CP$44</f>
        <v>0</v>
      </c>
      <c r="CQ48" s="51">
        <f>CM48*$CQ$44</f>
        <v>0</v>
      </c>
      <c r="CR48" s="51">
        <f>CP48*CQ48</f>
        <v>0</v>
      </c>
      <c r="CS48" s="54"/>
      <c r="CT48" s="51">
        <f t="shared" si="809"/>
        <v>0</v>
      </c>
      <c r="CU48" s="51">
        <f t="shared" si="810"/>
        <v>0</v>
      </c>
      <c r="CV48" s="51">
        <f>CT48*CU48</f>
        <v>0</v>
      </c>
      <c r="CW48" s="54"/>
      <c r="CX48" s="51">
        <f t="shared" si="811"/>
        <v>0</v>
      </c>
      <c r="CY48" s="51">
        <f t="shared" si="812"/>
        <v>0</v>
      </c>
      <c r="CZ48" s="51">
        <f>CX48*CY48</f>
        <v>0</v>
      </c>
      <c r="DA48" s="54"/>
      <c r="DB48" s="51">
        <f t="shared" si="813"/>
        <v>0</v>
      </c>
      <c r="DC48" s="51">
        <f t="shared" si="814"/>
        <v>0</v>
      </c>
      <c r="DD48" s="51">
        <f>DB48*DC48</f>
        <v>0</v>
      </c>
      <c r="DE48" s="54"/>
      <c r="DF48" s="51">
        <f t="shared" si="815"/>
        <v>0</v>
      </c>
      <c r="DG48" s="51">
        <f t="shared" si="816"/>
        <v>0</v>
      </c>
      <c r="DH48" s="51">
        <f>DF48*DG48</f>
        <v>0</v>
      </c>
      <c r="DI48" s="54"/>
      <c r="DJ48" s="51">
        <f t="shared" si="817"/>
        <v>0</v>
      </c>
      <c r="DK48" s="51">
        <f>DG48*$DK$44</f>
        <v>0</v>
      </c>
      <c r="DL48" s="51">
        <f>DJ48*DK48</f>
        <v>0</v>
      </c>
      <c r="DM48" s="54"/>
      <c r="DN48" s="51">
        <f t="shared" ref="DN48" si="870">DJ48*$DN$44</f>
        <v>0</v>
      </c>
      <c r="DO48" s="51">
        <f t="shared" ref="DO48" si="871">DK48*$DO$44</f>
        <v>0</v>
      </c>
      <c r="DP48" s="51">
        <f>DN48*DO48</f>
        <v>0</v>
      </c>
      <c r="DQ48" s="54"/>
      <c r="DR48" s="51">
        <f t="shared" si="818"/>
        <v>0</v>
      </c>
      <c r="DS48" s="51">
        <f t="shared" si="819"/>
        <v>0</v>
      </c>
      <c r="DT48" s="51">
        <f>DR48*DS48</f>
        <v>0</v>
      </c>
      <c r="DU48" s="54"/>
      <c r="DV48" s="51">
        <f t="shared" si="820"/>
        <v>0</v>
      </c>
      <c r="DW48" s="51">
        <f t="shared" si="821"/>
        <v>0</v>
      </c>
      <c r="DX48" s="51">
        <f>DV48*DW48</f>
        <v>0</v>
      </c>
      <c r="DY48" s="54"/>
      <c r="DZ48" s="51">
        <f t="shared" si="822"/>
        <v>0</v>
      </c>
      <c r="EA48" s="51">
        <f t="shared" si="823"/>
        <v>0</v>
      </c>
      <c r="EB48" s="51">
        <f>DZ48*EA48</f>
        <v>0</v>
      </c>
      <c r="EC48" s="54"/>
      <c r="ED48" s="51">
        <f t="shared" si="824"/>
        <v>0</v>
      </c>
      <c r="EE48" s="51">
        <f t="shared" si="825"/>
        <v>0</v>
      </c>
      <c r="EF48" s="51">
        <f>ED48*EE48</f>
        <v>0</v>
      </c>
      <c r="EG48" s="54"/>
      <c r="EH48" s="51">
        <f>ED48*$EH$44</f>
        <v>0</v>
      </c>
      <c r="EI48" s="51">
        <f>EE48*$EI$44</f>
        <v>0</v>
      </c>
      <c r="EJ48" s="51">
        <f>EH48*EI48</f>
        <v>0</v>
      </c>
      <c r="EK48" s="54"/>
      <c r="EL48" s="51">
        <f t="shared" si="826"/>
        <v>0</v>
      </c>
      <c r="EM48" s="51">
        <f t="shared" si="827"/>
        <v>0</v>
      </c>
      <c r="EN48" s="51">
        <f>EL48*EM48</f>
        <v>0</v>
      </c>
      <c r="EO48" s="54"/>
      <c r="EP48" s="51">
        <f t="shared" si="828"/>
        <v>0</v>
      </c>
      <c r="EQ48" s="51">
        <f t="shared" si="829"/>
        <v>0</v>
      </c>
      <c r="ER48" s="51">
        <f>EP48*EQ48</f>
        <v>0</v>
      </c>
      <c r="ES48" s="54"/>
      <c r="ET48" s="51">
        <f t="shared" si="830"/>
        <v>0</v>
      </c>
      <c r="EU48" s="51">
        <f t="shared" si="831"/>
        <v>0</v>
      </c>
      <c r="EV48" s="51">
        <f>ET48*EU48</f>
        <v>0</v>
      </c>
      <c r="EW48" s="54"/>
      <c r="EX48" s="51">
        <f>ET48*$EX$44</f>
        <v>0</v>
      </c>
      <c r="EY48" s="51">
        <f>EU48*$EY$44</f>
        <v>0</v>
      </c>
      <c r="EZ48" s="51">
        <f>EX48*EY48</f>
        <v>0</v>
      </c>
      <c r="FA48" s="54"/>
      <c r="FB48" s="51">
        <f t="shared" si="833"/>
        <v>0</v>
      </c>
      <c r="FC48" s="51">
        <f>EY48*$FC$44</f>
        <v>0</v>
      </c>
      <c r="FD48" s="51">
        <f>FB48*FC48</f>
        <v>0</v>
      </c>
      <c r="FE48" s="54"/>
      <c r="FF48" s="51">
        <f t="shared" si="835"/>
        <v>0</v>
      </c>
      <c r="FG48" s="51">
        <f t="shared" si="836"/>
        <v>0</v>
      </c>
      <c r="FH48" s="51">
        <f>FF48*FG48</f>
        <v>0</v>
      </c>
      <c r="FI48" s="54"/>
      <c r="FJ48" s="51">
        <f>FF48*$FJ$44</f>
        <v>0</v>
      </c>
      <c r="FK48" s="51">
        <f>FG48*$FK$44</f>
        <v>0</v>
      </c>
      <c r="FL48" s="51">
        <f>FJ48*FK48</f>
        <v>0</v>
      </c>
      <c r="FM48" s="54"/>
      <c r="FN48" s="51">
        <f t="shared" si="838"/>
        <v>0</v>
      </c>
      <c r="FO48" s="51">
        <f>FK48*$FO$44</f>
        <v>0</v>
      </c>
      <c r="FP48" s="51">
        <f>FN48*FO48</f>
        <v>0</v>
      </c>
      <c r="FQ48" s="54"/>
      <c r="FR48" s="51">
        <f t="shared" si="839"/>
        <v>0</v>
      </c>
      <c r="FS48" s="51">
        <f t="shared" si="840"/>
        <v>0</v>
      </c>
      <c r="FT48" s="51">
        <f>FR48*FS48</f>
        <v>0</v>
      </c>
      <c r="FU48" s="54"/>
      <c r="FV48" s="51">
        <f>FR48*$FV$44</f>
        <v>0</v>
      </c>
      <c r="FW48" s="51">
        <f>FS48*$FW$44</f>
        <v>0</v>
      </c>
      <c r="FX48" s="51">
        <f>FV48*FW48</f>
        <v>0</v>
      </c>
      <c r="FY48" s="54"/>
      <c r="FZ48" s="51">
        <f t="shared" si="841"/>
        <v>0</v>
      </c>
      <c r="GA48" s="51">
        <f t="shared" si="842"/>
        <v>0</v>
      </c>
      <c r="GB48" s="51">
        <f>FZ48*GA48</f>
        <v>0</v>
      </c>
      <c r="GD48" s="51">
        <f>FZ48*$GD$44</f>
        <v>0</v>
      </c>
      <c r="GE48" s="51">
        <f>GA48*$GE$44</f>
        <v>0</v>
      </c>
      <c r="GF48" s="51">
        <f>GD48*GE48</f>
        <v>0</v>
      </c>
      <c r="GG48" s="54"/>
      <c r="GH48" s="51">
        <f t="shared" si="843"/>
        <v>0</v>
      </c>
      <c r="GI48" s="51">
        <f t="shared" si="844"/>
        <v>0</v>
      </c>
      <c r="GJ48" s="51">
        <f>GH48*GI48</f>
        <v>0</v>
      </c>
      <c r="GK48" s="54"/>
      <c r="GL48" s="51">
        <f t="shared" si="845"/>
        <v>0</v>
      </c>
      <c r="GM48" s="51">
        <f t="shared" si="846"/>
        <v>0</v>
      </c>
      <c r="GN48" s="51">
        <f>GL48*GM48</f>
        <v>0</v>
      </c>
      <c r="GO48" s="54"/>
      <c r="GP48" s="51">
        <f t="shared" si="847"/>
        <v>0</v>
      </c>
      <c r="GQ48" s="51">
        <f t="shared" si="848"/>
        <v>0</v>
      </c>
      <c r="GR48" s="51">
        <f>GP48*GQ48</f>
        <v>0</v>
      </c>
      <c r="GS48" s="54"/>
      <c r="GT48" s="51">
        <f t="shared" si="849"/>
        <v>0</v>
      </c>
      <c r="GU48" s="51">
        <f t="shared" si="850"/>
        <v>0</v>
      </c>
      <c r="GV48" s="51">
        <f>GT48*GU48</f>
        <v>0</v>
      </c>
      <c r="GW48" s="54"/>
      <c r="GX48" s="51">
        <f t="shared" si="851"/>
        <v>0</v>
      </c>
      <c r="GY48" s="51">
        <f t="shared" si="852"/>
        <v>0</v>
      </c>
      <c r="GZ48" s="51">
        <f>GX48*GY48</f>
        <v>0</v>
      </c>
      <c r="HA48" s="54"/>
      <c r="HB48" s="51">
        <f t="shared" si="853"/>
        <v>0</v>
      </c>
      <c r="HC48" s="51">
        <f t="shared" si="854"/>
        <v>0</v>
      </c>
      <c r="HD48" s="51">
        <f>HB48*HC48</f>
        <v>0</v>
      </c>
      <c r="HE48" s="54"/>
      <c r="HF48" s="51">
        <f t="shared" si="855"/>
        <v>0</v>
      </c>
      <c r="HG48" s="51">
        <f t="shared" si="856"/>
        <v>0</v>
      </c>
      <c r="HH48" s="51">
        <f>HF48*HG48</f>
        <v>0</v>
      </c>
      <c r="HI48" s="54"/>
      <c r="HJ48" s="51">
        <f t="shared" si="857"/>
        <v>0</v>
      </c>
      <c r="HK48" s="51">
        <f t="shared" si="858"/>
        <v>0</v>
      </c>
      <c r="HL48" s="51">
        <f>HJ48*HK48</f>
        <v>0</v>
      </c>
      <c r="HM48" s="54"/>
      <c r="HN48" s="51">
        <f t="shared" si="859"/>
        <v>0</v>
      </c>
      <c r="HO48" s="51">
        <f t="shared" si="860"/>
        <v>0</v>
      </c>
      <c r="HP48" s="51">
        <f>HN48*HO48</f>
        <v>0</v>
      </c>
      <c r="HQ48" s="54"/>
      <c r="HR48" s="51">
        <f t="shared" si="861"/>
        <v>0</v>
      </c>
      <c r="HS48" s="51">
        <f t="shared" si="862"/>
        <v>0</v>
      </c>
      <c r="HT48" s="51">
        <f>HR48*HS48</f>
        <v>0</v>
      </c>
      <c r="HU48" s="54"/>
      <c r="HV48" s="51">
        <f t="shared" si="863"/>
        <v>0</v>
      </c>
      <c r="HW48" s="51">
        <f t="shared" si="864"/>
        <v>0</v>
      </c>
      <c r="HX48" s="51">
        <f>HV48*HW48</f>
        <v>0</v>
      </c>
      <c r="HZ48" s="51">
        <f>HV48*$HZ$44</f>
        <v>0</v>
      </c>
      <c r="IA48" s="51">
        <f>HW48*$IA$44</f>
        <v>0</v>
      </c>
      <c r="IB48" s="51">
        <f>HZ48*IA48</f>
        <v>0</v>
      </c>
      <c r="IC48" s="54"/>
      <c r="ID48" s="51">
        <f t="shared" si="865"/>
        <v>0</v>
      </c>
      <c r="IE48" s="51">
        <f t="shared" si="866"/>
        <v>0</v>
      </c>
      <c r="IF48" s="51">
        <f>ID48*IE48</f>
        <v>0</v>
      </c>
      <c r="IG48" s="54"/>
      <c r="IH48" s="51">
        <f t="shared" si="867"/>
        <v>0</v>
      </c>
      <c r="II48" s="51">
        <f t="shared" si="868"/>
        <v>0</v>
      </c>
      <c r="IJ48" s="51">
        <f>IH48*II48</f>
        <v>0</v>
      </c>
      <c r="IK48" s="54"/>
      <c r="IL48" s="80">
        <f>SUMIFS($F48:$IK48,$F$3:$IK$3,IL$5,$F$6:$IK$6,IL$6)</f>
        <v>0</v>
      </c>
      <c r="IM48" s="80">
        <v>0</v>
      </c>
      <c r="IN48" s="80">
        <f>SUMIFS($F48:$IK48,$F$3:$IK$3,IL$5,$F$6:$IK$6,IN$6)</f>
        <v>0</v>
      </c>
      <c r="IP48" s="80">
        <f>SUMIFS($F48:$IK48,$F$3:$IK$3,IP$5,$F$6:$IK$6,IP$6)</f>
        <v>0</v>
      </c>
      <c r="IQ48" s="80">
        <v>0</v>
      </c>
      <c r="IR48" s="80">
        <f>SUMIFS($F48:$IK48,$F$3:$IK$3,IP$5,$F$6:$IK$6,IR$6)</f>
        <v>0</v>
      </c>
      <c r="IT48" s="80">
        <f>SUMIFS($F48:$IK48,$F$3:$IK$3,IT$5,$F$6:$IK$6,IT$6)</f>
        <v>0</v>
      </c>
      <c r="IU48" s="80">
        <v>0</v>
      </c>
      <c r="IV48" s="80">
        <f>SUMIFS($F48:$IK48,$F$3:$IK$3,IT$5,$F$6:$IK$6,IV$6)</f>
        <v>0</v>
      </c>
      <c r="IX48" s="80">
        <f>SUMIFS($F48:$IK48,$F$3:$IK$3,IX$5,$F$6:$IK$6,IX$6)</f>
        <v>0</v>
      </c>
      <c r="IY48" s="80">
        <v>0</v>
      </c>
      <c r="IZ48" s="80">
        <f>SUMIFS($F48:$IK48,$F$3:$IK$3,IX$5,$F$6:$IK$6,IZ$6)</f>
        <v>0</v>
      </c>
      <c r="JB48" s="80">
        <f>SUMIFS($F48:$IK48,$F$3:$IK$3,JB$5,$F$6:$IK$6,JB$6)</f>
        <v>0</v>
      </c>
      <c r="JC48" s="80">
        <v>0</v>
      </c>
      <c r="JD48" s="80">
        <f>SUMIFS($F48:$IK48,$F$3:$IK$3,JB$5,$F$6:$IK$6,JD$6)</f>
        <v>0</v>
      </c>
      <c r="JF48" s="80">
        <f>SUMIFS($F48:$IK48,$F$3:$IK$3,JF$5,$F$6:$IK$6,JF$6)</f>
        <v>0</v>
      </c>
      <c r="JG48" s="80">
        <v>0</v>
      </c>
      <c r="JH48" s="80">
        <f>SUMIFS($F48:$IK48,$F$3:$IK$3,JF$5,$F$6:$IK$6,JH$6)</f>
        <v>0</v>
      </c>
    </row>
    <row r="49" ht="18.75" customHeight="1" spans="2:268" x14ac:dyDescent="0.25">
      <c r="B49" s="5" t="s">
        <v>78</v>
      </c>
      <c r="C49" s="27"/>
      <c r="D49" s="29">
        <f>'A.I Revenue Streams - P1'!E49</f>
        <v>0</v>
      </c>
      <c r="E49" s="30"/>
      <c r="F49" s="51">
        <f>'A.I Revenue Streams - P1'!G49</f>
        <v>0</v>
      </c>
      <c r="G49" s="51">
        <f>'A.I Revenue Streams - P1'!I49</f>
        <v>0</v>
      </c>
      <c r="H49" s="51">
        <f>F49*G49</f>
        <v>0</v>
      </c>
      <c r="I49" s="54"/>
      <c r="J49" s="51">
        <f>F49*$J$44</f>
        <v>0</v>
      </c>
      <c r="K49" s="51">
        <f>G49*$K$44</f>
        <v>0</v>
      </c>
      <c r="L49" s="51">
        <f>J49*K49</f>
        <v>0</v>
      </c>
      <c r="M49" s="54"/>
      <c r="N49" s="51">
        <f>J49*$N$44</f>
        <v>0</v>
      </c>
      <c r="O49" s="51">
        <f>K49*$O$44</f>
        <v>0</v>
      </c>
      <c r="P49" s="51">
        <f>N49*O49</f>
        <v>0</v>
      </c>
      <c r="Q49" s="54"/>
      <c r="R49" s="51">
        <f>N49*$R$44</f>
        <v>0</v>
      </c>
      <c r="S49" s="51">
        <f>O49*$S$44</f>
        <v>0</v>
      </c>
      <c r="T49" s="51">
        <f>R49*S49</f>
        <v>0</v>
      </c>
      <c r="U49" s="54"/>
      <c r="V49" s="51">
        <f>R49*$V$44</f>
        <v>0</v>
      </c>
      <c r="W49" s="51">
        <f>S49*$W$44</f>
        <v>0</v>
      </c>
      <c r="X49" s="51">
        <f>V49*W49</f>
        <v>0</v>
      </c>
      <c r="Y49" s="54"/>
      <c r="Z49" s="51">
        <f>V49*$Z$44</f>
        <v>0</v>
      </c>
      <c r="AA49" s="51">
        <f>W49*$AA$44</f>
        <v>0</v>
      </c>
      <c r="AB49" s="51">
        <f>Z49*AA49</f>
        <v>0</v>
      </c>
      <c r="AC49" s="54"/>
      <c r="AD49" s="51">
        <f>Z49*$AD$44</f>
        <v>0</v>
      </c>
      <c r="AE49" s="51">
        <f>AA49*$AE$44</f>
        <v>0</v>
      </c>
      <c r="AF49" s="51">
        <f>AD49*AE49</f>
        <v>0</v>
      </c>
      <c r="AG49" s="54"/>
      <c r="AH49" s="51">
        <f>AD49*$AH$44</f>
        <v>0</v>
      </c>
      <c r="AI49" s="51">
        <f>AE49*$AI$44</f>
        <v>0</v>
      </c>
      <c r="AJ49" s="51">
        <f>AH49*AI49</f>
        <v>0</v>
      </c>
      <c r="AK49" s="54"/>
      <c r="AL49" s="51">
        <f>AH49*$AL$44</f>
        <v>0</v>
      </c>
      <c r="AM49" s="51">
        <f>AI49*$AM$44</f>
        <v>0</v>
      </c>
      <c r="AN49" s="51">
        <f>AL49*AM49</f>
        <v>0</v>
      </c>
      <c r="AO49" s="54"/>
      <c r="AP49" s="51">
        <f>AL49*$AP$44</f>
        <v>0</v>
      </c>
      <c r="AQ49" s="51">
        <f>AM49*$AQ$44</f>
        <v>0</v>
      </c>
      <c r="AR49" s="51">
        <f>AP49*AQ49</f>
        <v>0</v>
      </c>
      <c r="AS49" s="54"/>
      <c r="AT49" s="51">
        <f t="shared" ref="AT49" si="872">AP49*$AT$44</f>
        <v>0</v>
      </c>
      <c r="AU49" s="51">
        <f t="shared" ref="AU49" si="873">AQ49*$AU$44</f>
        <v>0</v>
      </c>
      <c r="AV49" s="51">
        <f>AT49*AU49</f>
        <v>0</v>
      </c>
      <c r="AW49" s="54"/>
      <c r="AX49" s="51">
        <f t="shared" ref="AX49" si="874">AT49*$AX$44</f>
        <v>0</v>
      </c>
      <c r="AY49" s="51">
        <f t="shared" ref="AY49" si="875">AU49*$AY$44</f>
        <v>0</v>
      </c>
      <c r="AZ49" s="51">
        <f>AX49*AY49</f>
        <v>0</v>
      </c>
      <c r="BA49" s="54"/>
      <c r="BB49" s="51">
        <f t="shared" ref="BB49" si="876">AX49*$BB$44</f>
        <v>0</v>
      </c>
      <c r="BC49" s="51">
        <f t="shared" ref="BC49" si="877">AY49*$BC$44</f>
        <v>0</v>
      </c>
      <c r="BD49" s="51">
        <f>BB49*BC49</f>
        <v>0</v>
      </c>
      <c r="BE49" s="54"/>
      <c r="BF49" s="51">
        <f t="shared" ref="BF49" si="878">BB49*$BF$44</f>
        <v>0</v>
      </c>
      <c r="BG49" s="51">
        <f t="shared" ref="BG49" si="879">BC49*$BG$44</f>
        <v>0</v>
      </c>
      <c r="BH49" s="51">
        <f>BF49*BG49</f>
        <v>0</v>
      </c>
      <c r="BI49" s="54"/>
      <c r="BJ49" s="51">
        <f t="shared" ref="BJ49" si="880">BF49*$BJ$44</f>
        <v>0</v>
      </c>
      <c r="BK49" s="51">
        <f t="shared" ref="BK49" si="881">BG49*$BK$44</f>
        <v>0</v>
      </c>
      <c r="BL49" s="51">
        <f>BJ49*BK49</f>
        <v>0</v>
      </c>
      <c r="BM49" s="54"/>
      <c r="BN49" s="51">
        <f t="shared" ref="BN49" si="882">BJ49*$BN$44</f>
        <v>0</v>
      </c>
      <c r="BO49" s="51">
        <f t="shared" ref="BO49" si="883">BK49*$BO$44</f>
        <v>0</v>
      </c>
      <c r="BP49" s="51">
        <f>BN49*BO49</f>
        <v>0</v>
      </c>
      <c r="BQ49" s="54"/>
      <c r="BR49" s="51">
        <f t="shared" ref="BR49" si="884">BN49*$BR$44</f>
        <v>0</v>
      </c>
      <c r="BS49" s="51">
        <f t="shared" ref="BS49" si="885">BO49*$BS$44</f>
        <v>0</v>
      </c>
      <c r="BT49" s="51">
        <f>BR49*BS49</f>
        <v>0</v>
      </c>
      <c r="BU49" s="54"/>
      <c r="BV49" s="51">
        <f t="shared" ref="BV49" si="886">BR49*$BV$44</f>
        <v>0</v>
      </c>
      <c r="BW49" s="51">
        <f t="shared" ref="BW49" si="887">BS49*$BW$44</f>
        <v>0</v>
      </c>
      <c r="BX49" s="51">
        <f>BV49*BW49</f>
        <v>0</v>
      </c>
      <c r="BY49" s="54"/>
      <c r="BZ49" s="51">
        <f t="shared" ref="BZ49" si="888">BV49*$BZ$44</f>
        <v>0</v>
      </c>
      <c r="CA49" s="51">
        <f t="shared" ref="CA49" si="889">BW49*$CA$44</f>
        <v>0</v>
      </c>
      <c r="CB49" s="51">
        <f>BZ49*CA49</f>
        <v>0</v>
      </c>
      <c r="CC49" s="54"/>
      <c r="CD49" s="51">
        <f t="shared" ref="CD49" si="890">BZ49*$CD$44</f>
        <v>0</v>
      </c>
      <c r="CE49" s="51">
        <f t="shared" ref="CE49" si="891">CA49*$CE$44</f>
        <v>0</v>
      </c>
      <c r="CF49" s="51">
        <f>CD49*CE49</f>
        <v>0</v>
      </c>
      <c r="CG49" s="54"/>
      <c r="CH49" s="51">
        <f t="shared" ref="CH49" si="892">CD49*$CH$44</f>
        <v>0</v>
      </c>
      <c r="CI49" s="51">
        <f t="shared" ref="CI49" si="893">CE49*$CI$44</f>
        <v>0</v>
      </c>
      <c r="CJ49" s="51">
        <f>CH49*CI49</f>
        <v>0</v>
      </c>
      <c r="CK49" s="54"/>
      <c r="CL49" s="51">
        <f>CH49*$CL$44</f>
        <v>0</v>
      </c>
      <c r="CM49" s="51">
        <f>CI49*$CM$44</f>
        <v>0</v>
      </c>
      <c r="CN49" s="51">
        <f>CL49*CM49</f>
        <v>0</v>
      </c>
      <c r="CO49" s="54"/>
      <c r="CP49" s="51">
        <f t="shared" ref="CP49" si="894">CL49*$CP$44</f>
        <v>0</v>
      </c>
      <c r="CQ49" s="51">
        <f>CM49*$CQ$44</f>
        <v>0</v>
      </c>
      <c r="CR49" s="51">
        <f>CP49*CQ49</f>
        <v>0</v>
      </c>
      <c r="CS49" s="54"/>
      <c r="CT49" s="51">
        <f t="shared" ref="CT49" si="895">CP49*$CT$44</f>
        <v>0</v>
      </c>
      <c r="CU49" s="51">
        <f t="shared" ref="CU49" si="896">CQ49*$CU$44</f>
        <v>0</v>
      </c>
      <c r="CV49" s="51">
        <f>CT49*CU49</f>
        <v>0</v>
      </c>
      <c r="CW49" s="54"/>
      <c r="CX49" s="51">
        <f t="shared" ref="CX49" si="897">CT49*$CX$44</f>
        <v>0</v>
      </c>
      <c r="CY49" s="51">
        <f t="shared" ref="CY49" si="898">CU49*$CY$44</f>
        <v>0</v>
      </c>
      <c r="CZ49" s="51">
        <f>CX49*CY49</f>
        <v>0</v>
      </c>
      <c r="DA49" s="54"/>
      <c r="DB49" s="51">
        <f t="shared" ref="DB49" si="899">CX49*$DB$44</f>
        <v>0</v>
      </c>
      <c r="DC49" s="51">
        <f t="shared" ref="DC49" si="900">CY49*$DC$44</f>
        <v>0</v>
      </c>
      <c r="DD49" s="51">
        <f>DB49*DC49</f>
        <v>0</v>
      </c>
      <c r="DE49" s="54"/>
      <c r="DF49" s="51">
        <f t="shared" ref="DF49" si="901">DB49*$DF$44</f>
        <v>0</v>
      </c>
      <c r="DG49" s="51">
        <f t="shared" ref="DG49" si="902">DC49*$DG$44</f>
        <v>0</v>
      </c>
      <c r="DH49" s="51">
        <f>DF49*DG49</f>
        <v>0</v>
      </c>
      <c r="DI49" s="54"/>
      <c r="DJ49" s="51">
        <f t="shared" ref="DJ49" si="903">DF49*$DJ$44</f>
        <v>0</v>
      </c>
      <c r="DK49" s="51">
        <f>DG49*$DK$44</f>
        <v>0</v>
      </c>
      <c r="DL49" s="51">
        <f>DJ49*DK49</f>
        <v>0</v>
      </c>
      <c r="DM49" s="54"/>
      <c r="DN49" s="51">
        <f t="shared" ref="DN49" si="904">DJ49*$DN$44</f>
        <v>0</v>
      </c>
      <c r="DO49" s="51">
        <f t="shared" ref="DO49" si="905">DK49*$DO$44</f>
        <v>0</v>
      </c>
      <c r="DP49" s="51">
        <f>DN49*DO49</f>
        <v>0</v>
      </c>
      <c r="DQ49" s="54"/>
      <c r="DR49" s="51">
        <f t="shared" ref="DR49" si="906">DN49*$DR$44</f>
        <v>0</v>
      </c>
      <c r="DS49" s="51">
        <f t="shared" ref="DS49" si="907">DO49*$DS$44</f>
        <v>0</v>
      </c>
      <c r="DT49" s="51">
        <f>DR49*DS49</f>
        <v>0</v>
      </c>
      <c r="DU49" s="54"/>
      <c r="DV49" s="51">
        <f t="shared" ref="DV49" si="908">DR49*$DV$44</f>
        <v>0</v>
      </c>
      <c r="DW49" s="51">
        <f t="shared" ref="DW49" si="909">DS49*$DW$44</f>
        <v>0</v>
      </c>
      <c r="DX49" s="51">
        <f>DV49*DW49</f>
        <v>0</v>
      </c>
      <c r="DY49" s="54"/>
      <c r="DZ49" s="51">
        <f t="shared" ref="DZ49" si="910">DV49*$DZ$44</f>
        <v>0</v>
      </c>
      <c r="EA49" s="51">
        <f t="shared" ref="EA49" si="911">DW49*$EA$44</f>
        <v>0</v>
      </c>
      <c r="EB49" s="51">
        <f>DZ49*EA49</f>
        <v>0</v>
      </c>
      <c r="EC49" s="54"/>
      <c r="ED49" s="51">
        <f t="shared" ref="ED49" si="912">DZ49*$ED$44</f>
        <v>0</v>
      </c>
      <c r="EE49" s="51">
        <f t="shared" ref="EE49" si="913">EA49*$EE$44</f>
        <v>0</v>
      </c>
      <c r="EF49" s="51">
        <f>ED49*EE49</f>
        <v>0</v>
      </c>
      <c r="EG49" s="54"/>
      <c r="EH49" s="51">
        <f>ED49*$EH$44</f>
        <v>0</v>
      </c>
      <c r="EI49" s="51">
        <f>EE49*$EI$44</f>
        <v>0</v>
      </c>
      <c r="EJ49" s="51">
        <f>EH49*EI49</f>
        <v>0</v>
      </c>
      <c r="EK49" s="54"/>
      <c r="EL49" s="51">
        <f t="shared" ref="EL49" si="914">EH49*$EL$44</f>
        <v>0</v>
      </c>
      <c r="EM49" s="51">
        <f t="shared" ref="EM49" si="915">EI49*$EM$44</f>
        <v>0</v>
      </c>
      <c r="EN49" s="51">
        <f>EL49*EM49</f>
        <v>0</v>
      </c>
      <c r="EO49" s="54"/>
      <c r="EP49" s="51">
        <f t="shared" ref="EP49" si="916">EL49*$EP$44</f>
        <v>0</v>
      </c>
      <c r="EQ49" s="51">
        <f t="shared" ref="EQ49" si="917">EM49*$EQ$44</f>
        <v>0</v>
      </c>
      <c r="ER49" s="51">
        <f>EP49*EQ49</f>
        <v>0</v>
      </c>
      <c r="ES49" s="54"/>
      <c r="ET49" s="51">
        <f t="shared" ref="ET49" si="918">EP49*$ET$44</f>
        <v>0</v>
      </c>
      <c r="EU49" s="51">
        <f t="shared" ref="EU49" si="919">EQ49*$EU$44</f>
        <v>0</v>
      </c>
      <c r="EV49" s="51">
        <f>ET49*EU49</f>
        <v>0</v>
      </c>
      <c r="EW49" s="54"/>
      <c r="EX49" s="51">
        <f>ET49*$EX$44</f>
        <v>0</v>
      </c>
      <c r="EY49" s="51">
        <f>EU49*$EY$44</f>
        <v>0</v>
      </c>
      <c r="EZ49" s="51">
        <f>EX49*EY49</f>
        <v>0</v>
      </c>
      <c r="FA49" s="54"/>
      <c r="FB49" s="51">
        <f t="shared" ref="FB49" si="920">EX49*$FB$44</f>
        <v>0</v>
      </c>
      <c r="FC49" s="51">
        <f>EY49*$FC$44</f>
        <v>0</v>
      </c>
      <c r="FD49" s="51">
        <f>FB49*FC49</f>
        <v>0</v>
      </c>
      <c r="FE49" s="54"/>
      <c r="FF49" s="51">
        <f t="shared" ref="FF49" si="921">FB49*$FF$44</f>
        <v>0</v>
      </c>
      <c r="FG49" s="51">
        <f t="shared" ref="FG49" si="922">FC49*$FG$44</f>
        <v>0</v>
      </c>
      <c r="FH49" s="51">
        <f>FF49*FG49</f>
        <v>0</v>
      </c>
      <c r="FI49" s="54"/>
      <c r="FJ49" s="51">
        <f>FF49*$FJ$44</f>
        <v>0</v>
      </c>
      <c r="FK49" s="51">
        <f>FG49*$FK$44</f>
        <v>0</v>
      </c>
      <c r="FL49" s="51">
        <f>FJ49*FK49</f>
        <v>0</v>
      </c>
      <c r="FM49" s="54"/>
      <c r="FN49" s="51">
        <f t="shared" ref="FN49" si="923">FJ49*$FN$44</f>
        <v>0</v>
      </c>
      <c r="FO49" s="51">
        <f>FK49*$FO$44</f>
        <v>0</v>
      </c>
      <c r="FP49" s="51">
        <f>FN49*FO49</f>
        <v>0</v>
      </c>
      <c r="FQ49" s="54"/>
      <c r="FR49" s="51">
        <f t="shared" ref="FR49" si="924">FN49*$FR$44</f>
        <v>0</v>
      </c>
      <c r="FS49" s="51">
        <f t="shared" ref="FS49" si="925">FO49*$FS$44</f>
        <v>0</v>
      </c>
      <c r="FT49" s="51">
        <f>FR49*FS49</f>
        <v>0</v>
      </c>
      <c r="FU49" s="54"/>
      <c r="FV49" s="51">
        <f>FR49*$FV$44</f>
        <v>0</v>
      </c>
      <c r="FW49" s="51">
        <f>FS49*$FW$44</f>
        <v>0</v>
      </c>
      <c r="FX49" s="51">
        <f>FV49*FW49</f>
        <v>0</v>
      </c>
      <c r="FY49" s="54"/>
      <c r="FZ49" s="51">
        <f t="shared" ref="FZ49" si="926">FV49*$FZ$44</f>
        <v>0</v>
      </c>
      <c r="GA49" s="51">
        <f t="shared" ref="GA49" si="927">FW49*$GA$44</f>
        <v>0</v>
      </c>
      <c r="GB49" s="51">
        <f>FZ49*GA49</f>
        <v>0</v>
      </c>
      <c r="GD49" s="51">
        <f>FZ49*$GD$44</f>
        <v>0</v>
      </c>
      <c r="GE49" s="51">
        <f>GA49*$GE$44</f>
        <v>0</v>
      </c>
      <c r="GF49" s="51">
        <f>GD49*GE49</f>
        <v>0</v>
      </c>
      <c r="GG49" s="54"/>
      <c r="GH49" s="51">
        <f t="shared" ref="GH49" si="928">GD49*$GH$44</f>
        <v>0</v>
      </c>
      <c r="GI49" s="51">
        <f t="shared" ref="GI49" si="929">GE49*$GI$44</f>
        <v>0</v>
      </c>
      <c r="GJ49" s="51">
        <f>GH49*GI49</f>
        <v>0</v>
      </c>
      <c r="GK49" s="54"/>
      <c r="GL49" s="51">
        <f t="shared" ref="GL49" si="930">GH49*$GL$44</f>
        <v>0</v>
      </c>
      <c r="GM49" s="51">
        <f t="shared" ref="GM49" si="931">GI49*$GM$44</f>
        <v>0</v>
      </c>
      <c r="GN49" s="51">
        <f>GL49*GM49</f>
        <v>0</v>
      </c>
      <c r="GO49" s="54"/>
      <c r="GP49" s="51">
        <f t="shared" ref="GP49" si="932">GL49*$GP$44</f>
        <v>0</v>
      </c>
      <c r="GQ49" s="51">
        <f t="shared" ref="GQ49" si="933">GM49*$GQ$44</f>
        <v>0</v>
      </c>
      <c r="GR49" s="51">
        <f>GP49*GQ49</f>
        <v>0</v>
      </c>
      <c r="GS49" s="54"/>
      <c r="GT49" s="51">
        <f t="shared" ref="GT49" si="934">GP49*$GT$44</f>
        <v>0</v>
      </c>
      <c r="GU49" s="51">
        <f t="shared" ref="GU49" si="935">GQ49*$GU$44</f>
        <v>0</v>
      </c>
      <c r="GV49" s="51">
        <f>GT49*GU49</f>
        <v>0</v>
      </c>
      <c r="GW49" s="54"/>
      <c r="GX49" s="51">
        <f t="shared" ref="GX49" si="936">GT49*$GX$44</f>
        <v>0</v>
      </c>
      <c r="GY49" s="51">
        <f t="shared" ref="GY49" si="937">GU49*$GY$44</f>
        <v>0</v>
      </c>
      <c r="GZ49" s="51">
        <f>GX49*GY49</f>
        <v>0</v>
      </c>
      <c r="HA49" s="54"/>
      <c r="HB49" s="51">
        <f t="shared" ref="HB49" si="938">GX49*$HB$44</f>
        <v>0</v>
      </c>
      <c r="HC49" s="51">
        <f t="shared" ref="HC49" si="939">GY49*$HC$44</f>
        <v>0</v>
      </c>
      <c r="HD49" s="51">
        <f>HB49*HC49</f>
        <v>0</v>
      </c>
      <c r="HE49" s="54"/>
      <c r="HF49" s="51">
        <f t="shared" ref="HF49" si="940">HB49*$HF$44</f>
        <v>0</v>
      </c>
      <c r="HG49" s="51">
        <f t="shared" ref="HG49" si="941">HC49*$HG$44</f>
        <v>0</v>
      </c>
      <c r="HH49" s="51">
        <f>HF49*HG49</f>
        <v>0</v>
      </c>
      <c r="HI49" s="54"/>
      <c r="HJ49" s="51">
        <f t="shared" ref="HJ49" si="942">HF49*$HJ$44</f>
        <v>0</v>
      </c>
      <c r="HK49" s="51">
        <f t="shared" ref="HK49" si="943">HG49*$HK$44</f>
        <v>0</v>
      </c>
      <c r="HL49" s="51">
        <f>HJ49*HK49</f>
        <v>0</v>
      </c>
      <c r="HM49" s="54"/>
      <c r="HN49" s="51">
        <f t="shared" ref="HN49" si="944">HJ49*$HN$44</f>
        <v>0</v>
      </c>
      <c r="HO49" s="51">
        <f t="shared" ref="HO49" si="945">HK49*$HO$44</f>
        <v>0</v>
      </c>
      <c r="HP49" s="51">
        <f>HN49*HO49</f>
        <v>0</v>
      </c>
      <c r="HQ49" s="54"/>
      <c r="HR49" s="51">
        <f t="shared" ref="HR49" si="946">HN49*$HR$44</f>
        <v>0</v>
      </c>
      <c r="HS49" s="51">
        <f t="shared" ref="HS49" si="947">HO49*$HS$44</f>
        <v>0</v>
      </c>
      <c r="HT49" s="51">
        <f>HR49*HS49</f>
        <v>0</v>
      </c>
      <c r="HU49" s="54"/>
      <c r="HV49" s="51">
        <f t="shared" ref="HV49" si="948">HR49*$HV$44</f>
        <v>0</v>
      </c>
      <c r="HW49" s="51">
        <f t="shared" ref="HW49" si="949">HS49*$HW$44</f>
        <v>0</v>
      </c>
      <c r="HX49" s="51">
        <f>HV49*HW49</f>
        <v>0</v>
      </c>
      <c r="HZ49" s="51">
        <f>HV49*$HZ$44</f>
        <v>0</v>
      </c>
      <c r="IA49" s="51">
        <f>HW49*$IA$44</f>
        <v>0</v>
      </c>
      <c r="IB49" s="51">
        <f>HZ49*IA49</f>
        <v>0</v>
      </c>
      <c r="IC49" s="54"/>
      <c r="ID49" s="51">
        <f t="shared" ref="ID49" si="950">HZ49*$ID$44</f>
        <v>0</v>
      </c>
      <c r="IE49" s="51">
        <f t="shared" ref="IE49" si="951">IA49*$IE$44</f>
        <v>0</v>
      </c>
      <c r="IF49" s="51">
        <f>ID49*IE49</f>
        <v>0</v>
      </c>
      <c r="IG49" s="54"/>
      <c r="IH49" s="51">
        <f t="shared" ref="IH49" si="952">ID49*$IH$44</f>
        <v>0</v>
      </c>
      <c r="II49" s="51">
        <f t="shared" ref="II49" si="953">IE49*$II$44</f>
        <v>0</v>
      </c>
      <c r="IJ49" s="51">
        <f>IH49*II49</f>
        <v>0</v>
      </c>
      <c r="IK49" s="54"/>
      <c r="IL49" s="80">
        <f>SUMIFS($F49:$IK49,$F$3:$IK$3,IL$5,$F$6:$IK$6,IL$6)</f>
        <v>0</v>
      </c>
      <c r="IM49" s="80">
        <v>0</v>
      </c>
      <c r="IN49" s="80">
        <f>SUMIFS($F49:$IK49,$F$3:$IK$3,IL$5,$F$6:$IK$6,IN$6)</f>
        <v>0</v>
      </c>
      <c r="IP49" s="80">
        <f>SUMIFS($F49:$IK49,$F$3:$IK$3,IP$5,$F$6:$IK$6,IP$6)</f>
        <v>0</v>
      </c>
      <c r="IQ49" s="80">
        <v>0</v>
      </c>
      <c r="IR49" s="80">
        <f>SUMIFS($F49:$IK49,$F$3:$IK$3,IP$5,$F$6:$IK$6,IR$6)</f>
        <v>0</v>
      </c>
      <c r="IT49" s="80">
        <f>SUMIFS($F49:$IK49,$F$3:$IK$3,IT$5,$F$6:$IK$6,IT$6)</f>
        <v>0</v>
      </c>
      <c r="IU49" s="80">
        <v>0</v>
      </c>
      <c r="IV49" s="80">
        <f>SUMIFS($F49:$IK49,$F$3:$IK$3,IT$5,$F$6:$IK$6,IV$6)</f>
        <v>0</v>
      </c>
      <c r="IX49" s="80">
        <f>SUMIFS($F49:$IK49,$F$3:$IK$3,IX$5,$F$6:$IK$6,IX$6)</f>
        <v>0</v>
      </c>
      <c r="IY49" s="80">
        <v>0</v>
      </c>
      <c r="IZ49" s="80">
        <f>SUMIFS($F49:$IK49,$F$3:$IK$3,IX$5,$F$6:$IK$6,IZ$6)</f>
        <v>0</v>
      </c>
      <c r="JB49" s="80">
        <f>SUMIFS($F49:$IK49,$F$3:$IK$3,JB$5,$F$6:$IK$6,JB$6)</f>
        <v>0</v>
      </c>
      <c r="JC49" s="80">
        <v>0</v>
      </c>
      <c r="JD49" s="80">
        <f>SUMIFS($F49:$IK49,$F$3:$IK$3,JB$5,$F$6:$IK$6,JD$6)</f>
        <v>0</v>
      </c>
      <c r="JF49" s="80">
        <f>SUMIFS($F49:$IK49,$F$3:$IK$3,JF$5,$F$6:$IK$6,JF$6)</f>
        <v>0</v>
      </c>
      <c r="JG49" s="80">
        <v>0</v>
      </c>
      <c r="JH49" s="80">
        <f>SUMIFS($F49:$IK49,$F$3:$IK$3,JF$5,$F$6:$IK$6,JH$6)</f>
        <v>0</v>
      </c>
    </row>
    <row r="50" ht="18.75" customHeight="1" spans="2:268" x14ac:dyDescent="0.25">
      <c r="B50" s="5" t="s">
        <v>79</v>
      </c>
      <c r="C50" s="27"/>
      <c r="D50" s="29">
        <f>'A.I Revenue Streams - P1'!E50</f>
        <v>0</v>
      </c>
      <c r="E50" s="30"/>
      <c r="F50" s="51">
        <f>'A.I Revenue Streams - P1'!G50</f>
        <v>0</v>
      </c>
      <c r="G50" s="51">
        <f>'A.I Revenue Streams - P1'!I50</f>
        <v>0</v>
      </c>
      <c r="H50" s="51">
        <f>F50*G50</f>
        <v>0</v>
      </c>
      <c r="I50" s="54"/>
      <c r="J50" s="51">
        <f>F50*$J$44</f>
        <v>0</v>
      </c>
      <c r="K50" s="51">
        <f>G50*$K$44</f>
        <v>0</v>
      </c>
      <c r="L50" s="51">
        <f>J50*K50</f>
        <v>0</v>
      </c>
      <c r="M50" s="54"/>
      <c r="N50" s="51">
        <f>J50*$N$44</f>
        <v>0</v>
      </c>
      <c r="O50" s="51">
        <f>K50*$O$44</f>
        <v>0</v>
      </c>
      <c r="P50" s="51">
        <f>N50*O50</f>
        <v>0</v>
      </c>
      <c r="Q50" s="54"/>
      <c r="R50" s="51">
        <f>N50*$R$44</f>
        <v>0</v>
      </c>
      <c r="S50" s="51">
        <f>O50*$S$44</f>
        <v>0</v>
      </c>
      <c r="T50" s="51">
        <f>R50*S50</f>
        <v>0</v>
      </c>
      <c r="U50" s="54"/>
      <c r="V50" s="51">
        <f>R50*$V$44</f>
        <v>0</v>
      </c>
      <c r="W50" s="51">
        <f>S50*$W$44</f>
        <v>0</v>
      </c>
      <c r="X50" s="51">
        <f>V50*W50</f>
        <v>0</v>
      </c>
      <c r="Y50" s="54"/>
      <c r="Z50" s="51">
        <f>V50*$Z$44</f>
        <v>0</v>
      </c>
      <c r="AA50" s="51">
        <f>W50*$AA$44</f>
        <v>0</v>
      </c>
      <c r="AB50" s="51">
        <f>Z50*AA50</f>
        <v>0</v>
      </c>
      <c r="AC50" s="54"/>
      <c r="AD50" s="51">
        <f>Z50*$AD$44</f>
        <v>0</v>
      </c>
      <c r="AE50" s="51">
        <f>AA50*$AE$44</f>
        <v>0</v>
      </c>
      <c r="AF50" s="51">
        <f>AD50*AE50</f>
        <v>0</v>
      </c>
      <c r="AG50" s="54"/>
      <c r="AH50" s="51">
        <f>AD50*$AH$44</f>
        <v>0</v>
      </c>
      <c r="AI50" s="51">
        <f>AE50*$AI$44</f>
        <v>0</v>
      </c>
      <c r="AJ50" s="51">
        <f>AH50*AI50</f>
        <v>0</v>
      </c>
      <c r="AK50" s="54"/>
      <c r="AL50" s="51">
        <f>AH50*$AL$44</f>
        <v>0</v>
      </c>
      <c r="AM50" s="51">
        <f>AI50*$AM$44</f>
        <v>0</v>
      </c>
      <c r="AN50" s="51">
        <f>AL50*AM50</f>
        <v>0</v>
      </c>
      <c r="AO50" s="54"/>
      <c r="AP50" s="51">
        <f>AL50*$AP$44</f>
        <v>0</v>
      </c>
      <c r="AQ50" s="51">
        <f>AM50*$AQ$44</f>
        <v>0</v>
      </c>
      <c r="AR50" s="51">
        <f>AP50*AQ50</f>
        <v>0</v>
      </c>
      <c r="AS50" s="54"/>
      <c r="AT50" s="51">
        <f t="shared" ref="AT50" si="954">AP50*$AT$44</f>
        <v>0</v>
      </c>
      <c r="AU50" s="51">
        <f t="shared" ref="AU50" si="955">AQ50*$AU$44</f>
        <v>0</v>
      </c>
      <c r="AV50" s="51">
        <f>AT50*AU50</f>
        <v>0</v>
      </c>
      <c r="AW50" s="54"/>
      <c r="AX50" s="51">
        <f t="shared" ref="AX50" si="956">AT50*$AX$44</f>
        <v>0</v>
      </c>
      <c r="AY50" s="51">
        <f t="shared" ref="AY50" si="957">AU50*$AY$44</f>
        <v>0</v>
      </c>
      <c r="AZ50" s="51">
        <f>AX50*AY50</f>
        <v>0</v>
      </c>
      <c r="BA50" s="54"/>
      <c r="BB50" s="51">
        <f t="shared" ref="BB50" si="958">AX50*$BB$44</f>
        <v>0</v>
      </c>
      <c r="BC50" s="51">
        <f t="shared" ref="BC50" si="959">AY50*$BC$44</f>
        <v>0</v>
      </c>
      <c r="BD50" s="51">
        <f>BB50*BC50</f>
        <v>0</v>
      </c>
      <c r="BE50" s="54"/>
      <c r="BF50" s="51">
        <f t="shared" ref="BF50" si="960">BB50*$BF$44</f>
        <v>0</v>
      </c>
      <c r="BG50" s="51">
        <f t="shared" ref="BG50" si="961">BC50*$BG$44</f>
        <v>0</v>
      </c>
      <c r="BH50" s="51">
        <f>BF50*BG50</f>
        <v>0</v>
      </c>
      <c r="BI50" s="54"/>
      <c r="BJ50" s="51">
        <f t="shared" ref="BJ50" si="962">BF50*$BJ$44</f>
        <v>0</v>
      </c>
      <c r="BK50" s="51">
        <f t="shared" ref="BK50" si="963">BG50*$BK$44</f>
        <v>0</v>
      </c>
      <c r="BL50" s="51">
        <f>BJ50*BK50</f>
        <v>0</v>
      </c>
      <c r="BM50" s="54"/>
      <c r="BN50" s="51">
        <f t="shared" ref="BN50" si="964">BJ50*$BN$44</f>
        <v>0</v>
      </c>
      <c r="BO50" s="51">
        <f t="shared" ref="BO50" si="965">BK50*$BO$44</f>
        <v>0</v>
      </c>
      <c r="BP50" s="51">
        <f>BN50*BO50</f>
        <v>0</v>
      </c>
      <c r="BQ50" s="54"/>
      <c r="BR50" s="51">
        <f t="shared" ref="BR50" si="966">BN50*$BR$44</f>
        <v>0</v>
      </c>
      <c r="BS50" s="51">
        <f t="shared" ref="BS50" si="967">BO50*$BS$44</f>
        <v>0</v>
      </c>
      <c r="BT50" s="51">
        <f>BR50*BS50</f>
        <v>0</v>
      </c>
      <c r="BU50" s="54"/>
      <c r="BV50" s="51">
        <f t="shared" ref="BV50" si="968">BR50*$BV$44</f>
        <v>0</v>
      </c>
      <c r="BW50" s="51">
        <f t="shared" ref="BW50" si="969">BS50*$BW$44</f>
        <v>0</v>
      </c>
      <c r="BX50" s="51">
        <f>BV50*BW50</f>
        <v>0</v>
      </c>
      <c r="BY50" s="54"/>
      <c r="BZ50" s="51">
        <f t="shared" ref="BZ50" si="970">BV50*$BZ$44</f>
        <v>0</v>
      </c>
      <c r="CA50" s="51">
        <f t="shared" ref="CA50" si="971">BW50*$CA$44</f>
        <v>0</v>
      </c>
      <c r="CB50" s="51">
        <f>BZ50*CA50</f>
        <v>0</v>
      </c>
      <c r="CC50" s="54"/>
      <c r="CD50" s="51">
        <f t="shared" ref="CD50" si="972">BZ50*$CD$44</f>
        <v>0</v>
      </c>
      <c r="CE50" s="51">
        <f t="shared" ref="CE50" si="973">CA50*$CE$44</f>
        <v>0</v>
      </c>
      <c r="CF50" s="51">
        <f>CD50*CE50</f>
        <v>0</v>
      </c>
      <c r="CG50" s="54"/>
      <c r="CH50" s="51">
        <f t="shared" ref="CH50" si="974">CD50*$CH$44</f>
        <v>0</v>
      </c>
      <c r="CI50" s="51">
        <f t="shared" ref="CI50" si="975">CE50*$CI$44</f>
        <v>0</v>
      </c>
      <c r="CJ50" s="51">
        <f>CH50*CI50</f>
        <v>0</v>
      </c>
      <c r="CK50" s="54"/>
      <c r="CL50" s="51">
        <f>CH50*$CL$44</f>
        <v>0</v>
      </c>
      <c r="CM50" s="51">
        <f>CI50*$CM$44</f>
        <v>0</v>
      </c>
      <c r="CN50" s="51">
        <f>CL50*CM50</f>
        <v>0</v>
      </c>
      <c r="CO50" s="54"/>
      <c r="CP50" s="51">
        <f t="shared" ref="CP50" si="976">CL50*$CP$44</f>
        <v>0</v>
      </c>
      <c r="CQ50" s="51">
        <f>CM50*$CQ$44</f>
        <v>0</v>
      </c>
      <c r="CR50" s="51">
        <f>CP50*CQ50</f>
        <v>0</v>
      </c>
      <c r="CS50" s="54"/>
      <c r="CT50" s="51">
        <f t="shared" ref="CT50" si="977">CP50*$CT$44</f>
        <v>0</v>
      </c>
      <c r="CU50" s="51">
        <f t="shared" ref="CU50" si="978">CQ50*$CU$44</f>
        <v>0</v>
      </c>
      <c r="CV50" s="51">
        <f>CT50*CU50</f>
        <v>0</v>
      </c>
      <c r="CW50" s="54"/>
      <c r="CX50" s="51">
        <f t="shared" ref="CX50" si="979">CT50*$CX$44</f>
        <v>0</v>
      </c>
      <c r="CY50" s="51">
        <f t="shared" ref="CY50" si="980">CU50*$CY$44</f>
        <v>0</v>
      </c>
      <c r="CZ50" s="51">
        <f>CX50*CY50</f>
        <v>0</v>
      </c>
      <c r="DA50" s="54"/>
      <c r="DB50" s="51">
        <f t="shared" ref="DB50" si="981">CX50*$DB$44</f>
        <v>0</v>
      </c>
      <c r="DC50" s="51">
        <f t="shared" ref="DC50" si="982">CY50*$DC$44</f>
        <v>0</v>
      </c>
      <c r="DD50" s="51">
        <f>DB50*DC50</f>
        <v>0</v>
      </c>
      <c r="DE50" s="54"/>
      <c r="DF50" s="51">
        <f t="shared" ref="DF50" si="983">DB50*$DF$44</f>
        <v>0</v>
      </c>
      <c r="DG50" s="51">
        <f t="shared" ref="DG50" si="984">DC50*$DG$44</f>
        <v>0</v>
      </c>
      <c r="DH50" s="51">
        <f>DF50*DG50</f>
        <v>0</v>
      </c>
      <c r="DI50" s="54"/>
      <c r="DJ50" s="51">
        <f t="shared" ref="DJ50" si="985">DF50*$DJ$44</f>
        <v>0</v>
      </c>
      <c r="DK50" s="51">
        <f>DG50*$DK$44</f>
        <v>0</v>
      </c>
      <c r="DL50" s="51">
        <f>DJ50*DK50</f>
        <v>0</v>
      </c>
      <c r="DM50" s="54"/>
      <c r="DN50" s="51">
        <f t="shared" ref="DN50" si="986">DJ50*$DN$44</f>
        <v>0</v>
      </c>
      <c r="DO50" s="51">
        <f t="shared" ref="DO50" si="987">DK50*$DO$44</f>
        <v>0</v>
      </c>
      <c r="DP50" s="51">
        <f>DN50*DO50</f>
        <v>0</v>
      </c>
      <c r="DQ50" s="54"/>
      <c r="DR50" s="51">
        <f t="shared" ref="DR50" si="988">DN50*$DR$44</f>
        <v>0</v>
      </c>
      <c r="DS50" s="51">
        <f t="shared" ref="DS50" si="989">DO50*$DS$44</f>
        <v>0</v>
      </c>
      <c r="DT50" s="51">
        <f>DR50*DS50</f>
        <v>0</v>
      </c>
      <c r="DU50" s="54"/>
      <c r="DV50" s="51">
        <f t="shared" ref="DV50" si="990">DR50*$DV$44</f>
        <v>0</v>
      </c>
      <c r="DW50" s="51">
        <f t="shared" ref="DW50" si="991">DS50*$DW$44</f>
        <v>0</v>
      </c>
      <c r="DX50" s="51">
        <f>DV50*DW50</f>
        <v>0</v>
      </c>
      <c r="DY50" s="54"/>
      <c r="DZ50" s="51">
        <f t="shared" ref="DZ50" si="992">DV50*$DZ$44</f>
        <v>0</v>
      </c>
      <c r="EA50" s="51">
        <f t="shared" ref="EA50" si="993">DW50*$EA$44</f>
        <v>0</v>
      </c>
      <c r="EB50" s="51">
        <f>DZ50*EA50</f>
        <v>0</v>
      </c>
      <c r="EC50" s="54"/>
      <c r="ED50" s="51">
        <f t="shared" ref="ED50" si="994">DZ50*$ED$44</f>
        <v>0</v>
      </c>
      <c r="EE50" s="51">
        <f t="shared" ref="EE50" si="995">EA50*$EE$44</f>
        <v>0</v>
      </c>
      <c r="EF50" s="51">
        <f>ED50*EE50</f>
        <v>0</v>
      </c>
      <c r="EG50" s="54"/>
      <c r="EH50" s="51">
        <f>ED50*$EH$44</f>
        <v>0</v>
      </c>
      <c r="EI50" s="51">
        <f>EE50*$EI$44</f>
        <v>0</v>
      </c>
      <c r="EJ50" s="51">
        <f>EH50*EI50</f>
        <v>0</v>
      </c>
      <c r="EK50" s="54"/>
      <c r="EL50" s="51">
        <f t="shared" ref="EL50" si="996">EH50*$EL$44</f>
        <v>0</v>
      </c>
      <c r="EM50" s="51">
        <f t="shared" ref="EM50" si="997">EI50*$EM$44</f>
        <v>0</v>
      </c>
      <c r="EN50" s="51">
        <f>EL50*EM50</f>
        <v>0</v>
      </c>
      <c r="EO50" s="54"/>
      <c r="EP50" s="51">
        <f t="shared" ref="EP50" si="998">EL50*$EP$44</f>
        <v>0</v>
      </c>
      <c r="EQ50" s="51">
        <f t="shared" ref="EQ50" si="999">EM50*$EQ$44</f>
        <v>0</v>
      </c>
      <c r="ER50" s="51">
        <f>EP50*EQ50</f>
        <v>0</v>
      </c>
      <c r="ES50" s="54"/>
      <c r="ET50" s="51">
        <f t="shared" ref="ET50" si="1000">EP50*$ET$44</f>
        <v>0</v>
      </c>
      <c r="EU50" s="51">
        <f t="shared" ref="EU50" si="1001">EQ50*$EU$44</f>
        <v>0</v>
      </c>
      <c r="EV50" s="51">
        <f>ET50*EU50</f>
        <v>0</v>
      </c>
      <c r="EW50" s="54"/>
      <c r="EX50" s="51">
        <f>ET50*$EX$44</f>
        <v>0</v>
      </c>
      <c r="EY50" s="51">
        <f>EU50*$EY$44</f>
        <v>0</v>
      </c>
      <c r="EZ50" s="51">
        <f>EX50*EY50</f>
        <v>0</v>
      </c>
      <c r="FA50" s="54"/>
      <c r="FB50" s="51">
        <f t="shared" ref="FB50" si="1002">EX50*$FB$44</f>
        <v>0</v>
      </c>
      <c r="FC50" s="51">
        <f>EY50*$FC$44</f>
        <v>0</v>
      </c>
      <c r="FD50" s="51">
        <f>FB50*FC50</f>
        <v>0</v>
      </c>
      <c r="FE50" s="54"/>
      <c r="FF50" s="51">
        <f t="shared" ref="FF50" si="1003">FB50*$FF$44</f>
        <v>0</v>
      </c>
      <c r="FG50" s="51">
        <f t="shared" ref="FG50" si="1004">FC50*$FG$44</f>
        <v>0</v>
      </c>
      <c r="FH50" s="51">
        <f>FF50*FG50</f>
        <v>0</v>
      </c>
      <c r="FI50" s="54"/>
      <c r="FJ50" s="51">
        <f>FF50*$FJ$44</f>
        <v>0</v>
      </c>
      <c r="FK50" s="51">
        <f>FG50*$FK$44</f>
        <v>0</v>
      </c>
      <c r="FL50" s="51">
        <f>FJ50*FK50</f>
        <v>0</v>
      </c>
      <c r="FM50" s="54"/>
      <c r="FN50" s="51">
        <f t="shared" ref="FN50" si="1005">FJ50*$FN$44</f>
        <v>0</v>
      </c>
      <c r="FO50" s="51">
        <f>FK50*$FO$44</f>
        <v>0</v>
      </c>
      <c r="FP50" s="51">
        <f>FN50*FO50</f>
        <v>0</v>
      </c>
      <c r="FQ50" s="54"/>
      <c r="FR50" s="51">
        <f t="shared" ref="FR50" si="1006">FN50*$FR$44</f>
        <v>0</v>
      </c>
      <c r="FS50" s="51">
        <f t="shared" ref="FS50" si="1007">FO50*$FS$44</f>
        <v>0</v>
      </c>
      <c r="FT50" s="51">
        <f>FR50*FS50</f>
        <v>0</v>
      </c>
      <c r="FU50" s="54"/>
      <c r="FV50" s="51">
        <f>FR50*$FV$44</f>
        <v>0</v>
      </c>
      <c r="FW50" s="51">
        <f>FS50*$FW$44</f>
        <v>0</v>
      </c>
      <c r="FX50" s="51">
        <f>FV50*FW50</f>
        <v>0</v>
      </c>
      <c r="FY50" s="54"/>
      <c r="FZ50" s="51">
        <f t="shared" ref="FZ50" si="1008">FV50*$FZ$44</f>
        <v>0</v>
      </c>
      <c r="GA50" s="51">
        <f t="shared" ref="GA50" si="1009">FW50*$GA$44</f>
        <v>0</v>
      </c>
      <c r="GB50" s="51">
        <f>FZ50*GA50</f>
        <v>0</v>
      </c>
      <c r="GD50" s="51">
        <f>FZ50*$GD$44</f>
        <v>0</v>
      </c>
      <c r="GE50" s="51">
        <f>GA50*$GE$44</f>
        <v>0</v>
      </c>
      <c r="GF50" s="51">
        <f>GD50*GE50</f>
        <v>0</v>
      </c>
      <c r="GG50" s="54"/>
      <c r="GH50" s="51">
        <f t="shared" ref="GH50" si="1010">GD50*$GH$44</f>
        <v>0</v>
      </c>
      <c r="GI50" s="51">
        <f t="shared" ref="GI50" si="1011">GE50*$GI$44</f>
        <v>0</v>
      </c>
      <c r="GJ50" s="51">
        <f>GH50*GI50</f>
        <v>0</v>
      </c>
      <c r="GK50" s="54"/>
      <c r="GL50" s="51">
        <f t="shared" ref="GL50" si="1012">GH50*$GL$44</f>
        <v>0</v>
      </c>
      <c r="GM50" s="51">
        <f t="shared" ref="GM50" si="1013">GI50*$GM$44</f>
        <v>0</v>
      </c>
      <c r="GN50" s="51">
        <f>GL50*GM50</f>
        <v>0</v>
      </c>
      <c r="GO50" s="54"/>
      <c r="GP50" s="51">
        <f t="shared" ref="GP50" si="1014">GL50*$GP$44</f>
        <v>0</v>
      </c>
      <c r="GQ50" s="51">
        <f t="shared" ref="GQ50" si="1015">GM50*$GQ$44</f>
        <v>0</v>
      </c>
      <c r="GR50" s="51">
        <f>GP50*GQ50</f>
        <v>0</v>
      </c>
      <c r="GS50" s="54"/>
      <c r="GT50" s="51">
        <f t="shared" ref="GT50" si="1016">GP50*$GT$44</f>
        <v>0</v>
      </c>
      <c r="GU50" s="51">
        <f t="shared" ref="GU50" si="1017">GQ50*$GU$44</f>
        <v>0</v>
      </c>
      <c r="GV50" s="51">
        <f>GT50*GU50</f>
        <v>0</v>
      </c>
      <c r="GW50" s="54"/>
      <c r="GX50" s="51">
        <f t="shared" ref="GX50" si="1018">GT50*$GX$44</f>
        <v>0</v>
      </c>
      <c r="GY50" s="51">
        <f t="shared" ref="GY50" si="1019">GU50*$GY$44</f>
        <v>0</v>
      </c>
      <c r="GZ50" s="51">
        <f>GX50*GY50</f>
        <v>0</v>
      </c>
      <c r="HA50" s="54"/>
      <c r="HB50" s="51">
        <f t="shared" ref="HB50" si="1020">GX50*$HB$44</f>
        <v>0</v>
      </c>
      <c r="HC50" s="51">
        <f t="shared" ref="HC50" si="1021">GY50*$HC$44</f>
        <v>0</v>
      </c>
      <c r="HD50" s="51">
        <f>HB50*HC50</f>
        <v>0</v>
      </c>
      <c r="HE50" s="54"/>
      <c r="HF50" s="51">
        <f t="shared" ref="HF50" si="1022">HB50*$HF$44</f>
        <v>0</v>
      </c>
      <c r="HG50" s="51">
        <f t="shared" ref="HG50" si="1023">HC50*$HG$44</f>
        <v>0</v>
      </c>
      <c r="HH50" s="51">
        <f>HF50*HG50</f>
        <v>0</v>
      </c>
      <c r="HI50" s="54"/>
      <c r="HJ50" s="51">
        <f t="shared" ref="HJ50" si="1024">HF50*$HJ$44</f>
        <v>0</v>
      </c>
      <c r="HK50" s="51">
        <f t="shared" ref="HK50" si="1025">HG50*$HK$44</f>
        <v>0</v>
      </c>
      <c r="HL50" s="51">
        <f>HJ50*HK50</f>
        <v>0</v>
      </c>
      <c r="HM50" s="54"/>
      <c r="HN50" s="51">
        <f t="shared" ref="HN50" si="1026">HJ50*$HN$44</f>
        <v>0</v>
      </c>
      <c r="HO50" s="51">
        <f t="shared" ref="HO50" si="1027">HK50*$HO$44</f>
        <v>0</v>
      </c>
      <c r="HP50" s="51">
        <f>HN50*HO50</f>
        <v>0</v>
      </c>
      <c r="HQ50" s="54"/>
      <c r="HR50" s="51">
        <f t="shared" ref="HR50" si="1028">HN50*$HR$44</f>
        <v>0</v>
      </c>
      <c r="HS50" s="51">
        <f t="shared" ref="HS50" si="1029">HO50*$HS$44</f>
        <v>0</v>
      </c>
      <c r="HT50" s="51">
        <f>HR50*HS50</f>
        <v>0</v>
      </c>
      <c r="HU50" s="54"/>
      <c r="HV50" s="51">
        <f t="shared" ref="HV50" si="1030">HR50*$HV$44</f>
        <v>0</v>
      </c>
      <c r="HW50" s="51">
        <f t="shared" ref="HW50" si="1031">HS50*$HW$44</f>
        <v>0</v>
      </c>
      <c r="HX50" s="51">
        <f>HV50*HW50</f>
        <v>0</v>
      </c>
      <c r="HZ50" s="51">
        <f>HV50*$HZ$44</f>
        <v>0</v>
      </c>
      <c r="IA50" s="51">
        <f>HW50*$IA$44</f>
        <v>0</v>
      </c>
      <c r="IB50" s="51">
        <f>HZ50*IA50</f>
        <v>0</v>
      </c>
      <c r="IC50" s="54"/>
      <c r="ID50" s="51">
        <f t="shared" ref="ID50" si="1032">HZ50*$ID$44</f>
        <v>0</v>
      </c>
      <c r="IE50" s="51">
        <f t="shared" ref="IE50" si="1033">IA50*$IE$44</f>
        <v>0</v>
      </c>
      <c r="IF50" s="51">
        <f>ID50*IE50</f>
        <v>0</v>
      </c>
      <c r="IG50" s="54"/>
      <c r="IH50" s="51">
        <f t="shared" ref="IH50" si="1034">ID50*$IH$44</f>
        <v>0</v>
      </c>
      <c r="II50" s="51">
        <f t="shared" ref="II50" si="1035">IE50*$II$44</f>
        <v>0</v>
      </c>
      <c r="IJ50" s="51">
        <f>IH50*II50</f>
        <v>0</v>
      </c>
      <c r="IK50" s="54"/>
      <c r="IL50" s="80">
        <f>SUMIFS($F50:$IK50,$F$3:$IK$3,IL$5,$F$6:$IK$6,IL$6)</f>
        <v>0</v>
      </c>
      <c r="IM50" s="80">
        <v>0</v>
      </c>
      <c r="IN50" s="80">
        <f>SUMIFS($F50:$IK50,$F$3:$IK$3,IL$5,$F$6:$IK$6,IN$6)</f>
        <v>0</v>
      </c>
      <c r="IP50" s="80">
        <f>SUMIFS($F50:$IK50,$F$3:$IK$3,IP$5,$F$6:$IK$6,IP$6)</f>
        <v>0</v>
      </c>
      <c r="IQ50" s="80">
        <v>0</v>
      </c>
      <c r="IR50" s="80">
        <f>SUMIFS($F50:$IK50,$F$3:$IK$3,IP$5,$F$6:$IK$6,IR$6)</f>
        <v>0</v>
      </c>
      <c r="IT50" s="80">
        <f>SUMIFS($F50:$IK50,$F$3:$IK$3,IT$5,$F$6:$IK$6,IT$6)</f>
        <v>0</v>
      </c>
      <c r="IU50" s="80">
        <v>0</v>
      </c>
      <c r="IV50" s="80">
        <f>SUMIFS($F50:$IK50,$F$3:$IK$3,IT$5,$F$6:$IK$6,IV$6)</f>
        <v>0</v>
      </c>
      <c r="IX50" s="80">
        <f>SUMIFS($F50:$IK50,$F$3:$IK$3,IX$5,$F$6:$IK$6,IX$6)</f>
        <v>0</v>
      </c>
      <c r="IY50" s="80">
        <v>0</v>
      </c>
      <c r="IZ50" s="80">
        <f>SUMIFS($F50:$IK50,$F$3:$IK$3,IX$5,$F$6:$IK$6,IZ$6)</f>
        <v>0</v>
      </c>
      <c r="JB50" s="80">
        <f>SUMIFS($F50:$IK50,$F$3:$IK$3,JB$5,$F$6:$IK$6,JB$6)</f>
        <v>0</v>
      </c>
      <c r="JC50" s="80">
        <v>0</v>
      </c>
      <c r="JD50" s="80">
        <f>SUMIFS($F50:$IK50,$F$3:$IK$3,JB$5,$F$6:$IK$6,JD$6)</f>
        <v>0</v>
      </c>
      <c r="JF50" s="80">
        <f>SUMIFS($F50:$IK50,$F$3:$IK$3,JF$5,$F$6:$IK$6,JF$6)</f>
        <v>0</v>
      </c>
      <c r="JG50" s="80">
        <v>0</v>
      </c>
      <c r="JH50" s="80">
        <f>SUMIFS($F50:$IK50,$F$3:$IK$3,JF$5,$F$6:$IK$6,JH$6)</f>
        <v>0</v>
      </c>
    </row>
    <row r="51" ht="18.75" customHeight="1" spans="2:268" x14ac:dyDescent="0.25">
      <c r="B51" s="34" t="s">
        <v>58</v>
      </c>
      <c r="C51" s="34"/>
      <c r="D51" s="34"/>
      <c r="E51" s="30"/>
      <c r="F51" s="81">
        <f>SUM(F46:F50)</f>
        <v>0</v>
      </c>
      <c r="G51" s="81"/>
      <c r="H51" s="81">
        <f>SUM(H46:H50)</f>
        <v>0</v>
      </c>
      <c r="I51" s="81"/>
      <c r="J51" s="81">
        <f>SUM(J46:J50)</f>
        <v>0</v>
      </c>
      <c r="K51" s="81"/>
      <c r="L51" s="81">
        <f>SUM(L46:L50)</f>
        <v>0</v>
      </c>
      <c r="M51" s="81"/>
      <c r="N51" s="81">
        <f>SUM(N46:N50)</f>
        <v>0</v>
      </c>
      <c r="O51" s="81"/>
      <c r="P51" s="81">
        <f>SUM(P46:P50)</f>
        <v>0</v>
      </c>
      <c r="Q51" s="81"/>
      <c r="R51" s="81">
        <f>SUM(R46:R50)</f>
        <v>0</v>
      </c>
      <c r="S51" s="81"/>
      <c r="T51" s="81">
        <f>SUM(T46:T50)</f>
        <v>0</v>
      </c>
      <c r="U51" s="81"/>
      <c r="V51" s="81">
        <f>SUM(V46:V50)</f>
        <v>0</v>
      </c>
      <c r="W51" s="81"/>
      <c r="X51" s="81">
        <f>SUM(X46:X50)</f>
        <v>0</v>
      </c>
      <c r="Y51" s="81"/>
      <c r="Z51" s="81">
        <f>SUM(Z46:Z50)</f>
        <v>0</v>
      </c>
      <c r="AA51" s="81"/>
      <c r="AB51" s="81">
        <f>SUM(AB46:AB50)</f>
        <v>0</v>
      </c>
      <c r="AC51" s="81"/>
      <c r="AD51" s="81">
        <f>SUM(AD46:AD50)</f>
        <v>0</v>
      </c>
      <c r="AE51" s="81"/>
      <c r="AF51" s="81">
        <f>SUM(AF46:AF50)</f>
        <v>0</v>
      </c>
      <c r="AG51" s="81"/>
      <c r="AH51" s="81">
        <f>SUM(AH46:AH50)</f>
        <v>0</v>
      </c>
      <c r="AI51" s="81"/>
      <c r="AJ51" s="81">
        <f>SUM(AJ46:AJ50)</f>
        <v>0</v>
      </c>
      <c r="AK51" s="81"/>
      <c r="AL51" s="81">
        <f>SUM(AL46:AL50)</f>
        <v>0</v>
      </c>
      <c r="AM51" s="81"/>
      <c r="AN51" s="81">
        <f>SUM(AN46:AN50)</f>
        <v>0</v>
      </c>
      <c r="AO51" s="81"/>
      <c r="AP51" s="81">
        <f>SUM(AP46:AP50)</f>
        <v>0</v>
      </c>
      <c r="AQ51" s="81"/>
      <c r="AR51" s="81">
        <f>SUM(AR46:AR50)</f>
        <v>0</v>
      </c>
      <c r="AS51" s="81"/>
      <c r="AT51" s="81">
        <f>SUM(AT46:AT50)</f>
        <v>0</v>
      </c>
      <c r="AU51" s="81"/>
      <c r="AV51" s="81">
        <f>SUM(AV46:AV50)</f>
        <v>0</v>
      </c>
      <c r="AW51" s="81"/>
      <c r="AX51" s="81">
        <f>SUM(AX46:AX50)</f>
        <v>0</v>
      </c>
      <c r="AY51" s="81"/>
      <c r="AZ51" s="81">
        <f>SUM(AZ46:AZ50)</f>
        <v>0</v>
      </c>
      <c r="BA51" s="81"/>
      <c r="BB51" s="81">
        <f>SUM(BB46:BB50)</f>
        <v>0</v>
      </c>
      <c r="BC51" s="81"/>
      <c r="BD51" s="81">
        <f>SUM(BD46:BD50)</f>
        <v>0</v>
      </c>
      <c r="BE51" s="81"/>
      <c r="BF51" s="81">
        <f>SUM(BF46:BF50)</f>
        <v>0</v>
      </c>
      <c r="BG51" s="81"/>
      <c r="BH51" s="81">
        <f>SUM(BH46:BH50)</f>
        <v>0</v>
      </c>
      <c r="BI51" s="81"/>
      <c r="BJ51" s="81">
        <f>SUM(BJ46:BJ50)</f>
        <v>0</v>
      </c>
      <c r="BK51" s="81"/>
      <c r="BL51" s="81">
        <f>SUM(BL46:BL50)</f>
        <v>0</v>
      </c>
      <c r="BM51" s="81"/>
      <c r="BN51" s="81">
        <f>SUM(BN46:BN50)</f>
        <v>0</v>
      </c>
      <c r="BO51" s="81"/>
      <c r="BP51" s="81">
        <f>SUM(BP46:BP50)</f>
        <v>0</v>
      </c>
      <c r="BQ51" s="81"/>
      <c r="BR51" s="81">
        <f>SUM(BR46:BR50)</f>
        <v>0</v>
      </c>
      <c r="BS51" s="81"/>
      <c r="BT51" s="81">
        <f>SUM(BT46:BT50)</f>
        <v>0</v>
      </c>
      <c r="BU51" s="81"/>
      <c r="BV51" s="81">
        <f>SUM(BV46:BV50)</f>
        <v>0</v>
      </c>
      <c r="BW51" s="81"/>
      <c r="BX51" s="81">
        <f>SUM(BX46:BX50)</f>
        <v>0</v>
      </c>
      <c r="BY51" s="81"/>
      <c r="BZ51" s="81">
        <f>SUM(BZ46:BZ50)</f>
        <v>0</v>
      </c>
      <c r="CA51" s="81"/>
      <c r="CB51" s="81">
        <f>SUM(CB46:CB50)</f>
        <v>0</v>
      </c>
      <c r="CC51" s="81"/>
      <c r="CD51" s="81">
        <f>SUM(CD46:CD50)</f>
        <v>0</v>
      </c>
      <c r="CE51" s="81"/>
      <c r="CF51" s="81">
        <f>SUM(CF46:CF50)</f>
        <v>0</v>
      </c>
      <c r="CG51" s="81"/>
      <c r="CH51" s="81">
        <f>SUM(CH46:CH50)</f>
        <v>0</v>
      </c>
      <c r="CI51" s="81"/>
      <c r="CJ51" s="81">
        <f>SUM(CJ46:CJ50)</f>
        <v>0</v>
      </c>
      <c r="CK51" s="81"/>
      <c r="CL51" s="81">
        <f>SUM(CL46:CL50)</f>
        <v>0</v>
      </c>
      <c r="CM51" s="81"/>
      <c r="CN51" s="81">
        <f>SUM(CN46:CN50)</f>
        <v>0</v>
      </c>
      <c r="CO51" s="81"/>
      <c r="CP51" s="81">
        <f>SUM(CP46:CP50)</f>
        <v>0</v>
      </c>
      <c r="CQ51" s="81"/>
      <c r="CR51" s="81">
        <f>SUM(CR46:CR50)</f>
        <v>0</v>
      </c>
      <c r="CS51" s="81"/>
      <c r="CT51" s="81">
        <f>SUM(CT46:CT50)</f>
        <v>0</v>
      </c>
      <c r="CU51" s="81"/>
      <c r="CV51" s="81">
        <f>SUM(CV46:CV50)</f>
        <v>0</v>
      </c>
      <c r="CW51" s="81"/>
      <c r="CX51" s="81">
        <f>SUM(CX46:CX50)</f>
        <v>0</v>
      </c>
      <c r="CY51" s="81"/>
      <c r="CZ51" s="81">
        <f>SUM(CZ46:CZ50)</f>
        <v>0</v>
      </c>
      <c r="DA51" s="81"/>
      <c r="DB51" s="81">
        <f>SUM(DB46:DB50)</f>
        <v>0</v>
      </c>
      <c r="DC51" s="81"/>
      <c r="DD51" s="81">
        <f>SUM(DD46:DD50)</f>
        <v>0</v>
      </c>
      <c r="DE51" s="81"/>
      <c r="DF51" s="81">
        <f>SUM(DF46:DF50)</f>
        <v>0</v>
      </c>
      <c r="DG51" s="81"/>
      <c r="DH51" s="81">
        <f>SUM(DH46:DH50)</f>
        <v>0</v>
      </c>
      <c r="DI51" s="81"/>
      <c r="DJ51" s="81">
        <f>SUM(DJ46:DJ50)</f>
        <v>0</v>
      </c>
      <c r="DK51" s="81"/>
      <c r="DL51" s="81">
        <f>SUM(DL46:DL50)</f>
        <v>0</v>
      </c>
      <c r="DM51" s="81"/>
      <c r="DN51" s="81">
        <f>SUM(DN46:DN50)</f>
        <v>0</v>
      </c>
      <c r="DO51" s="81"/>
      <c r="DP51" s="81">
        <f>SUM(DP46:DP50)</f>
        <v>0</v>
      </c>
      <c r="DQ51" s="81"/>
      <c r="DR51" s="81">
        <f>SUM(DR46:DR50)</f>
        <v>0</v>
      </c>
      <c r="DS51" s="81"/>
      <c r="DT51" s="81">
        <f>SUM(DT46:DT50)</f>
        <v>0</v>
      </c>
      <c r="DU51" s="81"/>
      <c r="DV51" s="81">
        <f>SUM(DV46:DV50)</f>
        <v>0</v>
      </c>
      <c r="DW51" s="81"/>
      <c r="DX51" s="81">
        <f>SUM(DX46:DX50)</f>
        <v>0</v>
      </c>
      <c r="DY51" s="81"/>
      <c r="DZ51" s="81">
        <f>SUM(DZ46:DZ50)</f>
        <v>0</v>
      </c>
      <c r="EA51" s="81"/>
      <c r="EB51" s="81">
        <f>SUM(EB46:EB50)</f>
        <v>0</v>
      </c>
      <c r="EC51" s="81"/>
      <c r="ED51" s="81">
        <f>SUM(ED46:ED50)</f>
        <v>0</v>
      </c>
      <c r="EE51" s="81"/>
      <c r="EF51" s="81">
        <f>SUM(EF46:EF50)</f>
        <v>0</v>
      </c>
      <c r="EG51" s="81"/>
      <c r="EH51" s="81">
        <f>SUM(EH46:EH50)</f>
        <v>0</v>
      </c>
      <c r="EI51" s="81"/>
      <c r="EJ51" s="81">
        <f>SUM(EJ46:EJ50)</f>
        <v>0</v>
      </c>
      <c r="EK51" s="81"/>
      <c r="EL51" s="81">
        <f>SUM(EL46:EL50)</f>
        <v>0</v>
      </c>
      <c r="EM51" s="81"/>
      <c r="EN51" s="81">
        <f>SUM(EN46:EN50)</f>
        <v>0</v>
      </c>
      <c r="EO51" s="81"/>
      <c r="EP51" s="81">
        <f>SUM(EP46:EP50)</f>
        <v>0</v>
      </c>
      <c r="EQ51" s="81"/>
      <c r="ER51" s="81">
        <f>SUM(ER46:ER50)</f>
        <v>0</v>
      </c>
      <c r="ES51" s="81"/>
      <c r="ET51" s="81">
        <f>SUM(ET46:ET50)</f>
        <v>0</v>
      </c>
      <c r="EU51" s="81"/>
      <c r="EV51" s="81">
        <f>SUM(EV46:EV50)</f>
        <v>0</v>
      </c>
      <c r="EW51" s="81"/>
      <c r="EX51" s="81">
        <f>SUM(EX46:EX50)</f>
        <v>0</v>
      </c>
      <c r="EY51" s="81"/>
      <c r="EZ51" s="81">
        <f>SUM(EZ46:EZ50)</f>
        <v>0</v>
      </c>
      <c r="FA51" s="81"/>
      <c r="FB51" s="81">
        <f>SUM(FB46:FB50)</f>
        <v>0</v>
      </c>
      <c r="FC51" s="81"/>
      <c r="FD51" s="81">
        <f>SUM(FD46:FD50)</f>
        <v>0</v>
      </c>
      <c r="FE51" s="81"/>
      <c r="FF51" s="81">
        <f>SUM(FF46:FF50)</f>
        <v>0</v>
      </c>
      <c r="FG51" s="81"/>
      <c r="FH51" s="81">
        <f>SUM(FH46:FH50)</f>
        <v>0</v>
      </c>
      <c r="FI51" s="81"/>
      <c r="FJ51" s="81">
        <f>SUM(FJ46:FJ50)</f>
        <v>0</v>
      </c>
      <c r="FK51" s="81"/>
      <c r="FL51" s="81">
        <f>SUM(FL46:FL50)</f>
        <v>0</v>
      </c>
      <c r="FM51" s="81"/>
      <c r="FN51" s="81">
        <f>SUM(FN46:FN50)</f>
        <v>0</v>
      </c>
      <c r="FO51" s="81"/>
      <c r="FP51" s="81">
        <f>SUM(FP46:FP50)</f>
        <v>0</v>
      </c>
      <c r="FQ51" s="81"/>
      <c r="FR51" s="81">
        <f>SUM(FR46:FR50)</f>
        <v>0</v>
      </c>
      <c r="FS51" s="81"/>
      <c r="FT51" s="81">
        <f>SUM(FT46:FT50)</f>
        <v>0</v>
      </c>
      <c r="FU51" s="81"/>
      <c r="FV51" s="81">
        <f>SUM(FV46:FV50)</f>
        <v>0</v>
      </c>
      <c r="FW51" s="81"/>
      <c r="FX51" s="81">
        <f>SUM(FX46:FX50)</f>
        <v>0</v>
      </c>
      <c r="FY51" s="81"/>
      <c r="FZ51" s="81">
        <f>SUM(FZ46:FZ50)</f>
        <v>0</v>
      </c>
      <c r="GA51" s="81"/>
      <c r="GB51" s="81">
        <f>SUM(GB46:GB50)</f>
        <v>0</v>
      </c>
      <c r="GC51" s="9"/>
      <c r="GD51" s="81">
        <f>SUM(GD46:GD50)</f>
        <v>0</v>
      </c>
      <c r="GE51" s="81"/>
      <c r="GF51" s="81">
        <f>SUM(GF46:GF50)</f>
        <v>0</v>
      </c>
      <c r="GG51" s="81"/>
      <c r="GH51" s="81">
        <f>SUM(GH46:GH50)</f>
        <v>0</v>
      </c>
      <c r="GI51" s="81"/>
      <c r="GJ51" s="81">
        <f>SUM(GJ46:GJ50)</f>
        <v>0</v>
      </c>
      <c r="GK51" s="81"/>
      <c r="GL51" s="81">
        <f>SUM(GL46:GL50)</f>
        <v>0</v>
      </c>
      <c r="GM51" s="81"/>
      <c r="GN51" s="81">
        <f>SUM(GN46:GN50)</f>
        <v>0</v>
      </c>
      <c r="GO51" s="81"/>
      <c r="GP51" s="81">
        <f>SUM(GP46:GP50)</f>
        <v>0</v>
      </c>
      <c r="GQ51" s="81"/>
      <c r="GR51" s="81">
        <f>SUM(GR46:GR50)</f>
        <v>0</v>
      </c>
      <c r="GS51" s="81"/>
      <c r="GT51" s="81">
        <f>SUM(GT46:GT50)</f>
        <v>0</v>
      </c>
      <c r="GU51" s="81"/>
      <c r="GV51" s="81">
        <f>SUM(GV46:GV50)</f>
        <v>0</v>
      </c>
      <c r="GW51" s="81"/>
      <c r="GX51" s="81">
        <f>SUM(GX46:GX50)</f>
        <v>0</v>
      </c>
      <c r="GY51" s="81"/>
      <c r="GZ51" s="81">
        <f>SUM(GZ46:GZ50)</f>
        <v>0</v>
      </c>
      <c r="HA51" s="81"/>
      <c r="HB51" s="81">
        <f>SUM(HB46:HB50)</f>
        <v>0</v>
      </c>
      <c r="HC51" s="81"/>
      <c r="HD51" s="81">
        <f>SUM(HD46:HD50)</f>
        <v>0</v>
      </c>
      <c r="HE51" s="81"/>
      <c r="HF51" s="81">
        <f>SUM(HF46:HF50)</f>
        <v>0</v>
      </c>
      <c r="HG51" s="81"/>
      <c r="HH51" s="81">
        <f>SUM(HH46:HH50)</f>
        <v>0</v>
      </c>
      <c r="HI51" s="81"/>
      <c r="HJ51" s="81">
        <f>SUM(HJ46:HJ50)</f>
        <v>0</v>
      </c>
      <c r="HK51" s="81"/>
      <c r="HL51" s="81">
        <f>SUM(HL46:HL50)</f>
        <v>0</v>
      </c>
      <c r="HM51" s="81"/>
      <c r="HN51" s="81">
        <f>SUM(HN46:HN50)</f>
        <v>0</v>
      </c>
      <c r="HO51" s="81"/>
      <c r="HP51" s="81">
        <f>SUM(HP46:HP50)</f>
        <v>0</v>
      </c>
      <c r="HQ51" s="81"/>
      <c r="HR51" s="81">
        <f>SUM(HR46:HR50)</f>
        <v>0</v>
      </c>
      <c r="HS51" s="81"/>
      <c r="HT51" s="81">
        <f>SUM(HT46:HT50)</f>
        <v>0</v>
      </c>
      <c r="HU51" s="81"/>
      <c r="HV51" s="81">
        <f>SUM(HV46:HV50)</f>
        <v>0</v>
      </c>
      <c r="HW51" s="81"/>
      <c r="HX51" s="81">
        <f>SUM(HX46:HX50)</f>
        <v>0</v>
      </c>
      <c r="HY51" s="9"/>
      <c r="HZ51" s="81">
        <f>SUM(HZ46:HZ50)</f>
        <v>0</v>
      </c>
      <c r="IA51" s="81"/>
      <c r="IB51" s="81">
        <f>SUM(IB46:IB50)</f>
        <v>0</v>
      </c>
      <c r="IC51" s="81"/>
      <c r="ID51" s="81">
        <f>SUM(ID46:ID50)</f>
        <v>0</v>
      </c>
      <c r="IE51" s="81"/>
      <c r="IF51" s="81">
        <f>SUM(IF46:IF50)</f>
        <v>0</v>
      </c>
      <c r="IG51" s="81"/>
      <c r="IH51" s="81">
        <f>SUM(IH46:IH50)</f>
        <v>0</v>
      </c>
      <c r="II51" s="81"/>
      <c r="IJ51" s="81">
        <f>SUM(IJ46:IJ50)</f>
        <v>0</v>
      </c>
      <c r="IK51" s="81"/>
      <c r="IL51" s="81">
        <f>SUM(IL46:IL49)</f>
        <v>0</v>
      </c>
      <c r="IM51" s="81"/>
      <c r="IN51" s="80">
        <f>SUM(IN46:IN50)</f>
        <v>0</v>
      </c>
      <c r="IP51" s="81">
        <f>SUM(IP46:IP49)</f>
        <v>0</v>
      </c>
      <c r="IQ51" s="81"/>
      <c r="IR51" s="80">
        <f>SUM(IR46:IR50)</f>
        <v>0</v>
      </c>
      <c r="IT51" s="81">
        <f>SUM(IT46:IT49)</f>
        <v>0</v>
      </c>
      <c r="IU51" s="81"/>
      <c r="IV51" s="80">
        <f>SUM(IV46:IV50)</f>
        <v>0</v>
      </c>
      <c r="IX51" s="81">
        <f>SUM(IX46:IX49)</f>
        <v>0</v>
      </c>
      <c r="IY51" s="81"/>
      <c r="IZ51" s="80">
        <f>SUM(IZ46:IZ50)</f>
        <v>0</v>
      </c>
      <c r="JB51" s="81">
        <f>SUM(JB46:JB49)</f>
        <v>0</v>
      </c>
      <c r="JC51" s="81"/>
      <c r="JD51" s="80">
        <f>SUM(JD46:JD50)</f>
        <v>0</v>
      </c>
      <c r="JF51" s="81">
        <f>SUM(JF46:JF49)</f>
        <v>0</v>
      </c>
      <c r="JG51" s="81"/>
      <c r="JH51" s="80">
        <f>SUM(JH46:JH50)</f>
        <v>0</v>
      </c>
    </row>
    <row r="52" ht="18.75" customHeight="1" spans="2:248" x14ac:dyDescent="0.25">
      <c r="B52" s="9"/>
      <c r="C52" s="17"/>
      <c r="G52" s="54"/>
      <c r="H52" s="54"/>
      <c r="I52" s="54"/>
      <c r="K52" s="54"/>
      <c r="L52" s="54"/>
      <c r="M52" s="54"/>
      <c r="O52" s="54"/>
      <c r="P52" s="54"/>
      <c r="Q52" s="54"/>
      <c r="S52" s="54"/>
      <c r="T52" s="54"/>
      <c r="U52" s="54"/>
      <c r="W52" s="54"/>
      <c r="X52" s="54"/>
      <c r="Y52" s="54"/>
      <c r="AA52" s="54"/>
      <c r="AB52" s="54"/>
      <c r="AC52" s="54"/>
      <c r="AE52" s="54"/>
      <c r="AF52" s="54"/>
      <c r="AG52" s="54"/>
      <c r="AI52" s="54"/>
      <c r="AJ52" s="54"/>
      <c r="AK52" s="54"/>
      <c r="AM52" s="54"/>
      <c r="AN52" s="54"/>
      <c r="AO52" s="54"/>
      <c r="AQ52" s="54"/>
      <c r="AR52" s="54"/>
      <c r="AS52" s="54"/>
      <c r="AU52" s="54"/>
      <c r="AV52" s="54"/>
      <c r="AW52" s="54"/>
      <c r="AY52" s="54"/>
      <c r="AZ52" s="54"/>
      <c r="BA52" s="54"/>
      <c r="BC52" s="54"/>
      <c r="BD52" s="54"/>
      <c r="BE52" s="54"/>
      <c r="BG52" s="54"/>
      <c r="BH52" s="54"/>
      <c r="BI52" s="54"/>
      <c r="BK52" s="54"/>
      <c r="BL52" s="54"/>
      <c r="BM52" s="54"/>
      <c r="BO52" s="54"/>
      <c r="BP52" s="54"/>
      <c r="BQ52" s="54"/>
      <c r="BS52" s="54"/>
      <c r="BT52" s="54"/>
      <c r="BU52" s="54"/>
      <c r="BW52" s="54"/>
      <c r="BX52" s="54"/>
      <c r="BY52" s="54"/>
      <c r="CA52" s="54"/>
      <c r="CB52" s="54"/>
      <c r="CC52" s="54"/>
      <c r="CE52" s="54"/>
      <c r="CF52" s="54"/>
      <c r="CG52" s="54"/>
      <c r="CI52" s="54"/>
      <c r="CJ52" s="54"/>
      <c r="CK52" s="54"/>
      <c r="CM52" s="54"/>
      <c r="CN52" s="54"/>
      <c r="CO52" s="54"/>
      <c r="CQ52" s="54"/>
      <c r="CR52" s="54"/>
      <c r="CS52" s="54"/>
      <c r="CU52" s="54"/>
      <c r="CV52" s="54"/>
      <c r="CW52" s="54"/>
      <c r="CY52" s="54"/>
      <c r="CZ52" s="54"/>
      <c r="DA52" s="54"/>
      <c r="DC52" s="54"/>
      <c r="DD52" s="54"/>
      <c r="DE52" s="54"/>
      <c r="DG52" s="54"/>
      <c r="DH52" s="54"/>
      <c r="DI52" s="54"/>
      <c r="DK52" s="54"/>
      <c r="DL52" s="54"/>
      <c r="DM52" s="54"/>
      <c r="DO52" s="54"/>
      <c r="DP52" s="54"/>
      <c r="DQ52" s="54"/>
      <c r="DS52" s="54"/>
      <c r="DT52" s="54"/>
      <c r="DU52" s="54"/>
      <c r="DW52" s="54"/>
      <c r="DX52" s="54"/>
      <c r="DY52" s="54"/>
      <c r="EA52" s="54"/>
      <c r="EB52" s="54"/>
      <c r="EC52" s="54"/>
      <c r="EE52" s="54"/>
      <c r="EF52" s="54"/>
      <c r="EG52" s="54"/>
      <c r="EI52" s="54"/>
      <c r="EJ52" s="54"/>
      <c r="EK52" s="54"/>
      <c r="EM52" s="54"/>
      <c r="EN52" s="54"/>
      <c r="EO52" s="54"/>
      <c r="EQ52" s="54"/>
      <c r="ER52" s="54"/>
      <c r="ES52" s="54"/>
      <c r="EU52" s="54"/>
      <c r="EV52" s="54"/>
      <c r="EW52" s="54"/>
      <c r="EY52" s="54"/>
      <c r="EZ52" s="54"/>
      <c r="FA52" s="54"/>
      <c r="FC52" s="54"/>
      <c r="FD52" s="54"/>
      <c r="FE52" s="54"/>
      <c r="FG52" s="54"/>
      <c r="FH52" s="54"/>
      <c r="FI52" s="54"/>
      <c r="FK52" s="54"/>
      <c r="FL52" s="54"/>
      <c r="FM52" s="54"/>
      <c r="FO52" s="54"/>
      <c r="FP52" s="54"/>
      <c r="FQ52" s="54"/>
      <c r="FS52" s="54"/>
      <c r="FT52" s="54"/>
      <c r="FU52" s="54"/>
      <c r="FW52" s="54"/>
      <c r="FX52" s="54"/>
      <c r="FY52" s="54"/>
      <c r="GA52" s="54"/>
      <c r="GB52" s="54"/>
      <c r="GE52" s="54"/>
      <c r="GF52" s="54"/>
      <c r="GG52" s="54"/>
      <c r="GI52" s="54"/>
      <c r="GJ52" s="54"/>
      <c r="GK52" s="54"/>
      <c r="GM52" s="54"/>
      <c r="GN52" s="54"/>
      <c r="GO52" s="54"/>
      <c r="GQ52" s="54"/>
      <c r="GR52" s="54"/>
      <c r="GS52" s="54"/>
      <c r="GU52" s="54"/>
      <c r="GV52" s="54"/>
      <c r="GW52" s="54"/>
      <c r="GY52" s="54"/>
      <c r="GZ52" s="54"/>
      <c r="HA52" s="54"/>
      <c r="HC52" s="54"/>
      <c r="HD52" s="54"/>
      <c r="HE52" s="54"/>
      <c r="HG52" s="54"/>
      <c r="HH52" s="54"/>
      <c r="HI52" s="54"/>
      <c r="HK52" s="54"/>
      <c r="HL52" s="54"/>
      <c r="HM52" s="54"/>
      <c r="HO52" s="54"/>
      <c r="HP52" s="54"/>
      <c r="HQ52" s="54"/>
      <c r="HS52" s="54"/>
      <c r="HT52" s="54"/>
      <c r="HU52" s="54"/>
      <c r="HW52" s="54"/>
      <c r="HX52" s="54"/>
      <c r="IA52" s="54"/>
      <c r="IB52" s="54"/>
      <c r="IC52" s="54"/>
      <c r="IE52" s="54"/>
      <c r="IF52" s="54"/>
      <c r="IG52" s="54"/>
      <c r="II52" s="54"/>
      <c r="IJ52" s="54"/>
      <c r="IK52" s="54"/>
      <c r="IL52" s="54"/>
      <c r="IM52" s="54"/>
      <c r="IN52" s="54"/>
    </row>
    <row r="53" ht="18.75" customHeight="1" spans="2:248" x14ac:dyDescent="0.25">
      <c r="B53" s="9"/>
      <c r="C53" s="17"/>
      <c r="G53" s="54"/>
      <c r="H53" s="54"/>
      <c r="I53" s="54"/>
      <c r="K53" s="54"/>
      <c r="L53" s="54"/>
      <c r="M53" s="54"/>
      <c r="O53" s="54"/>
      <c r="P53" s="54"/>
      <c r="Q53" s="54"/>
      <c r="S53" s="54"/>
      <c r="T53" s="54"/>
      <c r="U53" s="54"/>
      <c r="W53" s="54"/>
      <c r="X53" s="54"/>
      <c r="Y53" s="54"/>
      <c r="AA53" s="54"/>
      <c r="AB53" s="54"/>
      <c r="AC53" s="54"/>
      <c r="AE53" s="54"/>
      <c r="AF53" s="54"/>
      <c r="AG53" s="54"/>
      <c r="AI53" s="54"/>
      <c r="AJ53" s="54"/>
      <c r="AK53" s="54"/>
      <c r="AM53" s="54"/>
      <c r="AN53" s="54"/>
      <c r="AO53" s="54"/>
      <c r="AQ53" s="54"/>
      <c r="AR53" s="54"/>
      <c r="AS53" s="54"/>
      <c r="AU53" s="54"/>
      <c r="AV53" s="54"/>
      <c r="AW53" s="54"/>
      <c r="AY53" s="54"/>
      <c r="AZ53" s="54"/>
      <c r="BA53" s="54"/>
      <c r="BC53" s="54"/>
      <c r="BD53" s="54"/>
      <c r="BE53" s="54"/>
      <c r="BG53" s="54"/>
      <c r="BH53" s="54"/>
      <c r="BI53" s="54"/>
      <c r="BK53" s="54"/>
      <c r="BL53" s="54"/>
      <c r="BM53" s="54"/>
      <c r="BO53" s="54"/>
      <c r="BP53" s="54"/>
      <c r="BQ53" s="54"/>
      <c r="BS53" s="54"/>
      <c r="BT53" s="54"/>
      <c r="BU53" s="54"/>
      <c r="BW53" s="54"/>
      <c r="BX53" s="54"/>
      <c r="BY53" s="54"/>
      <c r="CA53" s="54"/>
      <c r="CB53" s="54"/>
      <c r="CC53" s="54"/>
      <c r="CE53" s="54"/>
      <c r="CF53" s="54"/>
      <c r="CG53" s="54"/>
      <c r="CI53" s="54"/>
      <c r="CJ53" s="54"/>
      <c r="CK53" s="54"/>
      <c r="CM53" s="54"/>
      <c r="CN53" s="54"/>
      <c r="CO53" s="54"/>
      <c r="CQ53" s="54"/>
      <c r="CR53" s="54"/>
      <c r="CS53" s="54"/>
      <c r="CU53" s="54"/>
      <c r="CV53" s="54"/>
      <c r="CW53" s="54"/>
      <c r="CY53" s="54"/>
      <c r="CZ53" s="54"/>
      <c r="DA53" s="54"/>
      <c r="DC53" s="54"/>
      <c r="DD53" s="54"/>
      <c r="DE53" s="54"/>
      <c r="DG53" s="54"/>
      <c r="DH53" s="54"/>
      <c r="DI53" s="54"/>
      <c r="DK53" s="54"/>
      <c r="DL53" s="54"/>
      <c r="DM53" s="54"/>
      <c r="DO53" s="54"/>
      <c r="DP53" s="54"/>
      <c r="DQ53" s="54"/>
      <c r="DS53" s="54"/>
      <c r="DT53" s="54"/>
      <c r="DU53" s="54"/>
      <c r="DW53" s="54"/>
      <c r="DX53" s="54"/>
      <c r="DY53" s="54"/>
      <c r="EA53" s="54"/>
      <c r="EB53" s="54"/>
      <c r="EC53" s="54"/>
      <c r="EE53" s="54"/>
      <c r="EF53" s="54"/>
      <c r="EG53" s="54"/>
      <c r="EI53" s="54"/>
      <c r="EJ53" s="54"/>
      <c r="EK53" s="54"/>
      <c r="EM53" s="54"/>
      <c r="EN53" s="54"/>
      <c r="EO53" s="54"/>
      <c r="EQ53" s="54"/>
      <c r="ER53" s="54"/>
      <c r="ES53" s="54"/>
      <c r="EU53" s="54"/>
      <c r="EV53" s="54"/>
      <c r="EW53" s="54"/>
      <c r="EY53" s="54"/>
      <c r="EZ53" s="54"/>
      <c r="FA53" s="54"/>
      <c r="FC53" s="54"/>
      <c r="FD53" s="54"/>
      <c r="FE53" s="54"/>
      <c r="FG53" s="54"/>
      <c r="FH53" s="54"/>
      <c r="FI53" s="54"/>
      <c r="FK53" s="54"/>
      <c r="FL53" s="54"/>
      <c r="FM53" s="54"/>
      <c r="FO53" s="54"/>
      <c r="FP53" s="54"/>
      <c r="FQ53" s="54"/>
      <c r="FS53" s="54"/>
      <c r="FT53" s="54"/>
      <c r="FU53" s="54"/>
      <c r="FW53" s="54"/>
      <c r="FX53" s="54"/>
      <c r="FY53" s="54"/>
      <c r="GA53" s="54"/>
      <c r="GB53" s="54"/>
      <c r="GE53" s="54"/>
      <c r="GF53" s="54"/>
      <c r="GG53" s="54"/>
      <c r="GI53" s="54"/>
      <c r="GJ53" s="54"/>
      <c r="GK53" s="54"/>
      <c r="GM53" s="54"/>
      <c r="GN53" s="54"/>
      <c r="GO53" s="54"/>
      <c r="GQ53" s="54"/>
      <c r="GR53" s="54"/>
      <c r="GS53" s="54"/>
      <c r="GU53" s="54"/>
      <c r="GV53" s="54"/>
      <c r="GW53" s="54"/>
      <c r="GY53" s="54"/>
      <c r="GZ53" s="54"/>
      <c r="HA53" s="54"/>
      <c r="HC53" s="54"/>
      <c r="HD53" s="54"/>
      <c r="HE53" s="54"/>
      <c r="HG53" s="54"/>
      <c r="HH53" s="54"/>
      <c r="HI53" s="54"/>
      <c r="HK53" s="54"/>
      <c r="HL53" s="54"/>
      <c r="HM53" s="54"/>
      <c r="HO53" s="54"/>
      <c r="HP53" s="54"/>
      <c r="HQ53" s="54"/>
      <c r="HS53" s="54"/>
      <c r="HT53" s="54"/>
      <c r="HU53" s="54"/>
      <c r="HW53" s="54"/>
      <c r="HX53" s="54"/>
      <c r="IA53" s="54"/>
      <c r="IB53" s="54"/>
      <c r="IC53" s="54"/>
      <c r="IE53" s="54"/>
      <c r="IF53" s="54"/>
      <c r="IG53" s="54"/>
      <c r="II53" s="54"/>
      <c r="IJ53" s="54"/>
      <c r="IK53" s="54"/>
      <c r="IL53" s="83"/>
      <c r="IM53" s="83"/>
      <c r="IN53" s="54"/>
    </row>
    <row r="54" spans="2:268" s="9" customFormat="1" x14ac:dyDescent="0.25">
      <c r="B54" s="84" t="s">
        <v>218</v>
      </c>
      <c r="C54" s="84"/>
      <c r="D54" s="84"/>
      <c r="F54" s="81">
        <f>F15+F24+F33+F42+F51</f>
        <v>28000</v>
      </c>
      <c r="H54" s="81">
        <f>H15+H24+H33+H42+H51</f>
        <v>840000</v>
      </c>
      <c r="J54" s="81">
        <f>J15+J24+J33+J42+J51</f>
        <v>28280</v>
      </c>
      <c r="L54" s="81">
        <f>L15+L24+L33+L42+L51</f>
        <v>848400</v>
      </c>
      <c r="N54" s="81">
        <f>N15+N24+N33+N42+N51</f>
        <v>28562.8</v>
      </c>
      <c r="P54" s="81">
        <f>P15+P24+P33+P42+P51</f>
        <v>856884</v>
      </c>
      <c r="R54" s="81">
        <f>R15+R24+R33+R42+R51</f>
        <v>28848.428</v>
      </c>
      <c r="T54" s="81">
        <f>T15+T24+T33+T42+T51</f>
        <v>865452.84</v>
      </c>
      <c r="V54" s="81">
        <f>V15+V24+V33+V42+V51</f>
        <v>29136.91228</v>
      </c>
      <c r="X54" s="81">
        <f>X15+X24+X33+X42+X51</f>
        <v>874107.3684</v>
      </c>
      <c r="Z54" s="81">
        <f>Z15+Z24+Z33+Z42+Z51</f>
        <v>29428.2814028</v>
      </c>
      <c r="AB54" s="81">
        <f>AB15+AB24+AB33+AB42+AB51</f>
        <v>882848.442084</v>
      </c>
      <c r="AD54" s="81">
        <f>AD15+AD24+AD33+AD42+AD51</f>
        <v>29722.564216828</v>
      </c>
      <c r="AF54" s="81">
        <f>AF15+AF24+AF33+AF42+AF51</f>
        <v>891676.92650484</v>
      </c>
      <c r="AH54" s="81">
        <f>AH15+AH24+AH33+AH42+AH51</f>
        <v>30019.78985899628</v>
      </c>
      <c r="AJ54" s="81">
        <f>AJ15+AJ24+AJ33+AJ42+AJ51</f>
        <v>900593.6957698883</v>
      </c>
      <c r="AL54" s="81">
        <f>AL15+AL24+AL33+AL42+AL51</f>
        <v>30319.98775758624</v>
      </c>
      <c r="AN54" s="81">
        <f>AN15+AN24+AN33+AN42+AN51</f>
        <v>909599.6327275872</v>
      </c>
      <c r="AP54" s="81">
        <f>AP15+AP24+AP33+AP42+AP51</f>
        <v>33351.98653334487</v>
      </c>
      <c r="AR54" s="81">
        <f>AR15+AR24+AR33+AR42+AR51</f>
        <v>1000559.5960003461</v>
      </c>
      <c r="AT54" s="81">
        <f>AT15+AT24+AT33+AT42+AT51</f>
        <v>33351.98653334487</v>
      </c>
      <c r="AV54" s="81">
        <f>AV15+AV24+AV33+AV42+AV51</f>
        <v>1000559.5960003461</v>
      </c>
      <c r="AX54" s="81">
        <f>AX15+AX24+AX33+AX42+AX51</f>
        <v>33351.98653334487</v>
      </c>
      <c r="AZ54" s="81">
        <f>AZ15+AZ24+AZ33+AZ42+AZ51</f>
        <v>1000559.5960003461</v>
      </c>
      <c r="BB54" s="81">
        <f>BB15+BB24+BB33+BB42+BB51</f>
        <v>60700.615490687655</v>
      </c>
      <c r="BD54" s="81">
        <f>BD15+BD24+BD33+BD42+BD51</f>
        <v>1821018.4647206296</v>
      </c>
      <c r="BF54" s="81">
        <f>BF15+BF24+BF33+BF42+BF51</f>
        <v>60700.615490687655</v>
      </c>
      <c r="BH54" s="81">
        <f>BH15+BH24+BH33+BH42+BH51</f>
        <v>1821018.4647206296</v>
      </c>
      <c r="BJ54" s="81">
        <f>BJ15+BJ24+BJ33+BJ42+BJ51</f>
        <v>60700.615490687655</v>
      </c>
      <c r="BL54" s="81">
        <f>BL15+BL24+BL33+BL42+BL51</f>
        <v>1821018.4647206296</v>
      </c>
      <c r="BN54" s="81">
        <f>BN15+BN24+BN33+BN42+BN51</f>
        <v>60700.615490687655</v>
      </c>
      <c r="BP54" s="81">
        <f>BP15+BP24+BP33+BP42+BP51</f>
        <v>1821018.4647206296</v>
      </c>
      <c r="BR54" s="81">
        <f>BR15+BR24+BR33+BR42+BR51</f>
        <v>60700.615490687655</v>
      </c>
      <c r="BT54" s="81">
        <f>BT15+BT24+BT33+BT42+BT51</f>
        <v>1821018.4647206296</v>
      </c>
      <c r="BV54" s="81">
        <f>BV15+BV24+BV33+BV42+BV51</f>
        <v>60700.615490687655</v>
      </c>
      <c r="BX54" s="81">
        <f>BX15+BX24+BX33+BX42+BX51</f>
        <v>1821018.4647206296</v>
      </c>
      <c r="BZ54" s="81">
        <f>BZ15+BZ24+BZ33+BZ42+BZ51</f>
        <v>60700.615490687655</v>
      </c>
      <c r="CB54" s="81">
        <f>CB15+CB24+CB33+CB42+CB51</f>
        <v>1821018.4647206296</v>
      </c>
      <c r="CD54" s="81">
        <f>CD15+CD24+CD33+CD42+CD51</f>
        <v>60700.615490687655</v>
      </c>
      <c r="CF54" s="81">
        <f>CF15+CF24+CF33+CF42+CF51</f>
        <v>1821018.4647206296</v>
      </c>
      <c r="CH54" s="81">
        <f>CH15+CH24+CH33+CH42+CH51</f>
        <v>60700.615490687655</v>
      </c>
      <c r="CJ54" s="81">
        <f>CJ15+CJ24+CJ33+CJ42+CJ51</f>
        <v>1821018.4647206296</v>
      </c>
      <c r="CK54" s="81"/>
      <c r="CL54" s="81">
        <f>CL15+CL24+CL33+CL42+CL51</f>
        <v>121401.23098137531</v>
      </c>
      <c r="CN54" s="81">
        <f>CN15+CN24+CN33+CN42+CN51</f>
        <v>6677067.703975642</v>
      </c>
      <c r="CP54" s="81">
        <f>CP15+CP24+CP33+CP42+CP51</f>
        <v>121401.23098137531</v>
      </c>
      <c r="CR54" s="81">
        <f>CR15+CR24+CR33+CR42+CR51</f>
        <v>6677067.703975642</v>
      </c>
      <c r="CT54" s="81">
        <f>CT15+CT24+CT33+CT42+CT51</f>
        <v>121401.23098137531</v>
      </c>
      <c r="CV54" s="81">
        <f>CV15+CV24+CV33+CV42+CV51</f>
        <v>6677067.703975642</v>
      </c>
      <c r="CX54" s="81">
        <f>CX15+CX24+CX33+CX42+CX51</f>
        <v>206382.092668338</v>
      </c>
      <c r="CZ54" s="81">
        <f>CZ15+CZ24+CZ33+CZ42+CZ51</f>
        <v>15478656.95012535</v>
      </c>
      <c r="DB54" s="81">
        <f>DB15+DB24+DB33+DB42+DB51</f>
        <v>206382.092668338</v>
      </c>
      <c r="DD54" s="81">
        <f>DD15+DD24+DD33+DD42+DD51</f>
        <v>15478656.95012535</v>
      </c>
      <c r="DF54" s="81">
        <f>DF15+DF24+DF33+DF42+DF51</f>
        <v>206382.092668338</v>
      </c>
      <c r="DH54" s="81">
        <f>DH15+DH24+DH33+DH42+DH51</f>
        <v>15478656.95012535</v>
      </c>
      <c r="DJ54" s="81">
        <f>DJ15+DJ24+DJ33+DJ42+DJ51</f>
        <v>206382.092668338</v>
      </c>
      <c r="DL54" s="81">
        <f>DL15+DL24+DL33+DL42+DL51</f>
        <v>15478656.95012535</v>
      </c>
      <c r="DN54" s="81">
        <f>DN15+DN24+DN33+DN42+DN51</f>
        <v>206382.092668338</v>
      </c>
      <c r="DP54" s="81">
        <f>DP15+DP24+DP33+DP42+DP51</f>
        <v>15478656.95012535</v>
      </c>
      <c r="DR54" s="81">
        <f>DR15+DR24+DR33+DR42+DR51</f>
        <v>206382.092668338</v>
      </c>
      <c r="DT54" s="81">
        <f>DT15+DT24+DT33+DT42+DT51</f>
        <v>15478656.95012535</v>
      </c>
      <c r="DV54" s="81">
        <f>DV15+DV24+DV33+DV42+DV51</f>
        <v>206382.092668338</v>
      </c>
      <c r="DX54" s="81">
        <f>DX15+DX24+DX33+DX42+DX51</f>
        <v>15478656.95012535</v>
      </c>
      <c r="DZ54" s="81">
        <f>DZ15+DZ24+DZ33+DZ42+DZ51</f>
        <v>206382.092668338</v>
      </c>
      <c r="EB54" s="81">
        <f>EB15+EB24+EB33+EB42+EB51</f>
        <v>15478656.95012535</v>
      </c>
      <c r="ED54" s="81">
        <f>ED15+ED24+ED33+ED42+ED51</f>
        <v>206382.092668338</v>
      </c>
      <c r="EF54" s="81">
        <f>EF15+EF24+EF33+EF42+EF51</f>
        <v>15478656.95012535</v>
      </c>
      <c r="EG54" s="81"/>
      <c r="EH54" s="81">
        <f>EH15+EH24+EH33+EH42+EH51</f>
        <v>206382.092668338</v>
      </c>
      <c r="EJ54" s="81">
        <f>EJ15+EJ24+EJ33+EJ42+EJ51</f>
        <v>15478656.95012535</v>
      </c>
      <c r="EL54" s="81">
        <f>EL15+EL24+EL33+EL42+EL51</f>
        <v>206382.092668338</v>
      </c>
      <c r="EN54" s="81">
        <f>EN15+EN24+EN33+EN42+EN51</f>
        <v>15478656.95012535</v>
      </c>
      <c r="EP54" s="81">
        <f>EP15+EP24+EP33+EP42+EP51</f>
        <v>206382.092668338</v>
      </c>
      <c r="ER54" s="81">
        <f>ER15+ER24+ER33+ER42+ER51</f>
        <v>15478656.95012535</v>
      </c>
      <c r="ET54" s="81">
        <f>ET15+ET24+ET33+ET42+ET51</f>
        <v>319892.24363592395</v>
      </c>
      <c r="EV54" s="81">
        <f>EV15+EV24+EV33+EV42+EV51</f>
        <v>23991918.272694297</v>
      </c>
      <c r="EX54" s="81">
        <f>EX15+EX24+EX33+EX42+EX51</f>
        <v>319892.24363592395</v>
      </c>
      <c r="EZ54" s="81">
        <f>EZ15+EZ24+EZ33+EZ42+EZ51</f>
        <v>23991918.272694297</v>
      </c>
      <c r="FB54" s="81">
        <f>FB15+FB24+FB33+FB42+FB51</f>
        <v>319892.24363592395</v>
      </c>
      <c r="FD54" s="81">
        <f>FD15+FD24+FD33+FD42+FD51</f>
        <v>23991918.272694297</v>
      </c>
      <c r="FF54" s="81">
        <f>FF15+FF24+FF33+FF42+FF51</f>
        <v>319892.24363592395</v>
      </c>
      <c r="FH54" s="81">
        <f>FH15+FH24+FH33+FH42+FH51</f>
        <v>23991918.272694297</v>
      </c>
      <c r="FJ54" s="81">
        <f>FJ15+FJ24+FJ33+FJ42+FJ51</f>
        <v>319892.24363592395</v>
      </c>
      <c r="FL54" s="81">
        <f>FL15+FL24+FL33+FL42+FL51</f>
        <v>23991918.272694297</v>
      </c>
      <c r="FN54" s="81">
        <f>FN15+FN24+FN33+FN42+FN51</f>
        <v>319892.24363592395</v>
      </c>
      <c r="FP54" s="81">
        <f>FP15+FP24+FP33+FP42+FP51</f>
        <v>23991918.272694297</v>
      </c>
      <c r="FR54" s="81">
        <f>FR15+FR24+FR33+FR42+FR51</f>
        <v>319892.24363592395</v>
      </c>
      <c r="FT54" s="81">
        <f>FT15+FT24+FT33+FT42+FT51</f>
        <v>23991918.272694297</v>
      </c>
      <c r="FV54" s="81">
        <f>FV15+FV24+FV33+FV42+FV51</f>
        <v>319892.24363592395</v>
      </c>
      <c r="FX54" s="81">
        <f>FX15+FX24+FX33+FX42+FX51</f>
        <v>23991918.272694297</v>
      </c>
      <c r="FZ54" s="81">
        <f>FZ15+FZ24+FZ33+FZ42+FZ51</f>
        <v>319892.24363592395</v>
      </c>
      <c r="GB54" s="81">
        <f>GB15+GB24+GB33+GB42+GB51</f>
        <v>23991918.272694297</v>
      </c>
      <c r="GD54" s="81">
        <f>GD15+GD24+GD33+GD42+GD51</f>
        <v>319892.24363592395</v>
      </c>
      <c r="GF54" s="81">
        <f>GF15+GF24+GF33+GF42+GF51</f>
        <v>23991918.272694297</v>
      </c>
      <c r="GH54" s="81">
        <f>GH15+GH24+GH33+GH42+GH51</f>
        <v>319892.24363592395</v>
      </c>
      <c r="GJ54" s="81">
        <f>GJ15+GJ24+GJ33+GJ42+GJ51</f>
        <v>23991918.272694297</v>
      </c>
      <c r="GL54" s="81">
        <f>GL15+GL24+GL33+GL42+GL51</f>
        <v>319892.24363592395</v>
      </c>
      <c r="GN54" s="81">
        <f>GN15+GN24+GN33+GN42+GN51</f>
        <v>23991918.272694297</v>
      </c>
      <c r="GP54" s="81">
        <f>GP15+GP24+GP33+GP42+GP51</f>
        <v>463843.7532720897</v>
      </c>
      <c r="GR54" s="81">
        <f>GR15+GR24+GR33+GR42+GR51</f>
        <v>34788281.495406725</v>
      </c>
      <c r="GT54" s="81">
        <f>GT15+GT24+GT33+GT42+GT51</f>
        <v>463843.7532720897</v>
      </c>
      <c r="GV54" s="81">
        <f>GV15+GV24+GV33+GV42+GV51</f>
        <v>34788281.495406725</v>
      </c>
      <c r="GX54" s="81">
        <f>GX15+GX24+GX33+GX42+GX51</f>
        <v>463843.7532720897</v>
      </c>
      <c r="GZ54" s="81">
        <f>GZ15+GZ24+GZ33+GZ42+GZ51</f>
        <v>34788281.495406725</v>
      </c>
      <c r="HB54" s="81">
        <f>HB15+HB24+HB33+HB42+HB51</f>
        <v>463843.7532720897</v>
      </c>
      <c r="HD54" s="81">
        <f>HD15+HD24+HD33+HD42+HD51</f>
        <v>34788281.495406725</v>
      </c>
      <c r="HF54" s="81">
        <f>HF15+HF24+HF33+HF42+HF51</f>
        <v>463843.7532720897</v>
      </c>
      <c r="HH54" s="81">
        <f>HH15+HH24+HH33+HH42+HH51</f>
        <v>34788281.495406725</v>
      </c>
      <c r="HJ54" s="81">
        <f>HJ15+HJ24+HJ33+HJ42+HJ51</f>
        <v>463843.7532720897</v>
      </c>
      <c r="HL54" s="81">
        <f>HL15+HL24+HL33+HL42+HL51</f>
        <v>34788281.495406725</v>
      </c>
      <c r="HN54" s="81">
        <f>HN15+HN24+HN33+HN42+HN51</f>
        <v>463843.7532720897</v>
      </c>
      <c r="HP54" s="81">
        <f>HP15+HP24+HP33+HP42+HP51</f>
        <v>34788281.495406725</v>
      </c>
      <c r="HR54" s="81">
        <f>HR15+HR24+HR33+HR42+HR51</f>
        <v>463843.7532720897</v>
      </c>
      <c r="HT54" s="81">
        <f>HT15+HT24+HT33+HT42+HT51</f>
        <v>34788281.495406725</v>
      </c>
      <c r="HV54" s="81">
        <f>HV15+HV24+HV33+HV42+HV51</f>
        <v>463843.7532720897</v>
      </c>
      <c r="HX54" s="81">
        <f>HX15+HX24+HX33+HX42+HX51</f>
        <v>34788281.495406725</v>
      </c>
      <c r="HZ54" s="81">
        <f>HZ15+HZ24+HZ33+HZ42+HZ51</f>
        <v>463843.7532720897</v>
      </c>
      <c r="IB54" s="81">
        <f>IB15+IB24+IB33+IB42+IB51</f>
        <v>34788281.495406725</v>
      </c>
      <c r="ID54" s="81">
        <f>ID15+ID24+ID33+ID42+ID51</f>
        <v>463843.7532720897</v>
      </c>
      <c r="IF54" s="81">
        <f>IF15+IF24+IF33+IF42+IF51</f>
        <v>34788281.495406725</v>
      </c>
      <c r="IH54" s="81">
        <f>IH15+IH24+IH33+IH42+IH51</f>
        <v>463843.7532720897</v>
      </c>
      <c r="IJ54" s="81">
        <f>IJ15+IJ24+IJ33+IJ42+IJ51</f>
        <v>34788281.495406725</v>
      </c>
      <c r="IL54" s="81">
        <f>IL15+IL24+IL33+IL42+IL51</f>
        <v>0</v>
      </c>
      <c r="IN54" s="81">
        <f>IN15+IN24+IN33+IN42+IN51</f>
        <v>0</v>
      </c>
      <c r="IP54" s="81">
        <f>IP15+IP24+IP33+IP42+IP51</f>
        <v>362374.7231162451</v>
      </c>
      <c r="IR54" s="81">
        <f>IR15+IR24+IR33+IR42+IR51</f>
        <v>10871241.693487352</v>
      </c>
      <c r="IT54" s="81">
        <f>IT15+IT24+IT33+IT42+IT51</f>
        <v>910509.2323603148</v>
      </c>
      <c r="IV54" s="81">
        <f>IV15+IV24+IV33+IV42+IV51</f>
        <v>36420369.29441259</v>
      </c>
      <c r="IX54" s="81">
        <f>IX15+IX24+IX33+IX42+IX51</f>
        <v>2476585.112020056</v>
      </c>
      <c r="IZ54" s="81">
        <f>IZ15+IZ24+IZ33+IZ42+IZ51</f>
        <v>185743883.40150422</v>
      </c>
      <c r="JB54" s="81">
        <f>JB15+JB24+JB33+JB42+JB51</f>
        <v>3838706.9236310883</v>
      </c>
      <c r="JD54" s="81">
        <f>JD15+JD24+JD33+JD42+JD51</f>
        <v>287903019.27233166</v>
      </c>
      <c r="JF54" s="81">
        <f>JF15+JF24+JF33+JF42+JF51</f>
        <v>5566125.039265078</v>
      </c>
      <c r="JH54" s="81">
        <f>JH15+JH24+JH33+JH42+JH51</f>
        <v>417459377.9448807</v>
      </c>
    </row>
    <row r="55" spans="2:268" x14ac:dyDescent="0.25">
      <c r="B55" s="84" t="s">
        <v>219</v>
      </c>
      <c r="C55" s="84"/>
      <c r="D55" s="84"/>
      <c r="IN55" s="54">
        <f>IN54/12</f>
        <v>0</v>
      </c>
      <c r="IR55" s="54">
        <f>IR54/12</f>
        <v>905936.8077906127</v>
      </c>
      <c r="IV55" s="54">
        <f>IV54/12</f>
        <v>3035030.7745343824</v>
      </c>
      <c r="IZ55" s="54">
        <f>IZ54/12</f>
        <v>15478656.950125352</v>
      </c>
      <c r="JD55" s="54">
        <f>JD54/12</f>
        <v>23991918.272694305</v>
      </c>
      <c r="JH55" s="54">
        <f>JH54/12</f>
        <v>34788281.495406725</v>
      </c>
    </row>
    <row r="56" spans="2:268" x14ac:dyDescent="0.25">
      <c r="B56" s="34" t="s">
        <v>220</v>
      </c>
      <c r="C56" s="34"/>
      <c r="D56" s="34"/>
      <c r="H56">
        <f>SUMIF($B$9:$D$54,"Grand Total",H9:H54)</f>
        <v>840000</v>
      </c>
      <c r="L56">
        <f>SUMIF($B$9:$D$54,"Grand Total",L9:L54)</f>
        <v>848400</v>
      </c>
      <c r="P56">
        <f>SUMIF($B$9:$D$54,"Grand Total",P9:P54)</f>
        <v>856884</v>
      </c>
      <c r="T56">
        <f>SUMIF($B$9:$D$54,"Grand Total",T9:T54)</f>
        <v>865452.84</v>
      </c>
      <c r="X56">
        <f>SUMIF($B$9:$D$54,"Grand Total",X9:X54)</f>
        <v>874107.3684</v>
      </c>
      <c r="AB56">
        <f>SUMIF($B$9:$D$54,"Grand Total",AB9:AB54)</f>
        <v>882848.442084</v>
      </c>
      <c r="AF56">
        <f>SUMIF($B$9:$D$54,"Grand Total",AF9:AF54)</f>
        <v>891676.92650484</v>
      </c>
      <c r="AJ56">
        <f>SUMIF($B$9:$D$54,"Grand Total",AJ9:AJ54)</f>
        <v>900593.6957698883</v>
      </c>
      <c r="AN56">
        <f>SUMIF($B$9:$D$54,"Grand Total",AN9:AN54)</f>
        <v>909599.6327275872</v>
      </c>
      <c r="AR56">
        <f>SUMIF($B$9:$D$54,"Grand Total",AR9:AR54)</f>
        <v>1000559.5960003461</v>
      </c>
      <c r="AV56">
        <f>SUMIF($B$9:$D$54,"Grand Total",AV9:AV54)</f>
        <v>1000559.5960003461</v>
      </c>
      <c r="AZ56">
        <f>SUMIF($B$9:$D$54,"Grand Total",AZ9:AZ54)</f>
        <v>1000559.5960003461</v>
      </c>
      <c r="BD56">
        <f>SUMIF($B$9:$D$54,"Grand Total",BD9:BD54)</f>
        <v>1821018.4647206296</v>
      </c>
      <c r="BH56">
        <f>SUMIF($B$9:$D$54,"Grand Total",BH9:BH54)</f>
        <v>1821018.4647206296</v>
      </c>
      <c r="BL56">
        <f>SUMIF($B$9:$D$54,"Grand Total",BL9:BL54)</f>
        <v>1821018.4647206296</v>
      </c>
      <c r="BP56">
        <f>SUMIF($B$9:$D$54,"Grand Total",BP9:BP54)</f>
        <v>1821018.4647206296</v>
      </c>
      <c r="BT56">
        <f>SUMIF($B$9:$D$54,"Grand Total",BT9:BT54)</f>
        <v>1821018.4647206296</v>
      </c>
      <c r="BX56">
        <f>SUMIF($B$9:$D$54,"Grand Total",BX9:BX54)</f>
        <v>1821018.4647206296</v>
      </c>
      <c r="CB56">
        <f>SUMIF($B$9:$D$54,"Grand Total",CB9:CB54)</f>
        <v>1821018.4647206296</v>
      </c>
      <c r="CF56">
        <f>SUMIF($B$9:$D$54,"Grand Total",CF9:CF54)</f>
        <v>1821018.4647206296</v>
      </c>
      <c r="CJ56">
        <f>SUMIF($B$9:$D$54,"Grand Total",CJ9:CJ54)</f>
        <v>1821018.4647206296</v>
      </c>
      <c r="CN56">
        <f>SUMIF($B$9:$D$54,"Grand Total",CN9:CN54)</f>
        <v>6677067.703975642</v>
      </c>
      <c r="CR56">
        <f>SUMIF($B$9:$D$54,"Grand Total",CR9:CR54)</f>
        <v>6677067.703975642</v>
      </c>
      <c r="CV56">
        <f>SUMIF($B$9:$D$54,"Grand Total",CV9:CV54)</f>
        <v>6677067.703975642</v>
      </c>
      <c r="CZ56">
        <f>SUMIF($B$9:$D$54,"Grand Total",CZ9:CZ54)</f>
        <v>15478656.95012535</v>
      </c>
      <c r="DD56">
        <f>SUMIF($B$9:$D$54,"Grand Total",DD9:DD54)</f>
        <v>15478656.95012535</v>
      </c>
      <c r="DH56">
        <f>SUMIF($B$9:$D$54,"Grand Total",DH9:DH54)</f>
        <v>15478656.95012535</v>
      </c>
      <c r="DL56">
        <f>SUMIF($B$9:$D$54,"Grand Total",DL9:DL54)</f>
        <v>15478656.95012535</v>
      </c>
      <c r="DP56">
        <f>SUMIF($B$9:$D$54,"Grand Total",DP9:DP54)</f>
        <v>15478656.95012535</v>
      </c>
      <c r="DT56">
        <f>SUMIF($B$9:$D$54,"Grand Total",DT9:DT54)</f>
        <v>15478656.95012535</v>
      </c>
      <c r="DX56">
        <f>SUMIF($B$9:$D$54,"Grand Total",DX9:DX54)</f>
        <v>15478656.95012535</v>
      </c>
      <c r="EB56">
        <f>SUMIF($B$9:$D$54,"Grand Total",EB9:EB54)</f>
        <v>15478656.95012535</v>
      </c>
      <c r="EF56">
        <f>SUMIF($B$9:$D$54,"Grand Total",EF9:EF54)</f>
        <v>15478656.95012535</v>
      </c>
      <c r="EJ56">
        <f>SUMIF($B$9:$D$54,"Grand Total",EJ9:EJ54)</f>
        <v>15478656.95012535</v>
      </c>
      <c r="EN56">
        <f>SUMIF($B$9:$D$54,"Grand Total",EN9:EN54)</f>
        <v>15478656.95012535</v>
      </c>
      <c r="ER56">
        <f>SUMIF($B$9:$D$54,"Grand Total",ER9:ER54)</f>
        <v>15478656.95012535</v>
      </c>
      <c r="EV56">
        <f>SUMIF($B$9:$D$54,"Grand Total",EV9:EV54)</f>
        <v>23991918.272694297</v>
      </c>
      <c r="EZ56">
        <f>SUMIF($B$9:$D$54,"Grand Total",EZ9:EZ54)</f>
        <v>23991918.272694297</v>
      </c>
      <c r="FD56">
        <f>SUMIF($B$9:$D$54,"Grand Total",FD9:FD54)</f>
        <v>23991918.272694297</v>
      </c>
      <c r="FH56">
        <f>SUMIF($B$9:$D$54,"Grand Total",FH9:FH54)</f>
        <v>23991918.272694297</v>
      </c>
      <c r="FL56">
        <f>SUMIF($B$9:$D$54,"Grand Total",FL9:FL54)</f>
        <v>23991918.272694297</v>
      </c>
      <c r="FP56">
        <f>SUMIF($B$9:$D$54,"Grand Total",FP9:FP54)</f>
        <v>23991918.272694297</v>
      </c>
      <c r="FT56">
        <f>SUMIF($B$9:$D$54,"Grand Total",FT9:FT54)</f>
        <v>23991918.272694297</v>
      </c>
      <c r="FX56">
        <f>SUMIF($B$9:$D$54,"Grand Total",FX9:FX54)</f>
        <v>23991918.272694297</v>
      </c>
      <c r="GB56">
        <f>SUMIF($B$9:$D$54,"Grand Total",GB9:GB54)</f>
        <v>23991918.272694297</v>
      </c>
      <c r="GF56">
        <f>SUMIF($B$9:$D$54,"Grand Total",GF9:GF54)</f>
        <v>23991918.272694297</v>
      </c>
      <c r="GJ56">
        <f>SUMIF($B$9:$D$54,"Grand Total",GJ9:GJ54)</f>
        <v>23991918.272694297</v>
      </c>
      <c r="GN56">
        <f>SUMIF($B$9:$D$54,"Grand Total",GN9:GN54)</f>
        <v>23991918.272694297</v>
      </c>
      <c r="GR56">
        <f>SUMIF($B$9:$D$54,"Grand Total",GR9:GR54)</f>
        <v>34788281.495406725</v>
      </c>
      <c r="GV56">
        <f>SUMIF($B$9:$D$54,"Grand Total",GV9:GV54)</f>
        <v>34788281.495406725</v>
      </c>
      <c r="GZ56">
        <f>SUMIF($B$9:$D$54,"Grand Total",GZ9:GZ54)</f>
        <v>34788281.495406725</v>
      </c>
      <c r="HD56">
        <f>SUMIF($B$9:$D$54,"Grand Total",HD9:HD54)</f>
        <v>34788281.495406725</v>
      </c>
      <c r="HH56">
        <f>SUMIF($B$9:$D$54,"Grand Total",HH9:HH54)</f>
        <v>34788281.495406725</v>
      </c>
      <c r="HL56">
        <f>SUMIF($B$9:$D$54,"Grand Total",HL9:HL54)</f>
        <v>34788281.495406725</v>
      </c>
      <c r="HP56">
        <f>SUMIF($B$9:$D$54,"Grand Total",HP9:HP54)</f>
        <v>34788281.495406725</v>
      </c>
      <c r="HT56">
        <f>SUMIF($B$9:$D$54,"Grand Total",HT9:HT54)</f>
        <v>34788281.495406725</v>
      </c>
      <c r="HX56">
        <f>SUMIF($B$9:$D$54,"Grand Total",HX9:HX54)</f>
        <v>34788281.495406725</v>
      </c>
      <c r="IB56">
        <f>SUMIF($B$9:$D$54,"Grand Total",IB9:IB54)</f>
        <v>34788281.495406725</v>
      </c>
      <c r="IF56">
        <f>SUMIF($B$9:$D$54,"Grand Total",IF9:IF54)</f>
        <v>34788281.495406725</v>
      </c>
      <c r="IJ56">
        <f>SUMIF($B$9:$D$54,"Grand Total",IJ9:IJ54)</f>
        <v>34788281.495406725</v>
      </c>
      <c r="IL56">
        <f>SUMIF($B$9:$D$54,"Grand Total",IL9:IL54)</f>
        <v>0</v>
      </c>
      <c r="IN56">
        <f>SUMIF($B$9:$D$54,"Grand Total",IN9:IN54)</f>
        <v>0</v>
      </c>
      <c r="IP56">
        <f>SUMIF($B$9:$D$54,"Grand Total",IP9:IP54)</f>
        <v>362374.7231162451</v>
      </c>
      <c r="IR56">
        <f>SUMIF($B$9:$D$54,"Grand Total",IR9:IR54)</f>
        <v>10871241.693487352</v>
      </c>
      <c r="IT56">
        <f>SUMIF($B$9:$D$54,"Grand Total",IT9:IT54)</f>
        <v>910509.2323603148</v>
      </c>
      <c r="IV56">
        <f>SUMIF($B$9:$D$54,"Grand Total",IV9:IV54)</f>
        <v>36420369.29441259</v>
      </c>
      <c r="IX56">
        <f>SUMIF($B$9:$D$54,"Grand Total",IX9:IX54)</f>
        <v>2476585.112020056</v>
      </c>
      <c r="IZ56">
        <f>SUMIF($B$9:$D$54,"Grand Total",IZ9:IZ54)</f>
        <v>185743883.40150422</v>
      </c>
      <c r="JB56">
        <f>SUMIF($B$9:$D$54,"Grand Total",JB9:JB54)</f>
        <v>3838706.9236310883</v>
      </c>
      <c r="JD56">
        <f>SUMIF($B$9:$D$54,"Grand Total",JD9:JD54)</f>
        <v>287903019.27233166</v>
      </c>
      <c r="JF56">
        <f>SUMIF($B$9:$D$54,"Grand Total",JF9:JF54)</f>
        <v>5566125.039265078</v>
      </c>
      <c r="JH56">
        <f>SUMIF($B$9:$D$54,"Grand Total",JH9:JH54)</f>
        <v>417459377.9448807</v>
      </c>
    </row>
    <row r="57" spans="2:268" x14ac:dyDescent="0.25">
      <c r="B57" s="34"/>
      <c r="C57" s="34"/>
      <c r="D57" s="34"/>
      <c r="IL57" t="str">
        <f>IF(IL54=IL56,"TRUE","FALSE")</f>
        <v>TRUE</v>
      </c>
      <c r="IN57" t="str">
        <f>IF(IN54=IN56,"TRUE","FALSE")</f>
        <v>TRUE</v>
      </c>
      <c r="IP57" t="str">
        <f>IF(IP54=IP56,"TRUE","FALSE")</f>
        <v>TRUE</v>
      </c>
      <c r="IR57" t="str">
        <f>IF(IR54=IR56,"TRUE","FALSE")</f>
        <v>TRUE</v>
      </c>
      <c r="IT57" t="str">
        <f>IF(IT54=IT56,"TRUE","FALSE")</f>
        <v>TRUE</v>
      </c>
      <c r="IV57" t="str">
        <f>IF(IV54=IV56,"TRUE","FALSE")</f>
        <v>TRUE</v>
      </c>
      <c r="IX57" t="str">
        <f>IF(IX54=IX56,"TRUE","FALSE")</f>
        <v>TRUE</v>
      </c>
      <c r="IZ57" t="str">
        <f>IF(IZ54=IZ56,"TRUE","FALSE")</f>
        <v>TRUE</v>
      </c>
      <c r="JB57" t="str">
        <f>IF(JB54=JB56,"TRUE","FALSE")</f>
        <v>TRUE</v>
      </c>
      <c r="JD57" t="str">
        <f>IF(JD54=JD56,"TRUE","FALSE")</f>
        <v>TRUE</v>
      </c>
      <c r="JF57" t="str">
        <f>IF(JF54=JF56,"TRUE","FALSE")</f>
        <v>TRUE</v>
      </c>
      <c r="JH57" t="str">
        <f>IF(JH54=JH56,"TRUE","FALSE")</f>
        <v>TRUE</v>
      </c>
    </row>
    <row r="58" spans="2:268" x14ac:dyDescent="0.25">
      <c r="B58" s="34" t="s">
        <v>221</v>
      </c>
      <c r="C58" s="34"/>
      <c r="D58" s="34"/>
      <c r="H58" s="54">
        <f>H54-H56</f>
        <v>0</v>
      </c>
      <c r="L58" s="54">
        <f>L54-L56</f>
        <v>0</v>
      </c>
      <c r="P58" s="54">
        <f>P54-P56</f>
        <v>0</v>
      </c>
      <c r="T58" s="54">
        <f>T54-T56</f>
        <v>0</v>
      </c>
      <c r="X58" s="54">
        <f>X54-X56</f>
        <v>0</v>
      </c>
      <c r="AB58" s="54">
        <f>AB54-AB56</f>
        <v>0</v>
      </c>
      <c r="AF58" s="54">
        <f>AF54-AF56</f>
        <v>0</v>
      </c>
      <c r="AJ58" s="54">
        <f>AJ54-AJ56</f>
        <v>0</v>
      </c>
      <c r="AN58" s="54">
        <f>AN54-AN56</f>
        <v>0</v>
      </c>
      <c r="AR58" s="54">
        <f>AR54-AR56</f>
        <v>0</v>
      </c>
      <c r="AV58" s="54">
        <f>AV54-AV56</f>
        <v>0</v>
      </c>
      <c r="AZ58" s="54">
        <f>AZ54-AZ56</f>
        <v>0</v>
      </c>
      <c r="BD58" s="54">
        <f>BD54-BD56</f>
        <v>0</v>
      </c>
      <c r="BH58" s="54">
        <f>BH54-BH56</f>
        <v>0</v>
      </c>
      <c r="BL58" s="54">
        <f>BL54-BL56</f>
        <v>0</v>
      </c>
      <c r="BP58" s="54">
        <f>BP54-BP56</f>
        <v>0</v>
      </c>
      <c r="BT58" s="54">
        <f>BT54-BT56</f>
        <v>0</v>
      </c>
      <c r="BX58" s="54">
        <f>BX54-BX56</f>
        <v>0</v>
      </c>
      <c r="CB58" s="54">
        <f>CB54-CB56</f>
        <v>0</v>
      </c>
      <c r="CF58" s="54">
        <f>CF54-CF56</f>
        <v>0</v>
      </c>
      <c r="CJ58" s="54">
        <f>CJ54-CJ56</f>
        <v>0</v>
      </c>
      <c r="CN58" s="54">
        <f>CN54-CN56</f>
        <v>0</v>
      </c>
      <c r="CR58" s="54">
        <f>CR54-CR56</f>
        <v>0</v>
      </c>
      <c r="CV58" s="54">
        <f>CV54-CV56</f>
        <v>0</v>
      </c>
      <c r="CZ58" s="54">
        <f>CZ54-CZ56</f>
        <v>0</v>
      </c>
      <c r="DD58" s="54">
        <f>DD54-DD56</f>
        <v>0</v>
      </c>
      <c r="DH58" s="54">
        <f>DH54-DH56</f>
        <v>0</v>
      </c>
      <c r="DL58" s="54">
        <f>DL54-DL56</f>
        <v>0</v>
      </c>
      <c r="DP58" s="54">
        <f>DP54-DP56</f>
        <v>0</v>
      </c>
      <c r="DT58" s="54">
        <f>DT54-DT56</f>
        <v>0</v>
      </c>
      <c r="DX58" s="54">
        <f>DX54-DX56</f>
        <v>0</v>
      </c>
      <c r="EB58" s="54">
        <f>EB54-EB56</f>
        <v>0</v>
      </c>
      <c r="EF58" s="54">
        <f>EF54-EF56</f>
        <v>0</v>
      </c>
      <c r="EJ58" s="54">
        <f>EJ54-EJ56</f>
        <v>0</v>
      </c>
      <c r="EN58" s="54">
        <f>EN54-EN56</f>
        <v>0</v>
      </c>
      <c r="ER58" s="54">
        <f>ER54-ER56</f>
        <v>0</v>
      </c>
      <c r="EV58" s="54">
        <f>EV54-EV56</f>
        <v>0</v>
      </c>
      <c r="EZ58" s="54">
        <f>EZ54-EZ56</f>
        <v>0</v>
      </c>
      <c r="FD58" s="54">
        <f>FD54-FD56</f>
        <v>0</v>
      </c>
      <c r="FH58" s="54">
        <f>FH54-FH56</f>
        <v>0</v>
      </c>
      <c r="FL58" s="54">
        <f>FL54-FL56</f>
        <v>0</v>
      </c>
      <c r="FP58" s="54">
        <f>FP54-FP56</f>
        <v>0</v>
      </c>
      <c r="FT58" s="54">
        <f>FT54-FT56</f>
        <v>0</v>
      </c>
      <c r="FX58" s="54">
        <f>FX54-FX56</f>
        <v>0</v>
      </c>
      <c r="GB58" s="54">
        <f>GB54-GB56</f>
        <v>0</v>
      </c>
      <c r="GF58" s="54">
        <f>GF54-GF56</f>
        <v>0</v>
      </c>
      <c r="GJ58" s="54">
        <f>GJ54-GJ56</f>
        <v>0</v>
      </c>
      <c r="GN58" s="54">
        <f>GN54-GN56</f>
        <v>0</v>
      </c>
      <c r="GR58" s="54">
        <f>GR54-GR56</f>
        <v>0</v>
      </c>
      <c r="GV58" s="54">
        <f>GV54-GV56</f>
        <v>0</v>
      </c>
      <c r="GZ58" s="54">
        <f>GZ54-GZ56</f>
        <v>0</v>
      </c>
      <c r="HD58" s="54">
        <f>HD54-HD56</f>
        <v>0</v>
      </c>
      <c r="HH58" s="54">
        <f>HH54-HH56</f>
        <v>0</v>
      </c>
      <c r="HL58" s="54">
        <f>HL54-HL56</f>
        <v>0</v>
      </c>
      <c r="HP58" s="54">
        <f>HP54-HP56</f>
        <v>0</v>
      </c>
      <c r="HT58" s="54">
        <f>HT54-HT56</f>
        <v>0</v>
      </c>
      <c r="HX58" s="54">
        <f>HX54-HX56</f>
        <v>0</v>
      </c>
      <c r="IB58" s="54">
        <f>IB54-IB56</f>
        <v>0</v>
      </c>
      <c r="IF58" s="54">
        <f>IF54-IF56</f>
        <v>0</v>
      </c>
      <c r="IJ58" s="54">
        <f>IJ54-IJ56</f>
        <v>0</v>
      </c>
      <c r="IL58" s="54">
        <f>IL54-IL56</f>
        <v>0</v>
      </c>
      <c r="IN58" s="54">
        <f>IN54-IN56</f>
        <v>0</v>
      </c>
      <c r="IP58" s="54">
        <f>IP54-IP56</f>
        <v>0</v>
      </c>
      <c r="IR58" s="54">
        <f>IR54-IR56</f>
        <v>0</v>
      </c>
      <c r="IT58" s="54">
        <f>IT54-IT56</f>
        <v>0</v>
      </c>
      <c r="IV58" s="54">
        <f>IV54-IV56</f>
        <v>0</v>
      </c>
      <c r="IX58" s="54">
        <f>IX54-IX56</f>
        <v>0</v>
      </c>
      <c r="IZ58" s="54">
        <f>IZ54-IZ56</f>
        <v>0</v>
      </c>
      <c r="JB58" s="54">
        <f>JB54-JB56</f>
        <v>0</v>
      </c>
      <c r="JD58" s="54">
        <f>JD54-JD56</f>
        <v>0</v>
      </c>
      <c r="JF58" s="54">
        <f>JF54-JF56</f>
        <v>0</v>
      </c>
      <c r="JH58" s="54">
        <f>JH54-JH56</f>
        <v>0</v>
      </c>
    </row>
    <row r="59" spans="246:248" x14ac:dyDescent="0.25">
      <c r="IL59" s="54"/>
      <c r="IM59" s="54"/>
      <c r="IN59" s="54"/>
    </row>
    <row r="60" spans="246:248" x14ac:dyDescent="0.25">
      <c r="IL60" s="54"/>
      <c r="IM60" s="54"/>
      <c r="IN60" s="54"/>
    </row>
    <row r="61" spans="246:248" x14ac:dyDescent="0.25">
      <c r="IL61" s="54"/>
      <c r="IM61" s="54"/>
      <c r="IN61" s="54"/>
    </row>
    <row r="62" spans="246:248" x14ac:dyDescent="0.25">
      <c r="IL62" s="54"/>
      <c r="IM62" s="54"/>
      <c r="IN62" s="54"/>
    </row>
    <row r="63" spans="246:248" x14ac:dyDescent="0.25">
      <c r="IL63" s="54"/>
      <c r="IM63" s="54"/>
      <c r="IN63" s="54"/>
    </row>
    <row r="64" spans="246:248" x14ac:dyDescent="0.25">
      <c r="IL64" s="54"/>
      <c r="IM64" s="54"/>
      <c r="IN64" s="54"/>
    </row>
    <row r="65" spans="246:248" x14ac:dyDescent="0.25">
      <c r="IL65" s="54"/>
      <c r="IM65" s="54"/>
      <c r="IN65" s="54"/>
    </row>
    <row r="66" spans="246:248" x14ac:dyDescent="0.25">
      <c r="IL66" s="54"/>
      <c r="IM66" s="54"/>
      <c r="IN66" s="54"/>
    </row>
    <row r="67" spans="246:248" x14ac:dyDescent="0.25">
      <c r="IL67" s="54"/>
      <c r="IM67" s="54"/>
      <c r="IN67" s="54"/>
    </row>
    <row r="68" spans="246:248" x14ac:dyDescent="0.25">
      <c r="IL68" s="54"/>
      <c r="IM68" s="54"/>
      <c r="IN68" s="54"/>
    </row>
    <row r="69" spans="246:248" x14ac:dyDescent="0.25">
      <c r="IL69" s="54"/>
      <c r="IM69" s="54"/>
      <c r="IN69" s="54"/>
    </row>
    <row r="70" spans="246:248" x14ac:dyDescent="0.25">
      <c r="IL70" s="54"/>
      <c r="IM70" s="54"/>
      <c r="IN70" s="54"/>
    </row>
    <row r="71" spans="246:248" x14ac:dyDescent="0.25">
      <c r="IL71" s="54"/>
      <c r="IM71" s="54"/>
      <c r="IN71" s="54"/>
    </row>
    <row r="72" spans="246:248" x14ac:dyDescent="0.25">
      <c r="IL72" s="54"/>
      <c r="IM72" s="54"/>
      <c r="IN72" s="54"/>
    </row>
    <row r="73" spans="246:248" x14ac:dyDescent="0.25">
      <c r="IL73" s="81"/>
      <c r="IM73" s="81"/>
      <c r="IN73" s="81"/>
    </row>
    <row r="74" spans="246:248" x14ac:dyDescent="0.25">
      <c r="IL74" s="54"/>
      <c r="IM74" s="54"/>
      <c r="IN74" s="54"/>
    </row>
    <row r="75" spans="246:248" x14ac:dyDescent="0.25">
      <c r="IL75" s="83"/>
      <c r="IM75" s="83"/>
      <c r="IN75" s="54"/>
    </row>
    <row r="76" spans="246:248" x14ac:dyDescent="0.25">
      <c r="IL76" s="54"/>
      <c r="IM76" s="54"/>
      <c r="IN76" s="54"/>
    </row>
    <row r="77" spans="246:248" x14ac:dyDescent="0.25">
      <c r="IL77" s="54"/>
      <c r="IM77" s="54"/>
      <c r="IN77" s="54"/>
    </row>
    <row r="78" spans="246:248" x14ac:dyDescent="0.25">
      <c r="IL78" s="54"/>
      <c r="IM78" s="54"/>
      <c r="IN78" s="54"/>
    </row>
    <row r="79" spans="246:248" x14ac:dyDescent="0.25">
      <c r="IL79" s="54"/>
      <c r="IM79" s="54"/>
      <c r="IN79" s="54"/>
    </row>
    <row r="80" spans="246:248" x14ac:dyDescent="0.25">
      <c r="IL80" s="54"/>
      <c r="IM80" s="54"/>
      <c r="IN80" s="54"/>
    </row>
    <row r="81" spans="246:248" x14ac:dyDescent="0.25">
      <c r="IL81" s="54"/>
      <c r="IM81" s="54"/>
      <c r="IN81" s="54"/>
    </row>
    <row r="82" spans="246:248" x14ac:dyDescent="0.25">
      <c r="IL82" s="81"/>
      <c r="IM82" s="81"/>
      <c r="IN82" s="81"/>
    </row>
    <row r="83" spans="246:248" x14ac:dyDescent="0.25">
      <c r="IL83" s="54"/>
      <c r="IM83" s="54"/>
      <c r="IN83" s="54"/>
    </row>
    <row r="84" spans="246:248" x14ac:dyDescent="0.25">
      <c r="IL84" s="83"/>
      <c r="IM84" s="83"/>
      <c r="IN84" s="54"/>
    </row>
    <row r="85" spans="246:248" x14ac:dyDescent="0.25">
      <c r="IL85" s="54"/>
      <c r="IM85" s="54"/>
      <c r="IN85" s="54"/>
    </row>
    <row r="86" spans="246:248" x14ac:dyDescent="0.25">
      <c r="IL86" s="54"/>
      <c r="IM86" s="54"/>
      <c r="IN86" s="54"/>
    </row>
    <row r="87" spans="246:248" x14ac:dyDescent="0.25">
      <c r="IL87" s="54"/>
      <c r="IM87" s="54"/>
      <c r="IN87" s="54"/>
    </row>
    <row r="88" spans="246:248" x14ac:dyDescent="0.25">
      <c r="IL88" s="54"/>
      <c r="IM88" s="54"/>
      <c r="IN88" s="54"/>
    </row>
    <row r="89" ht="15" customHeight="1" spans="246:248" x14ac:dyDescent="0.25">
      <c r="IL89" s="54"/>
      <c r="IM89" s="54"/>
      <c r="IN89" s="54"/>
    </row>
    <row r="90" ht="15" customHeight="1" spans="246:248" x14ac:dyDescent="0.25">
      <c r="IL90" s="54"/>
      <c r="IM90" s="54"/>
      <c r="IN90" s="54"/>
    </row>
    <row r="91" ht="15" customHeight="1" spans="246:248" x14ac:dyDescent="0.25">
      <c r="IL91" s="81"/>
      <c r="IM91" s="81"/>
      <c r="IN91" s="81"/>
    </row>
  </sheetData>
  <mergeCells count="82">
    <mergeCell ref="IL4:IN4"/>
    <mergeCell ref="IP4:IR4"/>
    <mergeCell ref="IT4:IV4"/>
    <mergeCell ref="IX4:IZ4"/>
    <mergeCell ref="JB4:JD4"/>
    <mergeCell ref="JF4:JH4"/>
    <mergeCell ref="F5:H5"/>
    <mergeCell ref="J5:L5"/>
    <mergeCell ref="N5:P5"/>
    <mergeCell ref="R5:T5"/>
    <mergeCell ref="V5:X5"/>
    <mergeCell ref="Z5:AB5"/>
    <mergeCell ref="AD5:AF5"/>
    <mergeCell ref="AH5:AJ5"/>
    <mergeCell ref="AL5:AN5"/>
    <mergeCell ref="AP5:AR5"/>
    <mergeCell ref="AT5:AV5"/>
    <mergeCell ref="AX5:AZ5"/>
    <mergeCell ref="BB5:BD5"/>
    <mergeCell ref="BF5:BH5"/>
    <mergeCell ref="BJ5:BL5"/>
    <mergeCell ref="BN5:BP5"/>
    <mergeCell ref="BR5:BT5"/>
    <mergeCell ref="BV5:BX5"/>
    <mergeCell ref="BZ5:CB5"/>
    <mergeCell ref="CD5:CF5"/>
    <mergeCell ref="CH5:CJ5"/>
    <mergeCell ref="CL5:CN5"/>
    <mergeCell ref="CP5:CR5"/>
    <mergeCell ref="CT5:CV5"/>
    <mergeCell ref="CX5:CZ5"/>
    <mergeCell ref="DB5:DD5"/>
    <mergeCell ref="DF5:DH5"/>
    <mergeCell ref="DJ5:DL5"/>
    <mergeCell ref="DN5:DP5"/>
    <mergeCell ref="DR5:DT5"/>
    <mergeCell ref="DV5:DX5"/>
    <mergeCell ref="DZ5:EB5"/>
    <mergeCell ref="ED5:EF5"/>
    <mergeCell ref="EH5:EJ5"/>
    <mergeCell ref="EL5:EN5"/>
    <mergeCell ref="EP5:ER5"/>
    <mergeCell ref="ET5:EV5"/>
    <mergeCell ref="EX5:EZ5"/>
    <mergeCell ref="FB5:FD5"/>
    <mergeCell ref="FF5:FH5"/>
    <mergeCell ref="FJ5:FL5"/>
    <mergeCell ref="FN5:FP5"/>
    <mergeCell ref="FR5:FT5"/>
    <mergeCell ref="FV5:FX5"/>
    <mergeCell ref="FZ5:GB5"/>
    <mergeCell ref="GD5:GF5"/>
    <mergeCell ref="GH5:GJ5"/>
    <mergeCell ref="GL5:GN5"/>
    <mergeCell ref="GP5:GR5"/>
    <mergeCell ref="GT5:GV5"/>
    <mergeCell ref="GX5:GZ5"/>
    <mergeCell ref="HB5:HD5"/>
    <mergeCell ref="HF5:HH5"/>
    <mergeCell ref="HJ5:HL5"/>
    <mergeCell ref="HN5:HP5"/>
    <mergeCell ref="HR5:HT5"/>
    <mergeCell ref="HV5:HX5"/>
    <mergeCell ref="HZ5:IB5"/>
    <mergeCell ref="ID5:IF5"/>
    <mergeCell ref="IH5:IJ5"/>
    <mergeCell ref="IL5:IN5"/>
    <mergeCell ref="IP5:IR5"/>
    <mergeCell ref="IT5:IV5"/>
    <mergeCell ref="IX5:IZ5"/>
    <mergeCell ref="JB5:JD5"/>
    <mergeCell ref="JF5:JH5"/>
    <mergeCell ref="C6:D7"/>
    <mergeCell ref="B15:D15"/>
    <mergeCell ref="B24:D24"/>
    <mergeCell ref="B33:D33"/>
    <mergeCell ref="B42:D42"/>
    <mergeCell ref="B51:D51"/>
    <mergeCell ref="B54:D54"/>
    <mergeCell ref="B55:D55"/>
    <mergeCell ref="B56:D56"/>
    <mergeCell ref="B58:D58"/>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2:J32"/>
  <sheetViews>
    <sheetView workbookViewId="0" showGridLines="0" zoomScale="100" zoomScaleNormal="100">
      <selection activeCell="H32" sqref="H32"/>
    </sheetView>
  </sheetViews>
  <sheetFormatPr defaultRowHeight="15" outlineLevelRow="0" outlineLevelCol="0" x14ac:dyDescent="0"/>
  <cols>
    <col min="3" max="3" width="34.28515625" customWidth="1"/>
    <col min="4" max="4" width="29.7109375" customWidth="1"/>
    <col min="5" max="5" width="35.7109375" customWidth="1"/>
    <col min="6" max="6" width="20.28515625" customWidth="1"/>
    <col min="7" max="7" width="22.7109375" customWidth="1"/>
    <col min="8" max="8" width="25" customWidth="1"/>
    <col min="9" max="9" width="22.7109375" customWidth="1"/>
    <col min="10" max="10" width="18.28515625" customWidth="1"/>
  </cols>
  <sheetData>
    <row r="2" ht="18.75" customHeight="1" spans="2:10" x14ac:dyDescent="0.25">
      <c r="B2" s="44" t="s">
        <v>177</v>
      </c>
      <c r="C2" s="44" t="s">
        <v>178</v>
      </c>
      <c r="D2" s="44" t="s">
        <v>179</v>
      </c>
      <c r="E2" s="45" t="s">
        <v>180</v>
      </c>
      <c r="F2" s="45"/>
      <c r="G2" s="45"/>
      <c r="H2" s="45"/>
      <c r="I2" s="45"/>
      <c r="J2" s="45"/>
    </row>
    <row r="3" spans="2:10" s="9" customFormat="1" x14ac:dyDescent="0.25">
      <c r="B3" s="44"/>
      <c r="C3" s="44"/>
      <c r="D3" s="44"/>
      <c r="E3" s="44" t="s">
        <v>181</v>
      </c>
      <c r="F3" s="46"/>
      <c r="G3" s="19" t="s">
        <v>182</v>
      </c>
      <c r="H3" s="19" t="s">
        <v>183</v>
      </c>
      <c r="I3" s="19" t="s">
        <v>184</v>
      </c>
      <c r="J3" s="19" t="s">
        <v>185</v>
      </c>
    </row>
    <row r="4" spans="2:10" x14ac:dyDescent="0.25">
      <c r="B4" s="44"/>
      <c r="C4" s="44"/>
      <c r="D4" s="44"/>
      <c r="E4" s="47" t="s">
        <v>186</v>
      </c>
      <c r="F4" s="48" t="s">
        <v>187</v>
      </c>
      <c r="G4" s="49" t="s">
        <v>188</v>
      </c>
      <c r="H4" s="49" t="s">
        <v>189</v>
      </c>
      <c r="I4" s="49" t="s">
        <v>190</v>
      </c>
      <c r="J4" s="49" t="s">
        <v>191</v>
      </c>
    </row>
    <row r="7" spans="2:10" s="9" customFormat="1" x14ac:dyDescent="0.25">
      <c r="B7" s="5">
        <v>1</v>
      </c>
      <c r="C7" s="50" t="s">
        <v>310</v>
      </c>
      <c r="D7" s="51">
        <f>SUM(F7:J7)</f>
        <v>0</v>
      </c>
      <c r="E7" s="52"/>
      <c r="F7" s="53">
        <f>SUM(E7:E7)</f>
        <v>0</v>
      </c>
      <c r="G7" s="52"/>
      <c r="H7" s="50"/>
      <c r="I7" s="50"/>
      <c r="J7" s="50"/>
    </row>
    <row r="8" spans="2:10" x14ac:dyDescent="0.25">
      <c r="B8" s="11"/>
      <c r="C8" s="2" t="s">
        <v>311</v>
      </c>
      <c r="D8" s="51">
        <f t="shared" ref="D8:D9" si="0">SUM(F8:J8)</f>
        <v>0</v>
      </c>
      <c r="E8" s="51"/>
      <c r="F8" s="53">
        <f>SUM(E8:E8)</f>
        <v>0</v>
      </c>
      <c r="G8" s="51"/>
      <c r="H8" s="2"/>
      <c r="I8" s="2"/>
      <c r="J8" s="2"/>
    </row>
    <row r="9" spans="2:10" x14ac:dyDescent="0.25">
      <c r="B9" s="11"/>
      <c r="C9" s="2" t="s">
        <v>312</v>
      </c>
      <c r="D9" s="51">
        <f t="shared" si="0"/>
        <v>0</v>
      </c>
      <c r="E9" s="51"/>
      <c r="F9" s="53">
        <f>SUM(E9:E9)</f>
        <v>0</v>
      </c>
      <c r="G9" s="51"/>
      <c r="H9" s="2"/>
      <c r="I9" s="2"/>
      <c r="J9" s="2"/>
    </row>
    <row r="10" spans="4:7" x14ac:dyDescent="0.25">
      <c r="D10" s="54"/>
      <c r="E10" s="54"/>
      <c r="F10" s="54"/>
      <c r="G10" s="54"/>
    </row>
    <row r="11" spans="2:10" x14ac:dyDescent="0.25">
      <c r="B11" s="5">
        <v>2</v>
      </c>
      <c r="C11" s="50" t="s">
        <v>313</v>
      </c>
      <c r="D11" s="51"/>
      <c r="E11" s="51"/>
      <c r="F11" s="55"/>
      <c r="G11" s="51"/>
      <c r="H11" s="2"/>
      <c r="I11" s="2"/>
      <c r="J11" s="2"/>
    </row>
    <row r="12" spans="2:10" x14ac:dyDescent="0.25">
      <c r="B12" s="11"/>
      <c r="C12" s="2" t="s">
        <v>314</v>
      </c>
      <c r="D12" s="51">
        <f t="shared" ref="D12:D13" si="1">SUM(F12:J12)</f>
        <v>0</v>
      </c>
      <c r="E12" s="51"/>
      <c r="F12" s="53">
        <f>SUM(E12:E12)</f>
        <v>0</v>
      </c>
      <c r="G12" s="51"/>
      <c r="H12" s="2"/>
      <c r="I12" s="2"/>
      <c r="J12" s="2"/>
    </row>
    <row r="13" spans="2:10" x14ac:dyDescent="0.25">
      <c r="B13" s="11"/>
      <c r="C13" s="2" t="s">
        <v>315</v>
      </c>
      <c r="D13" s="51">
        <f t="shared" si="1"/>
        <v>0</v>
      </c>
      <c r="E13" s="51"/>
      <c r="F13" s="53">
        <f>SUM(E13:E13)</f>
        <v>0</v>
      </c>
      <c r="G13" s="51"/>
      <c r="H13" s="2"/>
      <c r="I13" s="2"/>
      <c r="J13" s="2"/>
    </row>
    <row r="14" spans="4:7" x14ac:dyDescent="0.25">
      <c r="D14" s="54"/>
      <c r="E14" s="54"/>
      <c r="F14" s="54"/>
      <c r="G14" s="54"/>
    </row>
    <row r="15" spans="2:10" s="9" customFormat="1" x14ac:dyDescent="0.25">
      <c r="B15" s="5">
        <v>3</v>
      </c>
      <c r="C15" s="50" t="s">
        <v>316</v>
      </c>
      <c r="D15" s="51">
        <v>0</v>
      </c>
      <c r="E15" s="52"/>
      <c r="F15" s="53">
        <v>0</v>
      </c>
      <c r="G15" s="52"/>
      <c r="H15" s="50"/>
      <c r="I15" s="50"/>
      <c r="J15" s="50"/>
    </row>
    <row r="16" spans="2:10" x14ac:dyDescent="0.25">
      <c r="B16" s="11"/>
      <c r="C16" s="2" t="s">
        <v>317</v>
      </c>
      <c r="D16" s="51">
        <v>0</v>
      </c>
      <c r="E16" s="51"/>
      <c r="F16" s="55"/>
      <c r="G16" s="51"/>
      <c r="H16" s="2"/>
      <c r="I16" s="2"/>
      <c r="J16" s="2"/>
    </row>
    <row r="17" spans="2:10" x14ac:dyDescent="0.25">
      <c r="B17" s="11"/>
      <c r="C17" s="2" t="s">
        <v>318</v>
      </c>
      <c r="D17" s="51">
        <v>0</v>
      </c>
      <c r="E17" s="51"/>
      <c r="F17" s="55"/>
      <c r="G17" s="51"/>
      <c r="H17" s="2"/>
      <c r="I17" s="2"/>
      <c r="J17" s="2"/>
    </row>
    <row r="18" spans="2:10" x14ac:dyDescent="0.25">
      <c r="B18" s="11"/>
      <c r="C18" s="2" t="s">
        <v>319</v>
      </c>
      <c r="D18" s="51">
        <v>0</v>
      </c>
      <c r="E18" s="51"/>
      <c r="F18" s="55"/>
      <c r="G18" s="51"/>
      <c r="H18" s="2"/>
      <c r="I18" s="2"/>
      <c r="J18" s="2"/>
    </row>
    <row r="19" spans="2:10" x14ac:dyDescent="0.25">
      <c r="B19" s="11"/>
      <c r="C19" s="2" t="s">
        <v>320</v>
      </c>
      <c r="D19" s="51"/>
      <c r="E19" s="51"/>
      <c r="F19" s="55"/>
      <c r="G19" s="51"/>
      <c r="H19" s="2"/>
      <c r="I19" s="2"/>
      <c r="J19" s="2"/>
    </row>
    <row r="20" spans="4:7" x14ac:dyDescent="0.25">
      <c r="D20" s="54"/>
      <c r="E20" s="54"/>
      <c r="F20" s="54"/>
      <c r="G20" s="54"/>
    </row>
    <row r="21" spans="2:10" s="9" customFormat="1" x14ac:dyDescent="0.25">
      <c r="B21" s="5">
        <v>4</v>
      </c>
      <c r="C21" s="50" t="s">
        <v>321</v>
      </c>
      <c r="D21" s="51"/>
      <c r="E21" s="52"/>
      <c r="F21" s="53"/>
      <c r="G21" s="52"/>
      <c r="H21" s="50"/>
      <c r="I21" s="50"/>
      <c r="J21" s="50"/>
    </row>
    <row r="22" spans="2:10" x14ac:dyDescent="0.25">
      <c r="B22" s="11"/>
      <c r="C22" s="56" t="s">
        <v>321</v>
      </c>
      <c r="D22" s="51">
        <v>0</v>
      </c>
      <c r="E22" s="51"/>
      <c r="F22" s="55">
        <v>0</v>
      </c>
      <c r="G22" s="51"/>
      <c r="H22" s="2"/>
      <c r="I22" s="2"/>
      <c r="J22" s="2"/>
    </row>
    <row r="23" spans="4:7" x14ac:dyDescent="0.25">
      <c r="D23" s="54"/>
      <c r="E23" s="54"/>
      <c r="F23" s="54"/>
      <c r="G23" s="54"/>
    </row>
    <row r="24" spans="2:10" x14ac:dyDescent="0.25">
      <c r="B24" s="5">
        <v>5</v>
      </c>
      <c r="C24" s="50" t="s">
        <v>322</v>
      </c>
      <c r="D24" s="51">
        <v>0</v>
      </c>
      <c r="E24" s="51"/>
      <c r="F24" s="55">
        <v>0</v>
      </c>
      <c r="G24" s="51"/>
      <c r="H24" s="2"/>
      <c r="I24" s="2"/>
      <c r="J24" s="2"/>
    </row>
    <row r="25" spans="2:10" x14ac:dyDescent="0.25">
      <c r="B25" s="5"/>
      <c r="C25" s="2" t="s">
        <v>323</v>
      </c>
      <c r="D25" s="51"/>
      <c r="E25" s="51"/>
      <c r="F25" s="55"/>
      <c r="G25" s="51"/>
      <c r="H25" s="2"/>
      <c r="I25" s="2"/>
      <c r="J25" s="2"/>
    </row>
    <row r="26" spans="2:10" x14ac:dyDescent="0.25">
      <c r="B26" s="5"/>
      <c r="C26" s="2" t="s">
        <v>324</v>
      </c>
      <c r="D26" s="51"/>
      <c r="E26" s="51"/>
      <c r="F26" s="55"/>
      <c r="G26" s="51"/>
      <c r="H26" s="2"/>
      <c r="I26" s="2"/>
      <c r="J26" s="2"/>
    </row>
    <row r="27" spans="2:10" x14ac:dyDescent="0.25">
      <c r="B27" s="5"/>
      <c r="C27" s="2" t="s">
        <v>325</v>
      </c>
      <c r="D27" s="51"/>
      <c r="E27" s="51"/>
      <c r="F27" s="55"/>
      <c r="G27" s="51"/>
      <c r="H27" s="2"/>
      <c r="I27" s="2"/>
      <c r="J27" s="2"/>
    </row>
    <row r="28" spans="4:7" x14ac:dyDescent="0.25">
      <c r="D28" s="54"/>
      <c r="E28" s="54"/>
      <c r="F28" s="54"/>
      <c r="G28" s="54"/>
    </row>
    <row r="29" spans="2:10" x14ac:dyDescent="0.25">
      <c r="B29" s="5">
        <v>6</v>
      </c>
      <c r="C29" s="50" t="s">
        <v>326</v>
      </c>
      <c r="D29" s="51">
        <f>SUM(F29:J29)</f>
        <v>0</v>
      </c>
      <c r="E29" s="51"/>
      <c r="F29" s="55">
        <f>SUM(E29:E29)</f>
        <v>0</v>
      </c>
      <c r="G29" s="51"/>
      <c r="H29" s="2"/>
      <c r="I29" s="2"/>
      <c r="J29" s="2"/>
    </row>
    <row r="30" spans="2:10" x14ac:dyDescent="0.25">
      <c r="B30" s="5"/>
      <c r="C30" s="2" t="s">
        <v>327</v>
      </c>
      <c r="D30" s="51"/>
      <c r="E30" s="51"/>
      <c r="F30" s="55"/>
      <c r="G30" s="51"/>
      <c r="H30" s="2"/>
      <c r="I30" s="2"/>
      <c r="J30" s="2"/>
    </row>
    <row r="31" spans="4:7" x14ac:dyDescent="0.25">
      <c r="D31" s="54"/>
      <c r="E31" s="54"/>
      <c r="F31" s="54"/>
      <c r="G31" s="54"/>
    </row>
    <row r="32" spans="2:10" s="57" customFormat="1" x14ac:dyDescent="0.25">
      <c r="B32" s="58" t="s">
        <v>198</v>
      </c>
      <c r="C32" s="58"/>
      <c r="D32" s="59">
        <v>510000000</v>
      </c>
      <c r="E32" s="59">
        <f>SUM(E7:E31)</f>
        <v>0</v>
      </c>
      <c r="F32" s="59">
        <f>SUM(F7:F31)</f>
        <v>0</v>
      </c>
      <c r="G32" s="59">
        <f>SUM(G7:G31)</f>
        <v>0</v>
      </c>
      <c r="H32" s="59">
        <v>430000000</v>
      </c>
      <c r="I32" s="59">
        <f>SUM(I7:I31)</f>
        <v>0</v>
      </c>
      <c r="J32" s="59">
        <f>SUM(J7:J31)</f>
        <v>0</v>
      </c>
    </row>
  </sheetData>
  <mergeCells count="5">
    <mergeCell ref="E2:J2"/>
    <mergeCell ref="B2:B4"/>
    <mergeCell ref="C2:C4"/>
    <mergeCell ref="D2:D4"/>
    <mergeCell ref="B32:C32"/>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1"/>
  <sheetViews>
    <sheetView workbookViewId="0" zoomScale="100" zoomScaleNormal="100"/>
  </sheetViews>
  <sheetFormatPr defaultRowHeight="15" outlineLevelRow="0" outlineLevelCol="0" x14ac:dyDescent="0"/>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2:BO168"/>
  <sheetViews>
    <sheetView workbookViewId="0" showGridLines="0" zoomScale="93" zoomScaleNormal="100">
      <pane xSplit="5" ySplit="6" topLeftCell="F7" activePane="bottomRight" state="frozen"/>
      <selection pane="bottomRight" activeCell="F5" sqref="F5"/>
    </sheetView>
  </sheetViews>
  <sheetFormatPr defaultRowHeight="15" outlineLevelRow="0" outlineLevelCol="0" x14ac:dyDescent="0"/>
  <cols>
    <col min="2" max="2" width="10.28515625" customWidth="1"/>
    <col min="3" max="3" width="21.7109375" customWidth="1"/>
    <col min="4" max="4" width="44.28515625" customWidth="1"/>
    <col min="5" max="5" width="3.7109375" customWidth="1"/>
    <col min="6" max="6" width="8.28515625" customWidth="1"/>
    <col min="7" max="7" width="11.5703125" customWidth="1"/>
    <col min="8" max="8" width="13.28515625" customWidth="1"/>
    <col min="9" max="9" width="2" customWidth="1"/>
    <col min="10" max="10" width="8.28515625" customWidth="1"/>
    <col min="11" max="11" width="11.5703125" customWidth="1"/>
    <col min="12" max="12" width="13.28515625" customWidth="1"/>
    <col min="13" max="13" width="2" customWidth="1"/>
    <col min="14" max="14" width="8.28515625" customWidth="1"/>
    <col min="15" max="15" width="11.5703125" customWidth="1"/>
    <col min="16" max="16" width="13.28515625" customWidth="1"/>
    <col min="17" max="17" width="2" customWidth="1"/>
    <col min="18" max="18" width="8.28515625" customWidth="1"/>
    <col min="19" max="19" width="11.5703125" customWidth="1"/>
    <col min="20" max="20" width="13.28515625" customWidth="1"/>
    <col min="21" max="21" width="2" customWidth="1"/>
    <col min="22" max="22" width="8.28515625" customWidth="1"/>
    <col min="23" max="23" width="11.5703125" customWidth="1"/>
    <col min="24" max="24" width="13.28515625" customWidth="1"/>
    <col min="25" max="25" width="2" customWidth="1"/>
    <col min="26" max="26" width="8.28515625" customWidth="1"/>
    <col min="27" max="27" width="11.5703125" customWidth="1"/>
    <col min="28" max="28" width="13.28515625" customWidth="1"/>
    <col min="29" max="29" width="2" customWidth="1"/>
    <col min="30" max="30" width="8.28515625" customWidth="1"/>
    <col min="31" max="31" width="11.5703125" customWidth="1"/>
    <col min="32" max="32" width="13.28515625" customWidth="1"/>
    <col min="33" max="33" width="2" customWidth="1"/>
    <col min="34" max="34" width="8.28515625" customWidth="1"/>
    <col min="35" max="35" width="11.5703125" customWidth="1"/>
    <col min="36" max="36" width="13.28515625" customWidth="1"/>
    <col min="37" max="37" width="2" customWidth="1"/>
    <col min="38" max="38" width="8.28515625" customWidth="1"/>
    <col min="39" max="39" width="11.5703125" customWidth="1"/>
    <col min="40" max="40" width="13.28515625" customWidth="1"/>
    <col min="41" max="41" width="2" customWidth="1"/>
    <col min="42" max="42" width="3.7109375" customWidth="1"/>
    <col min="43" max="43" width="8.28515625" customWidth="1"/>
    <col min="44" max="44" width="11.5703125" customWidth="1"/>
    <col min="45" max="45" width="13.28515625" customWidth="1"/>
    <col min="46" max="46" width="14.5703125" customWidth="1"/>
    <col min="47" max="47" width="8.28515625" customWidth="1"/>
    <col min="48" max="48" width="11.5703125" customWidth="1"/>
    <col min="49" max="49" width="13.28515625" customWidth="1"/>
    <col min="50" max="50" width="8.7109375" customWidth="1"/>
    <col min="51" max="51" width="8.28515625" customWidth="1"/>
    <col min="52" max="52" width="11.5703125" customWidth="1"/>
    <col min="53" max="53" width="14.28515625" customWidth="1"/>
    <col min="54" max="54" width="8.7109375" customWidth="1"/>
    <col min="55" max="55" width="8.28515625" customWidth="1"/>
    <col min="56" max="56" width="11.5703125" customWidth="1"/>
    <col min="57" max="57" width="13.28515625" customWidth="1"/>
    <col min="58" max="58" width="8.7109375" customWidth="1"/>
    <col min="59" max="59" width="8.28515625" customWidth="1"/>
    <col min="60" max="60" width="11.5703125" customWidth="1"/>
    <col min="61" max="61" width="14.28515625" customWidth="1"/>
    <col min="62" max="62" width="8.7109375" customWidth="1"/>
    <col min="63" max="63" width="12" customWidth="1"/>
    <col min="64" max="64" width="11.5703125" customWidth="1"/>
    <col min="65" max="65" width="15" customWidth="1"/>
    <col min="16367" max="16371" width="9.28515625" customWidth="1"/>
  </cols>
  <sheetData>
    <row r="2" ht="18.75" customHeight="1" spans="2:65" x14ac:dyDescent="0.25">
      <c r="B2" s="9" t="s">
        <v>201</v>
      </c>
      <c r="C2" s="17"/>
      <c r="G2" s="54"/>
      <c r="H2" s="54"/>
      <c r="I2" s="54"/>
      <c r="K2" s="54"/>
      <c r="L2" s="54"/>
      <c r="M2" s="54"/>
      <c r="O2" s="54"/>
      <c r="P2" s="54"/>
      <c r="Q2" s="54"/>
      <c r="S2" s="54"/>
      <c r="T2" s="54"/>
      <c r="U2" s="54"/>
      <c r="W2" s="54"/>
      <c r="X2" s="54"/>
      <c r="Y2" s="54"/>
      <c r="AA2" s="54"/>
      <c r="AB2" s="54"/>
      <c r="AC2" s="54"/>
      <c r="AE2" s="54"/>
      <c r="AF2" s="54"/>
      <c r="AG2" s="54"/>
      <c r="AI2" s="54"/>
      <c r="AJ2" s="54"/>
      <c r="AK2" s="54"/>
      <c r="AM2" s="54"/>
      <c r="AN2" s="54"/>
      <c r="AO2" s="54"/>
      <c r="AP2" s="54"/>
      <c r="AQ2" s="54"/>
      <c r="AR2" s="54"/>
      <c r="AS2" s="54"/>
      <c r="AV2" s="54"/>
      <c r="AW2" s="54"/>
      <c r="AZ2" s="54"/>
      <c r="BA2" s="54"/>
      <c r="BD2" s="54"/>
      <c r="BE2" s="54"/>
      <c r="BH2" s="54"/>
      <c r="BI2" s="54"/>
      <c r="BL2" s="54"/>
      <c r="BM2" s="54"/>
    </row>
    <row r="3" ht="18.75" customHeight="1" spans="2:65" x14ac:dyDescent="0.25">
      <c r="B3" s="9"/>
      <c r="C3" s="17"/>
      <c r="G3" s="54"/>
      <c r="H3" s="54"/>
      <c r="I3" s="54"/>
      <c r="K3" s="54"/>
      <c r="L3" s="54"/>
      <c r="M3" s="54"/>
      <c r="O3" s="54"/>
      <c r="P3" s="54"/>
      <c r="Q3" s="54"/>
      <c r="S3" s="54"/>
      <c r="T3" s="54"/>
      <c r="U3" s="54"/>
      <c r="W3" s="54"/>
      <c r="X3" s="54"/>
      <c r="Y3" s="54"/>
      <c r="AA3" s="54"/>
      <c r="AB3" s="54"/>
      <c r="AC3" s="54"/>
      <c r="AE3" s="54"/>
      <c r="AF3" s="54"/>
      <c r="AG3" s="54"/>
      <c r="AI3" s="54"/>
      <c r="AJ3" s="54"/>
      <c r="AK3" s="54"/>
      <c r="AM3" s="54"/>
      <c r="AN3" s="54"/>
      <c r="AO3" s="54"/>
      <c r="AP3" s="54"/>
      <c r="AQ3" s="54"/>
      <c r="AR3" s="54"/>
      <c r="AS3" s="54"/>
      <c r="AV3" s="54"/>
      <c r="AW3" s="54"/>
      <c r="AZ3" s="54"/>
      <c r="BA3" s="54"/>
      <c r="BD3" s="54"/>
      <c r="BE3" s="54"/>
      <c r="BH3" s="54"/>
      <c r="BI3" s="54"/>
      <c r="BL3" s="54"/>
      <c r="BM3" s="54"/>
    </row>
    <row r="4" spans="2:65" x14ac:dyDescent="0.25">
      <c r="B4" s="9"/>
      <c r="C4" s="19" t="s">
        <v>203</v>
      </c>
      <c r="D4" s="19"/>
      <c r="E4" s="20"/>
      <c r="F4" s="62" t="s">
        <v>232</v>
      </c>
      <c r="G4" s="62"/>
      <c r="H4" s="62"/>
      <c r="I4" s="65"/>
      <c r="J4" s="62" t="s">
        <v>233</v>
      </c>
      <c r="K4" s="62"/>
      <c r="L4" s="62"/>
      <c r="M4" s="65"/>
      <c r="N4" s="62" t="s">
        <v>234</v>
      </c>
      <c r="O4" s="62"/>
      <c r="P4" s="62"/>
      <c r="Q4" s="65"/>
      <c r="R4" s="62" t="s">
        <v>235</v>
      </c>
      <c r="S4" s="62"/>
      <c r="T4" s="62"/>
      <c r="U4" s="65"/>
      <c r="V4" s="62" t="s">
        <v>236</v>
      </c>
      <c r="W4" s="62"/>
      <c r="X4" s="62"/>
      <c r="Y4" s="65"/>
      <c r="Z4" s="62" t="s">
        <v>237</v>
      </c>
      <c r="AA4" s="62"/>
      <c r="AB4" s="62"/>
      <c r="AC4" s="65"/>
      <c r="AD4" s="62" t="s">
        <v>238</v>
      </c>
      <c r="AE4" s="62"/>
      <c r="AF4" s="62"/>
      <c r="AG4" s="65"/>
      <c r="AH4" s="62" t="s">
        <v>239</v>
      </c>
      <c r="AI4" s="62"/>
      <c r="AJ4" s="62"/>
      <c r="AK4" s="65"/>
      <c r="AL4" s="62" t="s">
        <v>240</v>
      </c>
      <c r="AM4" s="62"/>
      <c r="AN4" s="62"/>
      <c r="AO4" s="65"/>
      <c r="AP4" s="65"/>
      <c r="AQ4" s="62" t="s">
        <v>181</v>
      </c>
      <c r="AR4" s="62"/>
      <c r="AS4" s="62"/>
      <c r="AU4" s="62" t="s">
        <v>224</v>
      </c>
      <c r="AV4" s="62"/>
      <c r="AW4" s="62"/>
      <c r="AY4" s="62" t="s">
        <v>207</v>
      </c>
      <c r="AZ4" s="62"/>
      <c r="BA4" s="62"/>
      <c r="BC4" s="62" t="s">
        <v>208</v>
      </c>
      <c r="BD4" s="62"/>
      <c r="BE4" s="62"/>
      <c r="BG4" s="62" t="s">
        <v>209</v>
      </c>
      <c r="BH4" s="62"/>
      <c r="BI4" s="62"/>
      <c r="BK4" s="62" t="s">
        <v>210</v>
      </c>
      <c r="BL4" s="62"/>
      <c r="BM4" s="62"/>
    </row>
    <row r="5" spans="2:65" x14ac:dyDescent="0.25">
      <c r="B5" s="9"/>
      <c r="C5" s="19"/>
      <c r="D5" s="19"/>
      <c r="E5" s="20"/>
      <c r="F5" s="69">
        <f>'1. Basics'!D16+30</f>
        <v>46142</v>
      </c>
      <c r="G5" s="69"/>
      <c r="H5" s="69"/>
      <c r="I5" s="70"/>
      <c r="J5" s="69">
        <f>F5+30</f>
        <v>46172</v>
      </c>
      <c r="K5" s="69"/>
      <c r="L5" s="69"/>
      <c r="M5" s="70"/>
      <c r="N5" s="69">
        <f>J5+30</f>
        <v>46202</v>
      </c>
      <c r="O5" s="69"/>
      <c r="P5" s="69"/>
      <c r="Q5" s="70"/>
      <c r="R5" s="69">
        <f>N5+30</f>
        <v>46232</v>
      </c>
      <c r="S5" s="69"/>
      <c r="T5" s="69"/>
      <c r="U5" s="70"/>
      <c r="V5" s="69">
        <f t="shared" ref="V5" si="0">R5+30</f>
        <v>46262</v>
      </c>
      <c r="W5" s="69"/>
      <c r="X5" s="69"/>
      <c r="Y5" s="70"/>
      <c r="Z5" s="69">
        <f t="shared" ref="Z5" si="1">V5+30</f>
        <v>46292</v>
      </c>
      <c r="AA5" s="69"/>
      <c r="AB5" s="69"/>
      <c r="AC5" s="70"/>
      <c r="AD5" s="69">
        <f t="shared" ref="AD5" si="2">Z5+30</f>
        <v>46322</v>
      </c>
      <c r="AE5" s="69"/>
      <c r="AF5" s="69"/>
      <c r="AG5" s="70"/>
      <c r="AH5" s="69">
        <f t="shared" ref="AH5" si="3">AD5+30</f>
        <v>46352</v>
      </c>
      <c r="AI5" s="69"/>
      <c r="AJ5" s="69"/>
      <c r="AK5" s="70"/>
      <c r="AL5" s="69">
        <f t="shared" ref="AL5" si="4">AH5+30</f>
        <v>46382</v>
      </c>
      <c r="AM5" s="69"/>
      <c r="AN5" s="69"/>
      <c r="AO5" s="70"/>
      <c r="AP5" s="70"/>
      <c r="AQ5" s="71" t="s">
        <v>225</v>
      </c>
      <c r="AR5" s="71"/>
      <c r="AS5" s="71"/>
      <c r="AU5" s="71" t="s">
        <v>226</v>
      </c>
      <c r="AV5" s="71"/>
      <c r="AW5" s="71"/>
      <c r="AY5" s="71" t="s">
        <v>227</v>
      </c>
      <c r="AZ5" s="71"/>
      <c r="BA5" s="71"/>
      <c r="BC5" s="71" t="s">
        <v>228</v>
      </c>
      <c r="BD5" s="71"/>
      <c r="BE5" s="71"/>
      <c r="BG5" s="71" t="s">
        <v>229</v>
      </c>
      <c r="BH5" s="71"/>
      <c r="BI5" s="71"/>
      <c r="BK5" s="71" t="s">
        <v>230</v>
      </c>
      <c r="BL5" s="71"/>
      <c r="BM5" s="71"/>
    </row>
    <row r="6" spans="2:65" s="23" customFormat="1" x14ac:dyDescent="0.25">
      <c r="B6" s="21"/>
      <c r="C6" s="76" t="s">
        <v>241</v>
      </c>
      <c r="D6" s="76"/>
      <c r="E6" s="21"/>
      <c r="F6" s="73" t="s">
        <v>212</v>
      </c>
      <c r="G6" s="74" t="s">
        <v>213</v>
      </c>
      <c r="H6" s="74" t="s">
        <v>214</v>
      </c>
      <c r="I6" s="75"/>
      <c r="J6" s="73" t="s">
        <v>212</v>
      </c>
      <c r="K6" s="74" t="s">
        <v>213</v>
      </c>
      <c r="L6" s="74" t="s">
        <v>214</v>
      </c>
      <c r="M6" s="75"/>
      <c r="N6" s="73" t="s">
        <v>212</v>
      </c>
      <c r="O6" s="74" t="s">
        <v>213</v>
      </c>
      <c r="P6" s="74" t="s">
        <v>214</v>
      </c>
      <c r="Q6" s="75"/>
      <c r="R6" s="73" t="s">
        <v>212</v>
      </c>
      <c r="S6" s="74" t="s">
        <v>213</v>
      </c>
      <c r="T6" s="74" t="s">
        <v>214</v>
      </c>
      <c r="U6" s="75"/>
      <c r="V6" s="73" t="s">
        <v>212</v>
      </c>
      <c r="W6" s="74" t="s">
        <v>213</v>
      </c>
      <c r="X6" s="74" t="s">
        <v>214</v>
      </c>
      <c r="Y6" s="75"/>
      <c r="Z6" s="73" t="s">
        <v>212</v>
      </c>
      <c r="AA6" s="74" t="s">
        <v>213</v>
      </c>
      <c r="AB6" s="74" t="s">
        <v>214</v>
      </c>
      <c r="AC6" s="75"/>
      <c r="AD6" s="73" t="s">
        <v>212</v>
      </c>
      <c r="AE6" s="74" t="s">
        <v>213</v>
      </c>
      <c r="AF6" s="74" t="s">
        <v>214</v>
      </c>
      <c r="AG6" s="75"/>
      <c r="AH6" s="73" t="s">
        <v>212</v>
      </c>
      <c r="AI6" s="74" t="s">
        <v>213</v>
      </c>
      <c r="AJ6" s="74" t="s">
        <v>214</v>
      </c>
      <c r="AK6" s="75"/>
      <c r="AL6" s="73" t="s">
        <v>212</v>
      </c>
      <c r="AM6" s="74" t="s">
        <v>213</v>
      </c>
      <c r="AN6" s="74" t="s">
        <v>214</v>
      </c>
      <c r="AO6" s="75"/>
      <c r="AP6" s="75"/>
      <c r="AQ6" s="73" t="s">
        <v>212</v>
      </c>
      <c r="AR6" s="74" t="s">
        <v>213</v>
      </c>
      <c r="AS6" s="74" t="s">
        <v>214</v>
      </c>
      <c r="AU6" s="73" t="s">
        <v>212</v>
      </c>
      <c r="AV6" s="74" t="s">
        <v>213</v>
      </c>
      <c r="AW6" s="74" t="s">
        <v>214</v>
      </c>
      <c r="AY6" s="73" t="s">
        <v>212</v>
      </c>
      <c r="AZ6" s="74" t="s">
        <v>213</v>
      </c>
      <c r="BA6" s="74" t="s">
        <v>214</v>
      </c>
      <c r="BC6" s="73" t="s">
        <v>212</v>
      </c>
      <c r="BD6" s="74" t="s">
        <v>213</v>
      </c>
      <c r="BE6" s="74" t="s">
        <v>214</v>
      </c>
      <c r="BG6" s="73" t="s">
        <v>212</v>
      </c>
      <c r="BH6" s="74" t="s">
        <v>213</v>
      </c>
      <c r="BI6" s="74" t="s">
        <v>214</v>
      </c>
      <c r="BK6" s="73" t="s">
        <v>212</v>
      </c>
      <c r="BL6" s="74" t="s">
        <v>213</v>
      </c>
      <c r="BM6" s="74" t="s">
        <v>214</v>
      </c>
    </row>
    <row r="7" ht="9.75" customHeight="1" spans="2:65" s="23" customFormat="1" x14ac:dyDescent="0.25">
      <c r="B7" s="21"/>
      <c r="C7" s="76"/>
      <c r="D7" s="76"/>
      <c r="E7" s="21"/>
      <c r="F7" s="76"/>
      <c r="G7" s="75"/>
      <c r="H7" s="75"/>
      <c r="I7" s="75"/>
      <c r="J7" s="76"/>
      <c r="K7" s="75"/>
      <c r="L7" s="75"/>
      <c r="M7" s="75"/>
      <c r="N7" s="76"/>
      <c r="O7" s="75"/>
      <c r="P7" s="75"/>
      <c r="Q7" s="75"/>
      <c r="R7" s="76"/>
      <c r="S7" s="75"/>
      <c r="T7" s="75"/>
      <c r="U7" s="75"/>
      <c r="V7" s="76"/>
      <c r="W7" s="75"/>
      <c r="X7" s="75"/>
      <c r="Y7" s="75"/>
      <c r="Z7" s="76"/>
      <c r="AA7" s="75"/>
      <c r="AB7" s="75"/>
      <c r="AC7" s="75"/>
      <c r="AD7" s="76"/>
      <c r="AE7" s="75"/>
      <c r="AF7" s="75"/>
      <c r="AG7" s="75"/>
      <c r="AH7" s="76"/>
      <c r="AI7" s="75"/>
      <c r="AJ7" s="75"/>
      <c r="AK7" s="75"/>
      <c r="AL7" s="76"/>
      <c r="AM7" s="75"/>
      <c r="AN7" s="75"/>
      <c r="AO7" s="75"/>
      <c r="AP7" s="75"/>
      <c r="AQ7" s="76"/>
      <c r="AR7" s="75"/>
      <c r="AS7" s="75"/>
      <c r="AU7" s="76"/>
      <c r="AV7" s="75"/>
      <c r="AW7" s="75"/>
      <c r="AY7" s="76"/>
      <c r="AZ7" s="75"/>
      <c r="BA7" s="75"/>
      <c r="BC7" s="76"/>
      <c r="BD7" s="75"/>
      <c r="BE7" s="75"/>
      <c r="BG7" s="76"/>
      <c r="BH7" s="75"/>
      <c r="BI7" s="75"/>
      <c r="BK7" s="76"/>
      <c r="BL7" s="75"/>
      <c r="BM7" s="75"/>
    </row>
    <row r="8" ht="18.75" customHeight="1" spans="2:65" s="28" customFormat="1" x14ac:dyDescent="0.25">
      <c r="B8" s="17"/>
      <c r="C8" s="17" t="s">
        <v>41</v>
      </c>
      <c r="D8" s="17" t="s">
        <v>109</v>
      </c>
      <c r="E8" s="17"/>
      <c r="F8" s="17"/>
      <c r="G8" s="77" t="s">
        <v>217</v>
      </c>
      <c r="H8" s="77"/>
      <c r="I8" s="77"/>
      <c r="J8" s="78">
        <v>1</v>
      </c>
      <c r="K8" s="78">
        <v>1</v>
      </c>
      <c r="L8" s="77"/>
      <c r="M8" s="77"/>
      <c r="N8" s="78">
        <v>1</v>
      </c>
      <c r="O8" s="78">
        <v>1</v>
      </c>
      <c r="P8" s="77"/>
      <c r="Q8" s="77"/>
      <c r="R8" s="78">
        <v>1</v>
      </c>
      <c r="S8" s="78">
        <v>1</v>
      </c>
      <c r="T8" s="77"/>
      <c r="U8" s="77"/>
      <c r="V8" s="78">
        <v>1</v>
      </c>
      <c r="W8" s="78">
        <v>1</v>
      </c>
      <c r="X8" s="77"/>
      <c r="Y8" s="77"/>
      <c r="Z8" s="78">
        <v>1</v>
      </c>
      <c r="AA8" s="78">
        <v>1</v>
      </c>
      <c r="AB8" s="77"/>
      <c r="AC8" s="77"/>
      <c r="AD8" s="78">
        <v>1</v>
      </c>
      <c r="AE8" s="78">
        <v>1</v>
      </c>
      <c r="AF8" s="77"/>
      <c r="AG8" s="77"/>
      <c r="AH8" s="78">
        <v>1</v>
      </c>
      <c r="AI8" s="78">
        <v>1</v>
      </c>
      <c r="AJ8" s="77"/>
      <c r="AK8" s="77"/>
      <c r="AL8" s="78">
        <v>1</v>
      </c>
      <c r="AM8" s="78">
        <v>1</v>
      </c>
      <c r="AN8" s="77"/>
      <c r="AO8" s="77"/>
      <c r="AP8" s="77"/>
      <c r="AQ8" s="77"/>
      <c r="AR8" s="77">
        <v>9</v>
      </c>
      <c r="AS8" s="77"/>
      <c r="AU8" s="78">
        <v>1.25</v>
      </c>
      <c r="AV8" s="78">
        <v>1.2</v>
      </c>
      <c r="AW8" s="78">
        <v>1.5</v>
      </c>
      <c r="AY8" s="78">
        <v>1.2</v>
      </c>
      <c r="AZ8" s="78">
        <v>1.2</v>
      </c>
      <c r="BA8" s="78">
        <v>1.2</v>
      </c>
      <c r="BC8" s="78">
        <v>1.2</v>
      </c>
      <c r="BD8" s="78">
        <v>1.25</v>
      </c>
      <c r="BE8" s="78">
        <v>1.2</v>
      </c>
      <c r="BG8" s="78">
        <v>1.25</v>
      </c>
      <c r="BH8" s="78">
        <v>1.25</v>
      </c>
      <c r="BI8" s="78">
        <v>1.2</v>
      </c>
      <c r="BK8" s="78">
        <v>1.15</v>
      </c>
      <c r="BL8" s="78">
        <v>1.2</v>
      </c>
      <c r="BM8" s="78">
        <v>1.2</v>
      </c>
    </row>
    <row r="9" ht="56.25" customHeight="1" spans="2:65" x14ac:dyDescent="0.25">
      <c r="B9" s="5">
        <v>1</v>
      </c>
      <c r="C9" s="43" t="str">
        <f>A.IIOPEX!D9</f>
        <v>Technology &amp; Product Development</v>
      </c>
      <c r="D9" s="27"/>
      <c r="E9" s="28"/>
      <c r="F9" s="51"/>
      <c r="G9" s="51"/>
      <c r="H9" s="51"/>
      <c r="I9" s="54"/>
      <c r="J9" s="51"/>
      <c r="K9" s="51"/>
      <c r="L9" s="51"/>
      <c r="M9" s="54"/>
      <c r="N9" s="51"/>
      <c r="O9" s="51"/>
      <c r="P9" s="51"/>
      <c r="Q9" s="54"/>
      <c r="R9" s="51"/>
      <c r="S9" s="51"/>
      <c r="T9" s="51"/>
      <c r="U9" s="54"/>
      <c r="V9" s="51"/>
      <c r="W9" s="51"/>
      <c r="X9" s="51"/>
      <c r="Y9" s="54"/>
      <c r="Z9" s="51"/>
      <c r="AA9" s="51"/>
      <c r="AB9" s="51"/>
      <c r="AC9" s="54"/>
      <c r="AD9" s="51"/>
      <c r="AE9" s="51"/>
      <c r="AF9" s="51"/>
      <c r="AG9" s="54"/>
      <c r="AH9" s="51"/>
      <c r="AI9" s="51"/>
      <c r="AJ9" s="51"/>
      <c r="AK9" s="54"/>
      <c r="AL9" s="51"/>
      <c r="AM9" s="51"/>
      <c r="AN9" s="51"/>
      <c r="AO9" s="54"/>
      <c r="AP9" s="54"/>
      <c r="AQ9" s="54"/>
      <c r="AR9" s="54"/>
      <c r="AS9" s="54"/>
      <c r="AU9" s="51"/>
      <c r="AV9" s="51"/>
      <c r="AW9" s="51"/>
      <c r="AY9" s="51"/>
      <c r="AZ9" s="51"/>
      <c r="BA9" s="51"/>
      <c r="BC9" s="51"/>
      <c r="BD9" s="51"/>
      <c r="BE9" s="51"/>
      <c r="BG9" s="51"/>
      <c r="BH9" s="51"/>
      <c r="BI9" s="51"/>
      <c r="BK9" s="51"/>
      <c r="BL9" s="51"/>
      <c r="BM9" s="51"/>
    </row>
    <row r="10" ht="21" customHeight="1" spans="2:66" x14ac:dyDescent="0.25">
      <c r="B10" s="5" t="str">
        <f>A.IIOPEX!C10</f>
        <v>1a</v>
      </c>
      <c r="C10" s="29"/>
      <c r="D10" s="29" t="str">
        <f>A.IIOPEX!E10</f>
        <v>App Development</v>
      </c>
      <c r="E10" s="30"/>
      <c r="F10" s="51">
        <v>1</v>
      </c>
      <c r="G10" s="51">
        <v>350000</v>
      </c>
      <c r="H10" s="51">
        <f t="shared" ref="H10:H22" si="5">F10*G10</f>
        <v>350000</v>
      </c>
      <c r="I10" s="54"/>
      <c r="J10" s="51">
        <f t="shared" ref="J10:J22" si="6">F10*$J$8</f>
        <v>1</v>
      </c>
      <c r="K10" s="51">
        <f t="shared" ref="K10:K22" si="7">G10*$K$8</f>
        <v>350000</v>
      </c>
      <c r="L10" s="51">
        <f t="shared" ref="L10:L22" si="8">J10*K10</f>
        <v>350000</v>
      </c>
      <c r="M10" s="54"/>
      <c r="N10" s="51">
        <f t="shared" ref="N10:N22" si="9">J10*$N$8</f>
        <v>1</v>
      </c>
      <c r="O10" s="51">
        <f t="shared" ref="O10:O22" si="10">K10*$O$8</f>
        <v>350000</v>
      </c>
      <c r="P10" s="51">
        <f t="shared" ref="P10:P22" si="11">N10*O10</f>
        <v>350000</v>
      </c>
      <c r="Q10" s="54"/>
      <c r="R10" s="51">
        <f t="shared" ref="R10:R22" si="12">N10*$R$8</f>
        <v>1</v>
      </c>
      <c r="S10" s="51">
        <f t="shared" ref="S10:S22" si="13">O10*$S$8</f>
        <v>350000</v>
      </c>
      <c r="T10" s="51">
        <f t="shared" ref="T10:T22" si="14">R10*S10</f>
        <v>350000</v>
      </c>
      <c r="U10" s="54"/>
      <c r="V10" s="51">
        <f t="shared" ref="V10:V22" si="15">R10*$V$8</f>
        <v>1</v>
      </c>
      <c r="W10" s="51">
        <f t="shared" ref="W10:W22" si="16">S10*$W$8</f>
        <v>350000</v>
      </c>
      <c r="X10" s="51">
        <f t="shared" ref="X10:X22" si="17">V10*W10</f>
        <v>350000</v>
      </c>
      <c r="Y10" s="54"/>
      <c r="Z10" s="51">
        <f t="shared" ref="Z10:Z22" si="18">V10*$Z$8</f>
        <v>1</v>
      </c>
      <c r="AA10" s="51">
        <f t="shared" ref="AA10:AA22" si="19">W10*$AA$8</f>
        <v>350000</v>
      </c>
      <c r="AB10" s="51">
        <f t="shared" ref="AB10:AB22" si="20">Z10*AA10</f>
        <v>350000</v>
      </c>
      <c r="AC10" s="54"/>
      <c r="AD10" s="51">
        <f t="shared" ref="AD10:AD21" si="21">Z10*$AD$8</f>
        <v>1</v>
      </c>
      <c r="AE10" s="51">
        <f t="shared" ref="AE10:AE21" si="22">AA10*$AE$8</f>
        <v>350000</v>
      </c>
      <c r="AF10" s="51">
        <f t="shared" ref="AF10:AF22" si="23">AD10*AE10</f>
        <v>350000</v>
      </c>
      <c r="AG10" s="54"/>
      <c r="AH10" s="51">
        <f t="shared" ref="AH10:AH22" si="24">AD10*$AH$8</f>
        <v>1</v>
      </c>
      <c r="AI10" s="51">
        <f t="shared" ref="AI10:AI22" si="25">AE10*$AI$8</f>
        <v>350000</v>
      </c>
      <c r="AJ10" s="51">
        <f t="shared" ref="AJ10:AJ22" si="26">AH10*AI10</f>
        <v>350000</v>
      </c>
      <c r="AK10" s="54"/>
      <c r="AL10" s="51">
        <f t="shared" ref="AL10:AL22" si="27">AH10*$AL$8</f>
        <v>1</v>
      </c>
      <c r="AM10" s="51">
        <f t="shared" ref="AM10:AM22" si="28">AI10*$AM$8</f>
        <v>350000</v>
      </c>
      <c r="AN10" s="51">
        <f t="shared" ref="AN10:AN22" si="29">AL10*AM10</f>
        <v>350000</v>
      </c>
      <c r="AO10" s="54"/>
      <c r="AP10" s="54"/>
      <c r="AQ10" s="85">
        <f t="shared" ref="AQ10:AQ22" si="30">SUMIF($F$6:$AN$6,AQ$6,F10:AN10)</f>
        <v>9</v>
      </c>
      <c r="AR10" s="85">
        <f t="shared" ref="AR10:AR21" si="31">SUMIF($F$6:$AN$6,AR$6,F10:AN10)/$AR$8</f>
        <v>350000</v>
      </c>
      <c r="AS10" s="80">
        <f>AQ10*AR10</f>
        <v>3150000</v>
      </c>
      <c r="AT10" t="b">
        <f t="shared" ref="AT10:AT22" si="32">(AQ10*AR10)=AS10</f>
        <v>1</v>
      </c>
      <c r="AU10" s="51">
        <f t="shared" ref="AU10:AU22" si="33">(AQ10/$AR$8*12)*$AU$8</f>
        <v>15</v>
      </c>
      <c r="AV10" s="51">
        <f t="shared" ref="AV10:AV22" si="34">AR10*$AV$8</f>
        <v>420000</v>
      </c>
      <c r="AW10" s="51">
        <f t="shared" ref="AW10:AW22" si="35">AU10*AV10</f>
        <v>6300000</v>
      </c>
      <c r="AX10" t="b">
        <f t="shared" ref="AX10:AX22" si="36">(AU10*AV10)=AW10</f>
        <v>1</v>
      </c>
      <c r="AY10" s="51">
        <f t="shared" ref="AY10:AY22" si="37">AU10*$AY$8</f>
        <v>18</v>
      </c>
      <c r="AZ10" s="51">
        <f t="shared" ref="AZ10:AZ22" si="38">AV10*$AZ$8</f>
        <v>504000</v>
      </c>
      <c r="BA10" s="51">
        <f t="shared" ref="BA10:BA22" si="39">AY10*AZ10</f>
        <v>9072000</v>
      </c>
      <c r="BB10" t="b">
        <f t="shared" ref="BB10:BB22" si="40">(AY10*AZ10)=BA10</f>
        <v>1</v>
      </c>
      <c r="BC10" s="51">
        <f t="shared" ref="BC10:BC22" si="41">AY10*$BC$8</f>
        <v>21.599999999999998</v>
      </c>
      <c r="BD10" s="51">
        <f t="shared" ref="BD10:BD22" si="42">AZ10*$BD$8</f>
        <v>630000</v>
      </c>
      <c r="BE10" s="51">
        <f t="shared" ref="BE10:BE22" si="43">BC10*BD10</f>
        <v>13607999.999999998</v>
      </c>
      <c r="BF10" t="b">
        <f t="shared" ref="BF10:BF22" si="44">(BC10*BD10)=BE10</f>
        <v>1</v>
      </c>
      <c r="BG10" s="51">
        <f t="shared" ref="BG10:BG22" si="45">BC10*$BG$8</f>
        <v>26.999999999999996</v>
      </c>
      <c r="BH10" s="51">
        <f t="shared" ref="BH10:BH22" si="46">BD10*$BH$8</f>
        <v>787500</v>
      </c>
      <c r="BI10" s="51">
        <f>BG10*BH10</f>
        <v>21262499.999999996</v>
      </c>
      <c r="BJ10" t="b">
        <f t="shared" ref="BJ10:BJ22" si="47">(BG10*BH10)=BI10</f>
        <v>1</v>
      </c>
      <c r="BK10" s="51">
        <f t="shared" ref="BK10:BK22" si="48">BG10*$BK$8</f>
        <v>31.049999999999994</v>
      </c>
      <c r="BL10" s="51">
        <f t="shared" ref="BL10:BL22" si="49">BH10*$BL$8</f>
        <v>945000</v>
      </c>
      <c r="BM10" s="51">
        <f t="shared" ref="BM10:BM22" si="50">BK10*BL10</f>
        <v>29342249.999999993</v>
      </c>
      <c r="BN10" t="b">
        <f t="shared" ref="BN10:BN22" si="51">(BK10*BL10)=BM10</f>
        <v>1</v>
      </c>
    </row>
    <row r="11" ht="18.75" customHeight="1" spans="2:66" x14ac:dyDescent="0.25">
      <c r="B11" s="5" t="str">
        <f>A.IIOPEX!C11</f>
        <v>1b</v>
      </c>
      <c r="C11" s="29"/>
      <c r="D11" s="29" t="str">
        <f>A.IIOPEX!E11</f>
        <v>App maintenance</v>
      </c>
      <c r="E11" s="30"/>
      <c r="F11" s="51">
        <v>1</v>
      </c>
      <c r="G11" s="51">
        <v>500000</v>
      </c>
      <c r="H11" s="51">
        <f t="shared" si="5"/>
        <v>500000</v>
      </c>
      <c r="I11" s="54"/>
      <c r="J11" s="51">
        <f t="shared" si="6"/>
        <v>1</v>
      </c>
      <c r="K11" s="51">
        <f t="shared" si="7"/>
        <v>500000</v>
      </c>
      <c r="L11" s="51">
        <f t="shared" si="8"/>
        <v>500000</v>
      </c>
      <c r="M11" s="54"/>
      <c r="N11" s="51">
        <f t="shared" si="9"/>
        <v>1</v>
      </c>
      <c r="O11" s="51">
        <f t="shared" si="10"/>
        <v>500000</v>
      </c>
      <c r="P11" s="51">
        <f t="shared" si="11"/>
        <v>500000</v>
      </c>
      <c r="Q11" s="54"/>
      <c r="R11" s="51">
        <f t="shared" si="12"/>
        <v>1</v>
      </c>
      <c r="S11" s="51">
        <f t="shared" si="13"/>
        <v>500000</v>
      </c>
      <c r="T11" s="51">
        <f t="shared" si="14"/>
        <v>500000</v>
      </c>
      <c r="U11" s="54"/>
      <c r="V11" s="51">
        <f t="shared" si="15"/>
        <v>1</v>
      </c>
      <c r="W11" s="51">
        <f t="shared" si="16"/>
        <v>500000</v>
      </c>
      <c r="X11" s="51">
        <f t="shared" si="17"/>
        <v>500000</v>
      </c>
      <c r="Y11" s="54"/>
      <c r="Z11" s="51">
        <f t="shared" si="18"/>
        <v>1</v>
      </c>
      <c r="AA11" s="51">
        <f t="shared" si="19"/>
        <v>500000</v>
      </c>
      <c r="AB11" s="51">
        <f t="shared" si="20"/>
        <v>500000</v>
      </c>
      <c r="AC11" s="54"/>
      <c r="AD11" s="51">
        <f t="shared" si="21"/>
        <v>1</v>
      </c>
      <c r="AE11" s="51">
        <f t="shared" si="22"/>
        <v>500000</v>
      </c>
      <c r="AF11" s="51">
        <f t="shared" si="23"/>
        <v>500000</v>
      </c>
      <c r="AG11" s="54"/>
      <c r="AH11" s="51">
        <f t="shared" si="24"/>
        <v>1</v>
      </c>
      <c r="AI11" s="51">
        <f t="shared" si="25"/>
        <v>500000</v>
      </c>
      <c r="AJ11" s="51">
        <f t="shared" si="26"/>
        <v>500000</v>
      </c>
      <c r="AK11" s="54"/>
      <c r="AL11" s="51">
        <f t="shared" si="27"/>
        <v>1</v>
      </c>
      <c r="AM11" s="51">
        <f t="shared" si="28"/>
        <v>500000</v>
      </c>
      <c r="AN11" s="51">
        <f t="shared" si="29"/>
        <v>500000</v>
      </c>
      <c r="AO11" s="54"/>
      <c r="AP11" s="54"/>
      <c r="AQ11" s="85">
        <f t="shared" si="30"/>
        <v>9</v>
      </c>
      <c r="AR11" s="85">
        <f t="shared" si="31"/>
        <v>500000</v>
      </c>
      <c r="AS11" s="80">
        <f t="shared" ref="AS11:AS22" si="52">H11+L11+P11+T11+X11+AB11+AF11+AJ11+AN11</f>
        <v>4500000</v>
      </c>
      <c r="AT11" t="b">
        <f t="shared" si="32"/>
        <v>1</v>
      </c>
      <c r="AU11" s="51">
        <f t="shared" si="33"/>
        <v>15</v>
      </c>
      <c r="AV11" s="51">
        <f t="shared" si="34"/>
        <v>600000</v>
      </c>
      <c r="AW11" s="51">
        <f t="shared" si="35"/>
        <v>9000000</v>
      </c>
      <c r="AX11" t="b">
        <f t="shared" si="36"/>
        <v>1</v>
      </c>
      <c r="AY11" s="51">
        <f t="shared" si="37"/>
        <v>18</v>
      </c>
      <c r="AZ11" s="51">
        <f t="shared" si="38"/>
        <v>720000</v>
      </c>
      <c r="BA11" s="51">
        <f t="shared" si="39"/>
        <v>12960000</v>
      </c>
      <c r="BB11" t="b">
        <f t="shared" si="40"/>
        <v>1</v>
      </c>
      <c r="BC11" s="51">
        <f t="shared" si="41"/>
        <v>21.599999999999998</v>
      </c>
      <c r="BD11" s="51">
        <f t="shared" si="42"/>
        <v>900000</v>
      </c>
      <c r="BE11" s="51">
        <f t="shared" si="43"/>
        <v>19439999.999999996</v>
      </c>
      <c r="BF11" t="b">
        <f t="shared" si="44"/>
        <v>1</v>
      </c>
      <c r="BG11" s="51">
        <f t="shared" si="45"/>
        <v>26.999999999999996</v>
      </c>
      <c r="BH11" s="51">
        <f t="shared" si="46"/>
        <v>1125000</v>
      </c>
      <c r="BI11" s="51">
        <f t="shared" ref="BI11:BI22" si="53">BG11*BH11</f>
        <v>30374999.999999996</v>
      </c>
      <c r="BJ11" t="b">
        <f t="shared" si="47"/>
        <v>1</v>
      </c>
      <c r="BK11" s="51">
        <f t="shared" si="48"/>
        <v>31.049999999999994</v>
      </c>
      <c r="BL11" s="51">
        <f t="shared" si="49"/>
        <v>1350000</v>
      </c>
      <c r="BM11" s="51">
        <f t="shared" si="50"/>
        <v>41917499.99999999</v>
      </c>
      <c r="BN11" t="b">
        <f t="shared" si="51"/>
        <v>1</v>
      </c>
    </row>
    <row r="12" ht="18.75" customHeight="1" spans="2:66" x14ac:dyDescent="0.25">
      <c r="B12" s="5" t="str">
        <f>A.IIOPEX!C12</f>
        <v>1c</v>
      </c>
      <c r="C12" s="29"/>
      <c r="D12" s="29">
        <f>A.IIOPEX!E12</f>
        <v>0</v>
      </c>
      <c r="E12" s="30"/>
      <c r="F12" s="51">
        <v>1</v>
      </c>
      <c r="G12" s="51">
        <v>700000</v>
      </c>
      <c r="H12" s="51">
        <f t="shared" si="5"/>
        <v>700000</v>
      </c>
      <c r="I12" s="54"/>
      <c r="J12" s="51">
        <f t="shared" si="6"/>
        <v>1</v>
      </c>
      <c r="K12" s="51">
        <f t="shared" si="7"/>
        <v>700000</v>
      </c>
      <c r="L12" s="51">
        <f t="shared" si="8"/>
        <v>700000</v>
      </c>
      <c r="M12" s="54"/>
      <c r="N12" s="51">
        <f t="shared" si="9"/>
        <v>1</v>
      </c>
      <c r="O12" s="51">
        <f t="shared" si="10"/>
        <v>700000</v>
      </c>
      <c r="P12" s="51">
        <f t="shared" si="11"/>
        <v>700000</v>
      </c>
      <c r="Q12" s="54"/>
      <c r="R12" s="51">
        <f t="shared" si="12"/>
        <v>1</v>
      </c>
      <c r="S12" s="51">
        <f t="shared" si="13"/>
        <v>700000</v>
      </c>
      <c r="T12" s="51">
        <f t="shared" si="14"/>
        <v>700000</v>
      </c>
      <c r="U12" s="54"/>
      <c r="V12" s="51">
        <f t="shared" si="15"/>
        <v>1</v>
      </c>
      <c r="W12" s="51">
        <f t="shared" si="16"/>
        <v>700000</v>
      </c>
      <c r="X12" s="51">
        <f t="shared" si="17"/>
        <v>700000</v>
      </c>
      <c r="Y12" s="54"/>
      <c r="Z12" s="51">
        <f t="shared" si="18"/>
        <v>1</v>
      </c>
      <c r="AA12" s="51">
        <f t="shared" si="19"/>
        <v>700000</v>
      </c>
      <c r="AB12" s="51">
        <f t="shared" si="20"/>
        <v>700000</v>
      </c>
      <c r="AC12" s="54"/>
      <c r="AD12" s="51">
        <f t="shared" si="21"/>
        <v>1</v>
      </c>
      <c r="AE12" s="51">
        <f t="shared" si="22"/>
        <v>700000</v>
      </c>
      <c r="AF12" s="51">
        <f t="shared" si="23"/>
        <v>700000</v>
      </c>
      <c r="AG12" s="54"/>
      <c r="AH12" s="51">
        <f t="shared" si="24"/>
        <v>1</v>
      </c>
      <c r="AI12" s="51">
        <f t="shared" si="25"/>
        <v>700000</v>
      </c>
      <c r="AJ12" s="51">
        <f t="shared" si="26"/>
        <v>700000</v>
      </c>
      <c r="AK12" s="54"/>
      <c r="AL12" s="51">
        <f t="shared" si="27"/>
        <v>1</v>
      </c>
      <c r="AM12" s="51">
        <f t="shared" si="28"/>
        <v>700000</v>
      </c>
      <c r="AN12" s="51">
        <f t="shared" si="29"/>
        <v>700000</v>
      </c>
      <c r="AO12" s="54"/>
      <c r="AP12" s="54"/>
      <c r="AQ12" s="85">
        <f t="shared" si="30"/>
        <v>9</v>
      </c>
      <c r="AR12" s="85">
        <f t="shared" si="31"/>
        <v>700000</v>
      </c>
      <c r="AS12" s="80">
        <f t="shared" si="52"/>
        <v>6300000</v>
      </c>
      <c r="AT12" t="b">
        <f t="shared" si="32"/>
        <v>1</v>
      </c>
      <c r="AU12" s="51">
        <f t="shared" si="33"/>
        <v>15</v>
      </c>
      <c r="AV12" s="51">
        <f t="shared" si="34"/>
        <v>840000</v>
      </c>
      <c r="AW12" s="51">
        <f t="shared" si="35"/>
        <v>12600000</v>
      </c>
      <c r="AX12" t="b">
        <f t="shared" si="36"/>
        <v>1</v>
      </c>
      <c r="AY12" s="51">
        <f t="shared" si="37"/>
        <v>18</v>
      </c>
      <c r="AZ12" s="51">
        <f t="shared" si="38"/>
        <v>1008000</v>
      </c>
      <c r="BA12" s="51">
        <f t="shared" si="39"/>
        <v>18144000</v>
      </c>
      <c r="BB12" t="b">
        <f t="shared" si="40"/>
        <v>1</v>
      </c>
      <c r="BC12" s="51">
        <f t="shared" si="41"/>
        <v>21.599999999999998</v>
      </c>
      <c r="BD12" s="51">
        <f t="shared" si="42"/>
        <v>1260000</v>
      </c>
      <c r="BE12" s="51">
        <f t="shared" si="43"/>
        <v>27215999.999999996</v>
      </c>
      <c r="BF12" t="b">
        <f t="shared" si="44"/>
        <v>1</v>
      </c>
      <c r="BG12" s="51">
        <f t="shared" si="45"/>
        <v>26.999999999999996</v>
      </c>
      <c r="BH12" s="51">
        <f t="shared" si="46"/>
        <v>1575000</v>
      </c>
      <c r="BI12" s="51">
        <f t="shared" si="53"/>
        <v>42524999.99999999</v>
      </c>
      <c r="BJ12" t="b">
        <f t="shared" si="47"/>
        <v>1</v>
      </c>
      <c r="BK12" s="51">
        <f t="shared" si="48"/>
        <v>31.049999999999994</v>
      </c>
      <c r="BL12" s="51">
        <f t="shared" si="49"/>
        <v>1890000</v>
      </c>
      <c r="BM12" s="51">
        <f t="shared" si="50"/>
        <v>58684499.999999985</v>
      </c>
      <c r="BN12" t="b">
        <f t="shared" si="51"/>
        <v>1</v>
      </c>
    </row>
    <row r="13" ht="18.75" customHeight="1" spans="2:66" x14ac:dyDescent="0.25">
      <c r="B13" s="5" t="str">
        <f>A.IIOPEX!C13</f>
        <v>1d</v>
      </c>
      <c r="C13" s="29"/>
      <c r="D13" s="29">
        <f>A.IIOPEX!E13</f>
        <v>0</v>
      </c>
      <c r="E13" s="30"/>
      <c r="F13" s="51">
        <v>4</v>
      </c>
      <c r="G13" s="51">
        <v>50000</v>
      </c>
      <c r="H13" s="51">
        <f t="shared" si="5"/>
        <v>200000</v>
      </c>
      <c r="I13" s="54"/>
      <c r="J13" s="51">
        <f t="shared" si="6"/>
        <v>4</v>
      </c>
      <c r="K13" s="51">
        <f t="shared" si="7"/>
        <v>50000</v>
      </c>
      <c r="L13" s="51">
        <f t="shared" si="8"/>
        <v>200000</v>
      </c>
      <c r="M13" s="54"/>
      <c r="N13" s="51">
        <f t="shared" si="9"/>
        <v>4</v>
      </c>
      <c r="O13" s="51">
        <f t="shared" si="10"/>
        <v>50000</v>
      </c>
      <c r="P13" s="51">
        <f t="shared" si="11"/>
        <v>200000</v>
      </c>
      <c r="Q13" s="54"/>
      <c r="R13" s="51">
        <f t="shared" si="12"/>
        <v>4</v>
      </c>
      <c r="S13" s="51">
        <f t="shared" si="13"/>
        <v>50000</v>
      </c>
      <c r="T13" s="51">
        <f t="shared" si="14"/>
        <v>200000</v>
      </c>
      <c r="U13" s="54"/>
      <c r="V13" s="51">
        <f t="shared" si="15"/>
        <v>4</v>
      </c>
      <c r="W13" s="51">
        <f t="shared" si="16"/>
        <v>50000</v>
      </c>
      <c r="X13" s="51">
        <f t="shared" si="17"/>
        <v>200000</v>
      </c>
      <c r="Y13" s="54"/>
      <c r="Z13" s="51">
        <f t="shared" si="18"/>
        <v>4</v>
      </c>
      <c r="AA13" s="51">
        <f t="shared" si="19"/>
        <v>50000</v>
      </c>
      <c r="AB13" s="51">
        <f t="shared" si="20"/>
        <v>200000</v>
      </c>
      <c r="AC13" s="54"/>
      <c r="AD13" s="51">
        <f t="shared" si="21"/>
        <v>4</v>
      </c>
      <c r="AE13" s="51">
        <f t="shared" si="22"/>
        <v>50000</v>
      </c>
      <c r="AF13" s="51">
        <f t="shared" si="23"/>
        <v>200000</v>
      </c>
      <c r="AG13" s="54"/>
      <c r="AH13" s="51">
        <f t="shared" si="24"/>
        <v>4</v>
      </c>
      <c r="AI13" s="51">
        <f t="shared" si="25"/>
        <v>50000</v>
      </c>
      <c r="AJ13" s="51">
        <f t="shared" si="26"/>
        <v>200000</v>
      </c>
      <c r="AK13" s="54"/>
      <c r="AL13" s="51">
        <f t="shared" si="27"/>
        <v>4</v>
      </c>
      <c r="AM13" s="51">
        <f t="shared" si="28"/>
        <v>50000</v>
      </c>
      <c r="AN13" s="51">
        <f t="shared" si="29"/>
        <v>200000</v>
      </c>
      <c r="AO13" s="54"/>
      <c r="AP13" s="54"/>
      <c r="AQ13" s="85">
        <f t="shared" si="30"/>
        <v>36</v>
      </c>
      <c r="AR13" s="85">
        <f t="shared" si="31"/>
        <v>50000</v>
      </c>
      <c r="AS13" s="80">
        <f t="shared" si="52"/>
        <v>1800000</v>
      </c>
      <c r="AT13" t="b">
        <f t="shared" si="32"/>
        <v>1</v>
      </c>
      <c r="AU13" s="51">
        <f t="shared" si="33"/>
        <v>60</v>
      </c>
      <c r="AV13" s="51">
        <f t="shared" si="34"/>
        <v>60000</v>
      </c>
      <c r="AW13" s="51">
        <f t="shared" si="35"/>
        <v>3600000</v>
      </c>
      <c r="AX13" t="b">
        <f t="shared" si="36"/>
        <v>1</v>
      </c>
      <c r="AY13" s="51">
        <f t="shared" si="37"/>
        <v>72</v>
      </c>
      <c r="AZ13" s="51">
        <f t="shared" si="38"/>
        <v>72000</v>
      </c>
      <c r="BA13" s="51">
        <f t="shared" si="39"/>
        <v>5184000</v>
      </c>
      <c r="BB13" t="b">
        <f t="shared" si="40"/>
        <v>1</v>
      </c>
      <c r="BC13" s="51">
        <f t="shared" si="41"/>
        <v>86.39999999999999</v>
      </c>
      <c r="BD13" s="51">
        <f t="shared" si="42"/>
        <v>90000</v>
      </c>
      <c r="BE13" s="51">
        <f t="shared" si="43"/>
        <v>7775999.999999999</v>
      </c>
      <c r="BF13" t="b">
        <f t="shared" si="44"/>
        <v>1</v>
      </c>
      <c r="BG13" s="51">
        <f t="shared" si="45"/>
        <v>107.99999999999999</v>
      </c>
      <c r="BH13" s="51">
        <f t="shared" si="46"/>
        <v>112500</v>
      </c>
      <c r="BI13" s="51">
        <f>BG13*BH13</f>
        <v>12149999.999999998</v>
      </c>
      <c r="BJ13" t="b">
        <f t="shared" si="47"/>
        <v>1</v>
      </c>
      <c r="BK13" s="51">
        <f t="shared" si="48"/>
        <v>124.19999999999997</v>
      </c>
      <c r="BL13" s="51">
        <f t="shared" si="49"/>
        <v>135000</v>
      </c>
      <c r="BM13" s="51">
        <f t="shared" si="50"/>
        <v>16766999.999999996</v>
      </c>
      <c r="BN13" t="b">
        <f t="shared" si="51"/>
        <v>1</v>
      </c>
    </row>
    <row r="14" ht="18.75" customHeight="1" spans="2:66" x14ac:dyDescent="0.25">
      <c r="B14" s="5" t="str">
        <f>A.IIOPEX!C14</f>
        <v>1e</v>
      </c>
      <c r="C14" s="29"/>
      <c r="D14" s="29">
        <f>A.IIOPEX!E14</f>
        <v>0</v>
      </c>
      <c r="E14" s="30"/>
      <c r="F14" s="51">
        <v>1</v>
      </c>
      <c r="G14" s="51">
        <v>250000</v>
      </c>
      <c r="H14" s="51">
        <f t="shared" si="5"/>
        <v>250000</v>
      </c>
      <c r="I14" s="54"/>
      <c r="J14" s="51">
        <f t="shared" si="6"/>
        <v>1</v>
      </c>
      <c r="K14" s="51">
        <f t="shared" si="7"/>
        <v>250000</v>
      </c>
      <c r="L14" s="51">
        <f t="shared" si="8"/>
        <v>250000</v>
      </c>
      <c r="M14" s="54"/>
      <c r="N14" s="51">
        <f t="shared" si="9"/>
        <v>1</v>
      </c>
      <c r="O14" s="51">
        <f t="shared" si="10"/>
        <v>250000</v>
      </c>
      <c r="P14" s="51">
        <f t="shared" si="11"/>
        <v>250000</v>
      </c>
      <c r="Q14" s="54"/>
      <c r="R14" s="51">
        <f t="shared" si="12"/>
        <v>1</v>
      </c>
      <c r="S14" s="51">
        <f t="shared" si="13"/>
        <v>250000</v>
      </c>
      <c r="T14" s="51">
        <f t="shared" si="14"/>
        <v>250000</v>
      </c>
      <c r="U14" s="54"/>
      <c r="V14" s="51">
        <f t="shared" si="15"/>
        <v>1</v>
      </c>
      <c r="W14" s="51">
        <f t="shared" si="16"/>
        <v>250000</v>
      </c>
      <c r="X14" s="51">
        <f t="shared" si="17"/>
        <v>250000</v>
      </c>
      <c r="Y14" s="54"/>
      <c r="Z14" s="51">
        <f t="shared" si="18"/>
        <v>1</v>
      </c>
      <c r="AA14" s="51">
        <f t="shared" si="19"/>
        <v>250000</v>
      </c>
      <c r="AB14" s="51">
        <f t="shared" si="20"/>
        <v>250000</v>
      </c>
      <c r="AC14" s="54"/>
      <c r="AD14" s="51">
        <f t="shared" si="21"/>
        <v>1</v>
      </c>
      <c r="AE14" s="51">
        <f t="shared" si="22"/>
        <v>250000</v>
      </c>
      <c r="AF14" s="51">
        <f t="shared" si="23"/>
        <v>250000</v>
      </c>
      <c r="AG14" s="54"/>
      <c r="AH14" s="51">
        <f t="shared" si="24"/>
        <v>1</v>
      </c>
      <c r="AI14" s="51">
        <f t="shared" si="25"/>
        <v>250000</v>
      </c>
      <c r="AJ14" s="51">
        <f t="shared" si="26"/>
        <v>250000</v>
      </c>
      <c r="AK14" s="54"/>
      <c r="AL14" s="51">
        <f t="shared" si="27"/>
        <v>1</v>
      </c>
      <c r="AM14" s="51">
        <f t="shared" si="28"/>
        <v>250000</v>
      </c>
      <c r="AN14" s="51">
        <f t="shared" si="29"/>
        <v>250000</v>
      </c>
      <c r="AO14" s="54"/>
      <c r="AP14" s="54"/>
      <c r="AQ14" s="85">
        <f t="shared" si="30"/>
        <v>9</v>
      </c>
      <c r="AR14" s="85">
        <f t="shared" si="31"/>
        <v>250000</v>
      </c>
      <c r="AS14" s="80">
        <f t="shared" si="52"/>
        <v>2250000</v>
      </c>
      <c r="AT14" t="b">
        <f t="shared" si="32"/>
        <v>1</v>
      </c>
      <c r="AU14" s="51">
        <f t="shared" si="33"/>
        <v>15</v>
      </c>
      <c r="AV14" s="51">
        <f t="shared" si="34"/>
        <v>300000</v>
      </c>
      <c r="AW14" s="51">
        <f t="shared" si="35"/>
        <v>4500000</v>
      </c>
      <c r="AX14" t="b">
        <f t="shared" si="36"/>
        <v>1</v>
      </c>
      <c r="AY14" s="51">
        <f t="shared" si="37"/>
        <v>18</v>
      </c>
      <c r="AZ14" s="51">
        <f t="shared" si="38"/>
        <v>360000</v>
      </c>
      <c r="BA14" s="51">
        <f t="shared" si="39"/>
        <v>6480000</v>
      </c>
      <c r="BB14" t="b">
        <f t="shared" si="40"/>
        <v>1</v>
      </c>
      <c r="BC14" s="51">
        <f t="shared" si="41"/>
        <v>21.599999999999998</v>
      </c>
      <c r="BD14" s="51">
        <f t="shared" si="42"/>
        <v>450000</v>
      </c>
      <c r="BE14" s="51">
        <f t="shared" si="43"/>
        <v>9719999.999999998</v>
      </c>
      <c r="BF14" t="b">
        <f t="shared" si="44"/>
        <v>1</v>
      </c>
      <c r="BG14" s="51">
        <f t="shared" si="45"/>
        <v>26.999999999999996</v>
      </c>
      <c r="BH14" s="51">
        <f t="shared" si="46"/>
        <v>562500</v>
      </c>
      <c r="BI14" s="51">
        <f t="shared" si="53"/>
        <v>15187499.999999998</v>
      </c>
      <c r="BJ14" t="b">
        <f t="shared" si="47"/>
        <v>1</v>
      </c>
      <c r="BK14" s="51">
        <f t="shared" si="48"/>
        <v>31.049999999999994</v>
      </c>
      <c r="BL14" s="51">
        <f t="shared" si="49"/>
        <v>675000</v>
      </c>
      <c r="BM14" s="51">
        <f t="shared" si="50"/>
        <v>20958749.999999996</v>
      </c>
      <c r="BN14" t="b">
        <f t="shared" si="51"/>
        <v>1</v>
      </c>
    </row>
    <row r="15" ht="18.75" customHeight="1" spans="2:66" x14ac:dyDescent="0.25">
      <c r="B15" s="5" t="str">
        <f>A.IIOPEX!C15</f>
        <v>1f</v>
      </c>
      <c r="C15" s="29"/>
      <c r="D15" s="29">
        <f>A.IIOPEX!E15</f>
        <v>0</v>
      </c>
      <c r="E15" s="30"/>
      <c r="F15" s="51">
        <v>3</v>
      </c>
      <c r="G15" s="51">
        <v>50000</v>
      </c>
      <c r="H15" s="51">
        <f t="shared" si="5"/>
        <v>150000</v>
      </c>
      <c r="I15" s="54"/>
      <c r="J15" s="51">
        <f t="shared" si="6"/>
        <v>3</v>
      </c>
      <c r="K15" s="51">
        <f t="shared" si="7"/>
        <v>50000</v>
      </c>
      <c r="L15" s="51">
        <f t="shared" si="8"/>
        <v>150000</v>
      </c>
      <c r="M15" s="54"/>
      <c r="N15" s="51">
        <f t="shared" si="9"/>
        <v>3</v>
      </c>
      <c r="O15" s="51">
        <f t="shared" si="10"/>
        <v>50000</v>
      </c>
      <c r="P15" s="51">
        <f t="shared" si="11"/>
        <v>150000</v>
      </c>
      <c r="Q15" s="54"/>
      <c r="R15" s="51">
        <f t="shared" si="12"/>
        <v>3</v>
      </c>
      <c r="S15" s="51">
        <f t="shared" si="13"/>
        <v>50000</v>
      </c>
      <c r="T15" s="51">
        <f t="shared" si="14"/>
        <v>150000</v>
      </c>
      <c r="U15" s="54"/>
      <c r="V15" s="51">
        <f t="shared" si="15"/>
        <v>3</v>
      </c>
      <c r="W15" s="51">
        <f t="shared" si="16"/>
        <v>50000</v>
      </c>
      <c r="X15" s="51">
        <f t="shared" si="17"/>
        <v>150000</v>
      </c>
      <c r="Y15" s="54"/>
      <c r="Z15" s="51">
        <f t="shared" si="18"/>
        <v>3</v>
      </c>
      <c r="AA15" s="51">
        <f t="shared" si="19"/>
        <v>50000</v>
      </c>
      <c r="AB15" s="51">
        <f t="shared" si="20"/>
        <v>150000</v>
      </c>
      <c r="AC15" s="54"/>
      <c r="AD15" s="51">
        <f t="shared" si="21"/>
        <v>3</v>
      </c>
      <c r="AE15" s="51">
        <f t="shared" si="22"/>
        <v>50000</v>
      </c>
      <c r="AF15" s="51">
        <f t="shared" si="23"/>
        <v>150000</v>
      </c>
      <c r="AG15" s="54"/>
      <c r="AH15" s="51">
        <f t="shared" si="24"/>
        <v>3</v>
      </c>
      <c r="AI15" s="51">
        <f t="shared" si="25"/>
        <v>50000</v>
      </c>
      <c r="AJ15" s="51">
        <f t="shared" si="26"/>
        <v>150000</v>
      </c>
      <c r="AK15" s="54"/>
      <c r="AL15" s="51">
        <f t="shared" si="27"/>
        <v>3</v>
      </c>
      <c r="AM15" s="51">
        <f t="shared" si="28"/>
        <v>50000</v>
      </c>
      <c r="AN15" s="51">
        <f t="shared" si="29"/>
        <v>150000</v>
      </c>
      <c r="AO15" s="54"/>
      <c r="AP15" s="54"/>
      <c r="AQ15" s="85">
        <f t="shared" si="30"/>
        <v>27</v>
      </c>
      <c r="AR15" s="85">
        <f t="shared" si="31"/>
        <v>50000</v>
      </c>
      <c r="AS15" s="80">
        <f t="shared" si="52"/>
        <v>1350000</v>
      </c>
      <c r="AT15" t="b">
        <f t="shared" si="32"/>
        <v>1</v>
      </c>
      <c r="AU15" s="51">
        <f t="shared" si="33"/>
        <v>45</v>
      </c>
      <c r="AV15" s="51">
        <f t="shared" si="34"/>
        <v>60000</v>
      </c>
      <c r="AW15" s="51">
        <f t="shared" si="35"/>
        <v>2700000</v>
      </c>
      <c r="AX15" t="b">
        <f t="shared" si="36"/>
        <v>1</v>
      </c>
      <c r="AY15" s="51">
        <f t="shared" si="37"/>
        <v>54</v>
      </c>
      <c r="AZ15" s="51">
        <f t="shared" si="38"/>
        <v>72000</v>
      </c>
      <c r="BA15" s="51">
        <f t="shared" si="39"/>
        <v>3888000</v>
      </c>
      <c r="BB15" t="b">
        <f t="shared" si="40"/>
        <v>1</v>
      </c>
      <c r="BC15" s="51">
        <f t="shared" si="41"/>
        <v>64.8</v>
      </c>
      <c r="BD15" s="51">
        <f t="shared" si="42"/>
        <v>90000</v>
      </c>
      <c r="BE15" s="51">
        <f t="shared" si="43"/>
        <v>5832000</v>
      </c>
      <c r="BF15" t="b">
        <f t="shared" si="44"/>
        <v>1</v>
      </c>
      <c r="BG15" s="51">
        <f t="shared" si="45"/>
        <v>81</v>
      </c>
      <c r="BH15" s="51">
        <f t="shared" si="46"/>
        <v>112500</v>
      </c>
      <c r="BI15" s="51">
        <f t="shared" si="53"/>
        <v>9112500</v>
      </c>
      <c r="BJ15" t="b">
        <f t="shared" si="47"/>
        <v>1</v>
      </c>
      <c r="BK15" s="51">
        <f t="shared" si="48"/>
        <v>93.14999999999999</v>
      </c>
      <c r="BL15" s="51">
        <f t="shared" si="49"/>
        <v>135000</v>
      </c>
      <c r="BM15" s="51">
        <f t="shared" si="50"/>
        <v>12575249.999999998</v>
      </c>
      <c r="BN15" t="b">
        <f t="shared" si="51"/>
        <v>1</v>
      </c>
    </row>
    <row r="16" ht="18.75" customHeight="1" spans="2:66" x14ac:dyDescent="0.25">
      <c r="B16" s="5" t="str">
        <f>A.IIOPEX!C16</f>
        <v>1g</v>
      </c>
      <c r="C16" s="29"/>
      <c r="D16" s="29">
        <f>A.IIOPEX!E16</f>
        <v>0</v>
      </c>
      <c r="E16" s="30"/>
      <c r="F16" s="51">
        <v>1</v>
      </c>
      <c r="G16" s="51">
        <v>400000</v>
      </c>
      <c r="H16" s="51">
        <f t="shared" si="5"/>
        <v>400000</v>
      </c>
      <c r="I16" s="54"/>
      <c r="J16" s="51">
        <f t="shared" si="6"/>
        <v>1</v>
      </c>
      <c r="K16" s="51">
        <f t="shared" si="7"/>
        <v>400000</v>
      </c>
      <c r="L16" s="51">
        <f t="shared" si="8"/>
        <v>400000</v>
      </c>
      <c r="M16" s="54"/>
      <c r="N16" s="51">
        <f t="shared" si="9"/>
        <v>1</v>
      </c>
      <c r="O16" s="51">
        <f t="shared" si="10"/>
        <v>400000</v>
      </c>
      <c r="P16" s="51">
        <f t="shared" si="11"/>
        <v>400000</v>
      </c>
      <c r="Q16" s="54"/>
      <c r="R16" s="51">
        <f t="shared" si="12"/>
        <v>1</v>
      </c>
      <c r="S16" s="51">
        <f t="shared" si="13"/>
        <v>400000</v>
      </c>
      <c r="T16" s="51">
        <f t="shared" si="14"/>
        <v>400000</v>
      </c>
      <c r="U16" s="54"/>
      <c r="V16" s="51">
        <f t="shared" si="15"/>
        <v>1</v>
      </c>
      <c r="W16" s="51">
        <f t="shared" si="16"/>
        <v>400000</v>
      </c>
      <c r="X16" s="51">
        <f t="shared" si="17"/>
        <v>400000</v>
      </c>
      <c r="Y16" s="54"/>
      <c r="Z16" s="51">
        <f t="shared" si="18"/>
        <v>1</v>
      </c>
      <c r="AA16" s="51">
        <f t="shared" si="19"/>
        <v>400000</v>
      </c>
      <c r="AB16" s="51">
        <f t="shared" si="20"/>
        <v>400000</v>
      </c>
      <c r="AC16" s="54"/>
      <c r="AD16" s="51">
        <f t="shared" si="21"/>
        <v>1</v>
      </c>
      <c r="AE16" s="51">
        <f t="shared" si="22"/>
        <v>400000</v>
      </c>
      <c r="AF16" s="51">
        <f t="shared" si="23"/>
        <v>400000</v>
      </c>
      <c r="AG16" s="54"/>
      <c r="AH16" s="51">
        <f t="shared" si="24"/>
        <v>1</v>
      </c>
      <c r="AI16" s="51">
        <f t="shared" si="25"/>
        <v>400000</v>
      </c>
      <c r="AJ16" s="51">
        <f t="shared" si="26"/>
        <v>400000</v>
      </c>
      <c r="AK16" s="54"/>
      <c r="AL16" s="51">
        <f t="shared" si="27"/>
        <v>1</v>
      </c>
      <c r="AM16" s="51">
        <f t="shared" si="28"/>
        <v>400000</v>
      </c>
      <c r="AN16" s="51">
        <f t="shared" si="29"/>
        <v>400000</v>
      </c>
      <c r="AO16" s="54"/>
      <c r="AP16" s="54"/>
      <c r="AQ16" s="85">
        <f t="shared" si="30"/>
        <v>9</v>
      </c>
      <c r="AR16" s="85">
        <f t="shared" si="31"/>
        <v>400000</v>
      </c>
      <c r="AS16" s="80">
        <f t="shared" si="52"/>
        <v>3600000</v>
      </c>
      <c r="AT16" t="b">
        <f t="shared" si="32"/>
        <v>1</v>
      </c>
      <c r="AU16" s="51">
        <f t="shared" si="33"/>
        <v>15</v>
      </c>
      <c r="AV16" s="51">
        <f t="shared" si="34"/>
        <v>480000</v>
      </c>
      <c r="AW16" s="51">
        <f t="shared" si="35"/>
        <v>7200000</v>
      </c>
      <c r="AX16" t="b">
        <f t="shared" si="36"/>
        <v>1</v>
      </c>
      <c r="AY16" s="51">
        <f t="shared" si="37"/>
        <v>18</v>
      </c>
      <c r="AZ16" s="51">
        <f t="shared" si="38"/>
        <v>576000</v>
      </c>
      <c r="BA16" s="51">
        <f t="shared" si="39"/>
        <v>10368000</v>
      </c>
      <c r="BB16" t="b">
        <f t="shared" si="40"/>
        <v>1</v>
      </c>
      <c r="BC16" s="51">
        <f t="shared" si="41"/>
        <v>21.599999999999998</v>
      </c>
      <c r="BD16" s="51">
        <f t="shared" si="42"/>
        <v>720000</v>
      </c>
      <c r="BE16" s="51">
        <f t="shared" si="43"/>
        <v>15551999.999999998</v>
      </c>
      <c r="BF16" t="b">
        <f t="shared" si="44"/>
        <v>1</v>
      </c>
      <c r="BG16" s="51">
        <f t="shared" si="45"/>
        <v>26.999999999999996</v>
      </c>
      <c r="BH16" s="51">
        <f t="shared" si="46"/>
        <v>900000</v>
      </c>
      <c r="BI16" s="51">
        <f>BG16*BH16</f>
        <v>24299999.999999996</v>
      </c>
      <c r="BJ16" t="b">
        <f t="shared" si="47"/>
        <v>1</v>
      </c>
      <c r="BK16" s="51">
        <f t="shared" si="48"/>
        <v>31.049999999999994</v>
      </c>
      <c r="BL16" s="51">
        <f t="shared" si="49"/>
        <v>1080000</v>
      </c>
      <c r="BM16" s="51">
        <f t="shared" si="50"/>
        <v>33533999.999999993</v>
      </c>
      <c r="BN16" t="b">
        <f t="shared" si="51"/>
        <v>1</v>
      </c>
    </row>
    <row r="17" ht="18.75" customHeight="1" spans="2:66" x14ac:dyDescent="0.25">
      <c r="B17" s="5" t="str">
        <f>A.IIOPEX!C17</f>
        <v>Grand Total</v>
      </c>
      <c r="C17" s="29"/>
      <c r="D17" s="29">
        <f>A.IIOPEX!E17</f>
        <v>0</v>
      </c>
      <c r="E17" s="30"/>
      <c r="F17" s="51">
        <v>2</v>
      </c>
      <c r="G17" s="51">
        <v>200000</v>
      </c>
      <c r="H17" s="51">
        <f t="shared" si="5"/>
        <v>400000</v>
      </c>
      <c r="I17" s="54"/>
      <c r="J17" s="51">
        <f t="shared" si="6"/>
        <v>2</v>
      </c>
      <c r="K17" s="51">
        <f t="shared" si="7"/>
        <v>200000</v>
      </c>
      <c r="L17" s="51">
        <f t="shared" si="8"/>
        <v>400000</v>
      </c>
      <c r="M17" s="54"/>
      <c r="N17" s="51">
        <f t="shared" si="9"/>
        <v>2</v>
      </c>
      <c r="O17" s="51">
        <f t="shared" si="10"/>
        <v>200000</v>
      </c>
      <c r="P17" s="51">
        <f t="shared" si="11"/>
        <v>400000</v>
      </c>
      <c r="Q17" s="54"/>
      <c r="R17" s="51">
        <f t="shared" si="12"/>
        <v>2</v>
      </c>
      <c r="S17" s="51">
        <f t="shared" si="13"/>
        <v>200000</v>
      </c>
      <c r="T17" s="51">
        <f t="shared" si="14"/>
        <v>400000</v>
      </c>
      <c r="U17" s="54"/>
      <c r="V17" s="51">
        <f t="shared" si="15"/>
        <v>2</v>
      </c>
      <c r="W17" s="51">
        <f t="shared" si="16"/>
        <v>200000</v>
      </c>
      <c r="X17" s="51">
        <f t="shared" si="17"/>
        <v>400000</v>
      </c>
      <c r="Y17" s="54"/>
      <c r="Z17" s="51">
        <f t="shared" si="18"/>
        <v>2</v>
      </c>
      <c r="AA17" s="51">
        <f t="shared" si="19"/>
        <v>200000</v>
      </c>
      <c r="AB17" s="51">
        <f t="shared" si="20"/>
        <v>400000</v>
      </c>
      <c r="AC17" s="54"/>
      <c r="AD17" s="51">
        <f t="shared" si="21"/>
        <v>2</v>
      </c>
      <c r="AE17" s="51">
        <f t="shared" si="22"/>
        <v>200000</v>
      </c>
      <c r="AF17" s="51">
        <f t="shared" si="23"/>
        <v>400000</v>
      </c>
      <c r="AG17" s="54"/>
      <c r="AH17" s="51">
        <f t="shared" si="24"/>
        <v>2</v>
      </c>
      <c r="AI17" s="51">
        <f t="shared" si="25"/>
        <v>200000</v>
      </c>
      <c r="AJ17" s="51">
        <f t="shared" si="26"/>
        <v>400000</v>
      </c>
      <c r="AK17" s="54"/>
      <c r="AL17" s="51">
        <f t="shared" si="27"/>
        <v>2</v>
      </c>
      <c r="AM17" s="51">
        <f t="shared" si="28"/>
        <v>200000</v>
      </c>
      <c r="AN17" s="51">
        <f t="shared" si="29"/>
        <v>400000</v>
      </c>
      <c r="AO17" s="54"/>
      <c r="AP17" s="54"/>
      <c r="AQ17" s="85">
        <f t="shared" si="30"/>
        <v>18</v>
      </c>
      <c r="AR17" s="85">
        <f t="shared" si="31"/>
        <v>200000</v>
      </c>
      <c r="AS17" s="80">
        <f t="shared" si="52"/>
        <v>3600000</v>
      </c>
      <c r="AT17" t="b">
        <f t="shared" si="32"/>
        <v>1</v>
      </c>
      <c r="AU17" s="51">
        <f t="shared" si="33"/>
        <v>30</v>
      </c>
      <c r="AV17" s="51">
        <f t="shared" si="34"/>
        <v>240000</v>
      </c>
      <c r="AW17" s="51">
        <f t="shared" si="35"/>
        <v>7200000</v>
      </c>
      <c r="AX17" t="b">
        <f t="shared" si="36"/>
        <v>1</v>
      </c>
      <c r="AY17" s="51">
        <f t="shared" si="37"/>
        <v>36</v>
      </c>
      <c r="AZ17" s="51">
        <f t="shared" si="38"/>
        <v>288000</v>
      </c>
      <c r="BA17" s="51">
        <f t="shared" si="39"/>
        <v>10368000</v>
      </c>
      <c r="BB17" t="b">
        <f t="shared" si="40"/>
        <v>1</v>
      </c>
      <c r="BC17" s="51">
        <f t="shared" si="41"/>
        <v>43.199999999999996</v>
      </c>
      <c r="BD17" s="51">
        <f t="shared" si="42"/>
        <v>360000</v>
      </c>
      <c r="BE17" s="51">
        <f t="shared" si="43"/>
        <v>15551999.999999998</v>
      </c>
      <c r="BF17" t="b">
        <f t="shared" si="44"/>
        <v>1</v>
      </c>
      <c r="BG17" s="51">
        <f t="shared" si="45"/>
        <v>53.99999999999999</v>
      </c>
      <c r="BH17" s="51">
        <f t="shared" si="46"/>
        <v>450000</v>
      </c>
      <c r="BI17" s="51">
        <f t="shared" si="53"/>
        <v>24299999.999999996</v>
      </c>
      <c r="BJ17" t="b">
        <f t="shared" si="47"/>
        <v>1</v>
      </c>
      <c r="BK17" s="51">
        <f t="shared" si="48"/>
        <v>62.09999999999999</v>
      </c>
      <c r="BL17" s="51">
        <f t="shared" si="49"/>
        <v>540000</v>
      </c>
      <c r="BM17" s="51">
        <f t="shared" si="50"/>
        <v>33533999.999999993</v>
      </c>
      <c r="BN17" t="b">
        <f t="shared" si="51"/>
        <v>1</v>
      </c>
    </row>
    <row r="18" ht="18.75" customHeight="1" spans="2:66" x14ac:dyDescent="0.25">
      <c r="B18" s="5"/>
      <c r="C18" s="29"/>
      <c r="D18" s="29" t="s">
        <v>242</v>
      </c>
      <c r="E18" s="30"/>
      <c r="F18" s="51">
        <v>1</v>
      </c>
      <c r="G18" s="51">
        <v>500000</v>
      </c>
      <c r="H18" s="51">
        <f t="shared" si="5"/>
        <v>500000</v>
      </c>
      <c r="I18" s="54"/>
      <c r="J18" s="51">
        <f t="shared" si="6"/>
        <v>1</v>
      </c>
      <c r="K18" s="51">
        <f t="shared" si="7"/>
        <v>500000</v>
      </c>
      <c r="L18" s="51">
        <f t="shared" si="8"/>
        <v>500000</v>
      </c>
      <c r="M18" s="54"/>
      <c r="N18" s="51">
        <f t="shared" si="9"/>
        <v>1</v>
      </c>
      <c r="O18" s="51">
        <f t="shared" si="10"/>
        <v>500000</v>
      </c>
      <c r="P18" s="51">
        <f t="shared" si="11"/>
        <v>500000</v>
      </c>
      <c r="Q18" s="54"/>
      <c r="R18" s="51">
        <f t="shared" si="12"/>
        <v>1</v>
      </c>
      <c r="S18" s="51">
        <f t="shared" si="13"/>
        <v>500000</v>
      </c>
      <c r="T18" s="51">
        <f t="shared" si="14"/>
        <v>500000</v>
      </c>
      <c r="U18" s="54"/>
      <c r="V18" s="51">
        <f t="shared" si="15"/>
        <v>1</v>
      </c>
      <c r="W18" s="51">
        <f t="shared" si="16"/>
        <v>500000</v>
      </c>
      <c r="X18" s="51">
        <f t="shared" si="17"/>
        <v>500000</v>
      </c>
      <c r="Y18" s="54"/>
      <c r="Z18" s="51">
        <f t="shared" si="18"/>
        <v>1</v>
      </c>
      <c r="AA18" s="51">
        <f t="shared" si="19"/>
        <v>500000</v>
      </c>
      <c r="AB18" s="51">
        <f t="shared" si="20"/>
        <v>500000</v>
      </c>
      <c r="AC18" s="54"/>
      <c r="AD18" s="51">
        <f t="shared" si="21"/>
        <v>1</v>
      </c>
      <c r="AE18" s="51">
        <f t="shared" si="22"/>
        <v>500000</v>
      </c>
      <c r="AF18" s="51">
        <f t="shared" si="23"/>
        <v>500000</v>
      </c>
      <c r="AG18" s="54"/>
      <c r="AH18" s="51">
        <f t="shared" si="24"/>
        <v>1</v>
      </c>
      <c r="AI18" s="51">
        <f t="shared" si="25"/>
        <v>500000</v>
      </c>
      <c r="AJ18" s="51">
        <f t="shared" si="26"/>
        <v>500000</v>
      </c>
      <c r="AK18" s="54"/>
      <c r="AL18" s="51">
        <f t="shared" si="27"/>
        <v>1</v>
      </c>
      <c r="AM18" s="51">
        <f t="shared" si="28"/>
        <v>500000</v>
      </c>
      <c r="AN18" s="51">
        <f t="shared" si="29"/>
        <v>500000</v>
      </c>
      <c r="AO18" s="54"/>
      <c r="AP18" s="54"/>
      <c r="AQ18" s="85">
        <f t="shared" si="30"/>
        <v>9</v>
      </c>
      <c r="AR18" s="85">
        <f t="shared" si="31"/>
        <v>500000</v>
      </c>
      <c r="AS18" s="80">
        <f t="shared" si="52"/>
        <v>4500000</v>
      </c>
      <c r="AT18" t="b">
        <f t="shared" si="32"/>
        <v>1</v>
      </c>
      <c r="AU18" s="51">
        <f t="shared" si="33"/>
        <v>15</v>
      </c>
      <c r="AV18" s="51">
        <f t="shared" si="34"/>
        <v>600000</v>
      </c>
      <c r="AW18" s="51">
        <f t="shared" si="35"/>
        <v>9000000</v>
      </c>
      <c r="AX18" t="b">
        <f t="shared" si="36"/>
        <v>1</v>
      </c>
      <c r="AY18" s="51">
        <f t="shared" si="37"/>
        <v>18</v>
      </c>
      <c r="AZ18" s="51">
        <f t="shared" si="38"/>
        <v>720000</v>
      </c>
      <c r="BA18" s="51">
        <f t="shared" si="39"/>
        <v>12960000</v>
      </c>
      <c r="BB18" t="b">
        <f t="shared" si="40"/>
        <v>1</v>
      </c>
      <c r="BC18" s="51">
        <f t="shared" si="41"/>
        <v>21.599999999999998</v>
      </c>
      <c r="BD18" s="51">
        <f t="shared" si="42"/>
        <v>900000</v>
      </c>
      <c r="BE18" s="51">
        <f t="shared" si="43"/>
        <v>19439999.999999996</v>
      </c>
      <c r="BF18" t="b">
        <f t="shared" si="44"/>
        <v>1</v>
      </c>
      <c r="BG18" s="51">
        <f t="shared" si="45"/>
        <v>26.999999999999996</v>
      </c>
      <c r="BH18" s="51">
        <f t="shared" si="46"/>
        <v>1125000</v>
      </c>
      <c r="BI18" s="51">
        <f t="shared" si="53"/>
        <v>30374999.999999996</v>
      </c>
      <c r="BJ18" t="b">
        <f t="shared" si="47"/>
        <v>1</v>
      </c>
      <c r="BK18" s="51">
        <f t="shared" si="48"/>
        <v>31.049999999999994</v>
      </c>
      <c r="BL18" s="51">
        <f t="shared" si="49"/>
        <v>1350000</v>
      </c>
      <c r="BM18" s="51">
        <f t="shared" si="50"/>
        <v>41917499.99999999</v>
      </c>
      <c r="BN18" t="b">
        <f t="shared" si="51"/>
        <v>1</v>
      </c>
    </row>
    <row r="19" ht="18.75" customHeight="1" spans="2:66" x14ac:dyDescent="0.25">
      <c r="B19" s="5"/>
      <c r="C19" s="29"/>
      <c r="D19" s="29" t="s">
        <v>243</v>
      </c>
      <c r="E19" s="30"/>
      <c r="F19" s="51">
        <v>1</v>
      </c>
      <c r="G19" s="51">
        <v>50000</v>
      </c>
      <c r="H19" s="51">
        <f t="shared" si="5"/>
        <v>50000</v>
      </c>
      <c r="I19" s="54"/>
      <c r="J19" s="51">
        <f t="shared" si="6"/>
        <v>1</v>
      </c>
      <c r="K19" s="51">
        <f t="shared" si="7"/>
        <v>50000</v>
      </c>
      <c r="L19" s="51">
        <f t="shared" si="8"/>
        <v>50000</v>
      </c>
      <c r="M19" s="54"/>
      <c r="N19" s="51">
        <f t="shared" si="9"/>
        <v>1</v>
      </c>
      <c r="O19" s="51">
        <f t="shared" si="10"/>
        <v>50000</v>
      </c>
      <c r="P19" s="51">
        <f t="shared" si="11"/>
        <v>50000</v>
      </c>
      <c r="Q19" s="54"/>
      <c r="R19" s="51">
        <f t="shared" si="12"/>
        <v>1</v>
      </c>
      <c r="S19" s="51">
        <f t="shared" si="13"/>
        <v>50000</v>
      </c>
      <c r="T19" s="51">
        <f t="shared" si="14"/>
        <v>50000</v>
      </c>
      <c r="U19" s="54"/>
      <c r="V19" s="51">
        <f t="shared" si="15"/>
        <v>1</v>
      </c>
      <c r="W19" s="51">
        <f t="shared" si="16"/>
        <v>50000</v>
      </c>
      <c r="X19" s="51">
        <f t="shared" si="17"/>
        <v>50000</v>
      </c>
      <c r="Y19" s="54"/>
      <c r="Z19" s="51">
        <f t="shared" si="18"/>
        <v>1</v>
      </c>
      <c r="AA19" s="51">
        <f t="shared" si="19"/>
        <v>50000</v>
      </c>
      <c r="AB19" s="51">
        <f t="shared" si="20"/>
        <v>50000</v>
      </c>
      <c r="AC19" s="54"/>
      <c r="AD19" s="51">
        <f t="shared" si="21"/>
        <v>1</v>
      </c>
      <c r="AE19" s="51">
        <f t="shared" si="22"/>
        <v>50000</v>
      </c>
      <c r="AF19" s="51">
        <f t="shared" si="23"/>
        <v>50000</v>
      </c>
      <c r="AG19" s="54"/>
      <c r="AH19" s="51">
        <f t="shared" si="24"/>
        <v>1</v>
      </c>
      <c r="AI19" s="51">
        <f t="shared" si="25"/>
        <v>50000</v>
      </c>
      <c r="AJ19" s="51">
        <f t="shared" si="26"/>
        <v>50000</v>
      </c>
      <c r="AK19" s="54"/>
      <c r="AL19" s="51">
        <f t="shared" si="27"/>
        <v>1</v>
      </c>
      <c r="AM19" s="51">
        <f t="shared" si="28"/>
        <v>50000</v>
      </c>
      <c r="AN19" s="51">
        <f t="shared" si="29"/>
        <v>50000</v>
      </c>
      <c r="AO19" s="54"/>
      <c r="AP19" s="54"/>
      <c r="AQ19" s="85">
        <f t="shared" si="30"/>
        <v>9</v>
      </c>
      <c r="AR19" s="85">
        <f t="shared" si="31"/>
        <v>50000</v>
      </c>
      <c r="AS19" s="80">
        <f t="shared" si="52"/>
        <v>450000</v>
      </c>
      <c r="AT19" t="b">
        <f t="shared" si="32"/>
        <v>1</v>
      </c>
      <c r="AU19" s="51">
        <f t="shared" si="33"/>
        <v>15</v>
      </c>
      <c r="AV19" s="51">
        <f t="shared" si="34"/>
        <v>60000</v>
      </c>
      <c r="AW19" s="51">
        <f t="shared" si="35"/>
        <v>900000</v>
      </c>
      <c r="AX19" t="b">
        <f t="shared" si="36"/>
        <v>1</v>
      </c>
      <c r="AY19" s="51">
        <f t="shared" si="37"/>
        <v>18</v>
      </c>
      <c r="AZ19" s="51">
        <f t="shared" si="38"/>
        <v>72000</v>
      </c>
      <c r="BA19" s="51">
        <f t="shared" si="39"/>
        <v>1296000</v>
      </c>
      <c r="BB19" t="b">
        <f t="shared" si="40"/>
        <v>1</v>
      </c>
      <c r="BC19" s="51">
        <f t="shared" si="41"/>
        <v>21.599999999999998</v>
      </c>
      <c r="BD19" s="51">
        <f t="shared" si="42"/>
        <v>90000</v>
      </c>
      <c r="BE19" s="51">
        <f t="shared" si="43"/>
        <v>1943999.9999999998</v>
      </c>
      <c r="BF19" t="b">
        <f t="shared" si="44"/>
        <v>1</v>
      </c>
      <c r="BG19" s="51">
        <f t="shared" si="45"/>
        <v>26.999999999999996</v>
      </c>
      <c r="BH19" s="51">
        <f t="shared" si="46"/>
        <v>112500</v>
      </c>
      <c r="BI19" s="51">
        <f>BG19*BH19</f>
        <v>3037499.9999999995</v>
      </c>
      <c r="BJ19" t="b">
        <f t="shared" si="47"/>
        <v>1</v>
      </c>
      <c r="BK19" s="51">
        <f t="shared" si="48"/>
        <v>31.049999999999994</v>
      </c>
      <c r="BL19" s="51">
        <f t="shared" si="49"/>
        <v>135000</v>
      </c>
      <c r="BM19" s="51">
        <f t="shared" si="50"/>
        <v>4191749.999999999</v>
      </c>
      <c r="BN19" t="b">
        <f t="shared" si="51"/>
        <v>1</v>
      </c>
    </row>
    <row r="20" ht="18.75" customHeight="1" spans="2:66" x14ac:dyDescent="0.25">
      <c r="B20" s="5"/>
      <c r="C20" s="29"/>
      <c r="D20" s="29" t="s">
        <v>244</v>
      </c>
      <c r="E20" s="30"/>
      <c r="F20" s="51">
        <v>3</v>
      </c>
      <c r="G20" s="51">
        <v>35000</v>
      </c>
      <c r="H20" s="51">
        <f t="shared" si="5"/>
        <v>105000</v>
      </c>
      <c r="I20" s="54"/>
      <c r="J20" s="51">
        <f t="shared" si="6"/>
        <v>3</v>
      </c>
      <c r="K20" s="51">
        <f t="shared" si="7"/>
        <v>35000</v>
      </c>
      <c r="L20" s="51">
        <f t="shared" si="8"/>
        <v>105000</v>
      </c>
      <c r="M20" s="54"/>
      <c r="N20" s="51">
        <f t="shared" si="9"/>
        <v>3</v>
      </c>
      <c r="O20" s="51">
        <f t="shared" si="10"/>
        <v>35000</v>
      </c>
      <c r="P20" s="51">
        <f t="shared" si="11"/>
        <v>105000</v>
      </c>
      <c r="Q20" s="54"/>
      <c r="R20" s="51">
        <f t="shared" si="12"/>
        <v>3</v>
      </c>
      <c r="S20" s="51">
        <f t="shared" si="13"/>
        <v>35000</v>
      </c>
      <c r="T20" s="51">
        <f t="shared" si="14"/>
        <v>105000</v>
      </c>
      <c r="U20" s="54"/>
      <c r="V20" s="51">
        <f t="shared" si="15"/>
        <v>3</v>
      </c>
      <c r="W20" s="51">
        <f t="shared" si="16"/>
        <v>35000</v>
      </c>
      <c r="X20" s="51">
        <f t="shared" si="17"/>
        <v>105000</v>
      </c>
      <c r="Y20" s="54"/>
      <c r="Z20" s="51">
        <f t="shared" si="18"/>
        <v>3</v>
      </c>
      <c r="AA20" s="51">
        <f t="shared" si="19"/>
        <v>35000</v>
      </c>
      <c r="AB20" s="51">
        <f t="shared" si="20"/>
        <v>105000</v>
      </c>
      <c r="AC20" s="54"/>
      <c r="AD20" s="51">
        <f t="shared" si="21"/>
        <v>3</v>
      </c>
      <c r="AE20" s="51">
        <f t="shared" si="22"/>
        <v>35000</v>
      </c>
      <c r="AF20" s="51">
        <f t="shared" si="23"/>
        <v>105000</v>
      </c>
      <c r="AG20" s="54"/>
      <c r="AH20" s="51">
        <f t="shared" si="24"/>
        <v>3</v>
      </c>
      <c r="AI20" s="51">
        <f t="shared" si="25"/>
        <v>35000</v>
      </c>
      <c r="AJ20" s="51">
        <f t="shared" si="26"/>
        <v>105000</v>
      </c>
      <c r="AK20" s="54"/>
      <c r="AL20" s="51">
        <f t="shared" si="27"/>
        <v>3</v>
      </c>
      <c r="AM20" s="51">
        <f t="shared" si="28"/>
        <v>35000</v>
      </c>
      <c r="AN20" s="51">
        <f t="shared" si="29"/>
        <v>105000</v>
      </c>
      <c r="AO20" s="54"/>
      <c r="AP20" s="54"/>
      <c r="AQ20" s="85">
        <f t="shared" si="30"/>
        <v>27</v>
      </c>
      <c r="AR20" s="85">
        <f t="shared" si="31"/>
        <v>35000</v>
      </c>
      <c r="AS20" s="80">
        <f t="shared" si="52"/>
        <v>945000</v>
      </c>
      <c r="AT20" t="b">
        <f t="shared" si="32"/>
        <v>1</v>
      </c>
      <c r="AU20" s="51">
        <f t="shared" si="33"/>
        <v>45</v>
      </c>
      <c r="AV20" s="51">
        <f t="shared" si="34"/>
        <v>42000</v>
      </c>
      <c r="AW20" s="51">
        <f t="shared" si="35"/>
        <v>1890000</v>
      </c>
      <c r="AX20" t="b">
        <f t="shared" si="36"/>
        <v>1</v>
      </c>
      <c r="AY20" s="51">
        <f t="shared" si="37"/>
        <v>54</v>
      </c>
      <c r="AZ20" s="51">
        <f t="shared" si="38"/>
        <v>50400</v>
      </c>
      <c r="BA20" s="51">
        <f t="shared" si="39"/>
        <v>2721600</v>
      </c>
      <c r="BB20" t="b">
        <f t="shared" si="40"/>
        <v>1</v>
      </c>
      <c r="BC20" s="51">
        <f t="shared" si="41"/>
        <v>64.8</v>
      </c>
      <c r="BD20" s="51">
        <f t="shared" si="42"/>
        <v>63000</v>
      </c>
      <c r="BE20" s="51">
        <f t="shared" si="43"/>
        <v>4082400</v>
      </c>
      <c r="BF20" t="b">
        <f t="shared" si="44"/>
        <v>1</v>
      </c>
      <c r="BG20" s="51">
        <f t="shared" si="45"/>
        <v>81</v>
      </c>
      <c r="BH20" s="51">
        <f t="shared" si="46"/>
        <v>78750</v>
      </c>
      <c r="BI20" s="51">
        <f t="shared" si="53"/>
        <v>6378750</v>
      </c>
      <c r="BJ20" t="b">
        <f t="shared" si="47"/>
        <v>1</v>
      </c>
      <c r="BK20" s="51">
        <f t="shared" si="48"/>
        <v>93.14999999999999</v>
      </c>
      <c r="BL20" s="51">
        <f t="shared" si="49"/>
        <v>94500</v>
      </c>
      <c r="BM20" s="51">
        <f t="shared" si="50"/>
        <v>8802675</v>
      </c>
      <c r="BN20" t="b">
        <f t="shared" si="51"/>
        <v>1</v>
      </c>
    </row>
    <row r="21" ht="18.75" customHeight="1" spans="2:66" x14ac:dyDescent="0.25">
      <c r="B21" s="5"/>
      <c r="C21" s="29"/>
      <c r="D21" s="29" t="s">
        <v>245</v>
      </c>
      <c r="E21" s="30"/>
      <c r="F21" s="51">
        <v>1</v>
      </c>
      <c r="G21" s="51">
        <v>500000</v>
      </c>
      <c r="H21" s="51">
        <f t="shared" si="5"/>
        <v>500000</v>
      </c>
      <c r="I21" s="54"/>
      <c r="J21" s="51">
        <f t="shared" si="6"/>
        <v>1</v>
      </c>
      <c r="K21" s="51">
        <f t="shared" si="7"/>
        <v>500000</v>
      </c>
      <c r="L21" s="51">
        <f t="shared" si="8"/>
        <v>500000</v>
      </c>
      <c r="M21" s="54"/>
      <c r="N21" s="51">
        <f t="shared" si="9"/>
        <v>1</v>
      </c>
      <c r="O21" s="51">
        <f t="shared" si="10"/>
        <v>500000</v>
      </c>
      <c r="P21" s="51">
        <f t="shared" si="11"/>
        <v>500000</v>
      </c>
      <c r="Q21" s="54"/>
      <c r="R21" s="51">
        <f t="shared" si="12"/>
        <v>1</v>
      </c>
      <c r="S21" s="51">
        <f t="shared" si="13"/>
        <v>500000</v>
      </c>
      <c r="T21" s="51">
        <f t="shared" si="14"/>
        <v>500000</v>
      </c>
      <c r="U21" s="54"/>
      <c r="V21" s="51">
        <f t="shared" si="15"/>
        <v>1</v>
      </c>
      <c r="W21" s="51">
        <f t="shared" si="16"/>
        <v>500000</v>
      </c>
      <c r="X21" s="51">
        <f t="shared" si="17"/>
        <v>500000</v>
      </c>
      <c r="Y21" s="54"/>
      <c r="Z21" s="51">
        <f t="shared" si="18"/>
        <v>1</v>
      </c>
      <c r="AA21" s="51">
        <f t="shared" si="19"/>
        <v>500000</v>
      </c>
      <c r="AB21" s="51">
        <f t="shared" si="20"/>
        <v>500000</v>
      </c>
      <c r="AC21" s="54"/>
      <c r="AD21" s="51">
        <f t="shared" si="21"/>
        <v>1</v>
      </c>
      <c r="AE21" s="51">
        <f t="shared" si="22"/>
        <v>500000</v>
      </c>
      <c r="AF21" s="51">
        <f t="shared" si="23"/>
        <v>500000</v>
      </c>
      <c r="AG21" s="54"/>
      <c r="AH21" s="51">
        <f t="shared" si="24"/>
        <v>1</v>
      </c>
      <c r="AI21" s="51">
        <f t="shared" si="25"/>
        <v>500000</v>
      </c>
      <c r="AJ21" s="51">
        <f t="shared" si="26"/>
        <v>500000</v>
      </c>
      <c r="AK21" s="54"/>
      <c r="AL21" s="51">
        <f t="shared" si="27"/>
        <v>1</v>
      </c>
      <c r="AM21" s="51">
        <f t="shared" si="28"/>
        <v>500000</v>
      </c>
      <c r="AN21" s="51">
        <f t="shared" si="29"/>
        <v>500000</v>
      </c>
      <c r="AO21" s="54"/>
      <c r="AP21" s="54"/>
      <c r="AQ21" s="85">
        <f t="shared" si="30"/>
        <v>9</v>
      </c>
      <c r="AR21" s="85">
        <f t="shared" si="31"/>
        <v>500000</v>
      </c>
      <c r="AS21" s="80">
        <f t="shared" si="52"/>
        <v>4500000</v>
      </c>
      <c r="AT21" t="b">
        <f t="shared" si="32"/>
        <v>1</v>
      </c>
      <c r="AU21" s="51">
        <f t="shared" si="33"/>
        <v>15</v>
      </c>
      <c r="AV21" s="51">
        <f t="shared" si="34"/>
        <v>600000</v>
      </c>
      <c r="AW21" s="51">
        <f t="shared" si="35"/>
        <v>9000000</v>
      </c>
      <c r="AX21" t="b">
        <f t="shared" si="36"/>
        <v>1</v>
      </c>
      <c r="AY21" s="51">
        <f t="shared" si="37"/>
        <v>18</v>
      </c>
      <c r="AZ21" s="51">
        <f t="shared" si="38"/>
        <v>720000</v>
      </c>
      <c r="BA21" s="51">
        <f t="shared" si="39"/>
        <v>12960000</v>
      </c>
      <c r="BB21" t="b">
        <f t="shared" si="40"/>
        <v>1</v>
      </c>
      <c r="BC21" s="51">
        <f t="shared" si="41"/>
        <v>21.599999999999998</v>
      </c>
      <c r="BD21" s="51">
        <f t="shared" si="42"/>
        <v>900000</v>
      </c>
      <c r="BE21" s="51">
        <f t="shared" si="43"/>
        <v>19439999.999999996</v>
      </c>
      <c r="BF21" t="b">
        <f t="shared" si="44"/>
        <v>1</v>
      </c>
      <c r="BG21" s="51">
        <f t="shared" si="45"/>
        <v>26.999999999999996</v>
      </c>
      <c r="BH21" s="51">
        <f t="shared" si="46"/>
        <v>1125000</v>
      </c>
      <c r="BI21" s="51">
        <f t="shared" si="53"/>
        <v>30374999.999999996</v>
      </c>
      <c r="BJ21" t="b">
        <f t="shared" si="47"/>
        <v>1</v>
      </c>
      <c r="BK21" s="51">
        <f t="shared" si="48"/>
        <v>31.049999999999994</v>
      </c>
      <c r="BL21" s="51">
        <f t="shared" si="49"/>
        <v>1350000</v>
      </c>
      <c r="BM21" s="51">
        <f t="shared" si="50"/>
        <v>41917499.99999999</v>
      </c>
      <c r="BN21" t="b">
        <f t="shared" si="51"/>
        <v>1</v>
      </c>
    </row>
    <row r="22" ht="18.75" customHeight="1" spans="2:66" x14ac:dyDescent="0.25">
      <c r="B22" s="5"/>
      <c r="C22" s="29"/>
      <c r="D22" s="29" t="s">
        <v>246</v>
      </c>
      <c r="E22" s="30"/>
      <c r="F22" s="51">
        <v>0</v>
      </c>
      <c r="G22" s="51">
        <v>0</v>
      </c>
      <c r="H22" s="51">
        <f t="shared" si="5"/>
        <v>0</v>
      </c>
      <c r="I22" s="54"/>
      <c r="J22" s="51">
        <f t="shared" si="6"/>
        <v>0</v>
      </c>
      <c r="K22" s="51">
        <f t="shared" si="7"/>
        <v>0</v>
      </c>
      <c r="L22" s="51">
        <f t="shared" si="8"/>
        <v>0</v>
      </c>
      <c r="M22" s="54"/>
      <c r="N22" s="51">
        <f t="shared" si="9"/>
        <v>0</v>
      </c>
      <c r="O22" s="51">
        <f t="shared" si="10"/>
        <v>0</v>
      </c>
      <c r="P22" s="51">
        <f t="shared" si="11"/>
        <v>0</v>
      </c>
      <c r="Q22" s="54"/>
      <c r="R22" s="51">
        <f t="shared" si="12"/>
        <v>0</v>
      </c>
      <c r="S22" s="51">
        <f t="shared" si="13"/>
        <v>0</v>
      </c>
      <c r="T22" s="51">
        <f t="shared" si="14"/>
        <v>0</v>
      </c>
      <c r="U22" s="54"/>
      <c r="V22" s="51">
        <f t="shared" si="15"/>
        <v>0</v>
      </c>
      <c r="W22" s="51">
        <f t="shared" si="16"/>
        <v>0</v>
      </c>
      <c r="X22" s="51">
        <f t="shared" si="17"/>
        <v>0</v>
      </c>
      <c r="Y22" s="54"/>
      <c r="Z22" s="51">
        <f t="shared" si="18"/>
        <v>0</v>
      </c>
      <c r="AA22" s="51">
        <f t="shared" si="19"/>
        <v>0</v>
      </c>
      <c r="AB22" s="51">
        <f t="shared" si="20"/>
        <v>0</v>
      </c>
      <c r="AC22" s="54"/>
      <c r="AD22" s="51">
        <v>1</v>
      </c>
      <c r="AE22" s="51">
        <v>200000</v>
      </c>
      <c r="AF22" s="51">
        <f t="shared" si="23"/>
        <v>200000</v>
      </c>
      <c r="AG22" s="54"/>
      <c r="AH22" s="51">
        <f t="shared" si="24"/>
        <v>1</v>
      </c>
      <c r="AI22" s="51">
        <f t="shared" si="25"/>
        <v>200000</v>
      </c>
      <c r="AJ22" s="51">
        <f t="shared" si="26"/>
        <v>200000</v>
      </c>
      <c r="AK22" s="54"/>
      <c r="AL22" s="51">
        <f t="shared" si="27"/>
        <v>1</v>
      </c>
      <c r="AM22" s="51">
        <f t="shared" si="28"/>
        <v>200000</v>
      </c>
      <c r="AN22" s="51">
        <f t="shared" si="29"/>
        <v>200000</v>
      </c>
      <c r="AO22" s="54"/>
      <c r="AP22" s="54"/>
      <c r="AQ22" s="85">
        <f t="shared" si="30"/>
        <v>3</v>
      </c>
      <c r="AR22" s="85">
        <f>SUMIF($F$6:$AN$6,AR$6,F22:AN22)/$AQ$22</f>
        <v>200000</v>
      </c>
      <c r="AS22" s="80">
        <f t="shared" si="52"/>
        <v>600000</v>
      </c>
      <c r="AT22" t="b">
        <f t="shared" si="32"/>
        <v>1</v>
      </c>
      <c r="AU22" s="51">
        <f t="shared" si="33"/>
        <v>5</v>
      </c>
      <c r="AV22" s="51">
        <f t="shared" si="34"/>
        <v>240000</v>
      </c>
      <c r="AW22" s="51">
        <f t="shared" si="35"/>
        <v>1200000</v>
      </c>
      <c r="AX22" t="b">
        <f t="shared" si="36"/>
        <v>1</v>
      </c>
      <c r="AY22" s="51">
        <f t="shared" si="37"/>
        <v>6</v>
      </c>
      <c r="AZ22" s="51">
        <f t="shared" si="38"/>
        <v>288000</v>
      </c>
      <c r="BA22" s="51">
        <f t="shared" si="39"/>
        <v>1728000</v>
      </c>
      <c r="BB22" t="b">
        <f t="shared" si="40"/>
        <v>1</v>
      </c>
      <c r="BC22" s="51">
        <f t="shared" si="41"/>
        <v>7.199999999999999</v>
      </c>
      <c r="BD22" s="51">
        <f t="shared" si="42"/>
        <v>360000</v>
      </c>
      <c r="BE22" s="51">
        <f t="shared" si="43"/>
        <v>2591999.9999999995</v>
      </c>
      <c r="BF22" t="b">
        <f t="shared" si="44"/>
        <v>1</v>
      </c>
      <c r="BG22" s="51">
        <f t="shared" si="45"/>
        <v>9</v>
      </c>
      <c r="BH22" s="51">
        <f t="shared" si="46"/>
        <v>450000</v>
      </c>
      <c r="BI22" s="51">
        <f t="shared" si="53"/>
        <v>4050000</v>
      </c>
      <c r="BJ22" t="b">
        <f t="shared" si="47"/>
        <v>1</v>
      </c>
      <c r="BK22" s="51">
        <f t="shared" si="48"/>
        <v>10.35</v>
      </c>
      <c r="BL22" s="51">
        <f t="shared" si="49"/>
        <v>540000</v>
      </c>
      <c r="BM22" s="51">
        <f t="shared" si="50"/>
        <v>5589000</v>
      </c>
      <c r="BN22" t="b">
        <f t="shared" si="51"/>
        <v>1</v>
      </c>
    </row>
    <row r="23" ht="18.75" customHeight="1" spans="2:65" x14ac:dyDescent="0.25">
      <c r="B23" s="5"/>
      <c r="C23" s="29"/>
      <c r="D23" s="29"/>
      <c r="E23" s="30"/>
      <c r="F23" s="51"/>
      <c r="G23" s="51"/>
      <c r="H23" s="51"/>
      <c r="I23" s="54"/>
      <c r="J23" s="51"/>
      <c r="K23" s="51"/>
      <c r="L23" s="51"/>
      <c r="M23" s="54"/>
      <c r="N23" s="51"/>
      <c r="O23" s="51"/>
      <c r="P23" s="51"/>
      <c r="Q23" s="54"/>
      <c r="R23" s="51"/>
      <c r="S23" s="51"/>
      <c r="T23" s="51"/>
      <c r="U23" s="54"/>
      <c r="V23" s="51"/>
      <c r="W23" s="51"/>
      <c r="X23" s="51"/>
      <c r="Y23" s="54"/>
      <c r="Z23" s="51"/>
      <c r="AA23" s="51"/>
      <c r="AB23" s="51"/>
      <c r="AC23" s="54"/>
      <c r="AD23" s="51"/>
      <c r="AE23" s="51"/>
      <c r="AF23" s="51"/>
      <c r="AG23" s="54"/>
      <c r="AH23" s="51"/>
      <c r="AI23" s="51"/>
      <c r="AJ23" s="51"/>
      <c r="AK23" s="54"/>
      <c r="AL23" s="51"/>
      <c r="AM23" s="51"/>
      <c r="AN23" s="51"/>
      <c r="AO23" s="54"/>
      <c r="AP23" s="54"/>
      <c r="AQ23" s="85">
        <f>SUMIF(F19:AN19,AQ19,F23:AN23)</f>
        <v>0</v>
      </c>
      <c r="AR23" s="85">
        <f>SUMIF($F$6:$AN$6,AR$6,F23:AN23)/$AR$8</f>
        <v>0</v>
      </c>
      <c r="AS23" s="80"/>
      <c r="AU23" s="51"/>
      <c r="AV23" s="51"/>
      <c r="AW23" s="51"/>
      <c r="AY23" s="51"/>
      <c r="AZ23" s="51"/>
      <c r="BA23" s="51"/>
      <c r="BC23" s="51"/>
      <c r="BD23" s="51"/>
      <c r="BE23" s="51"/>
      <c r="BG23" s="51"/>
      <c r="BH23" s="51"/>
      <c r="BI23" s="51"/>
      <c r="BK23" s="51"/>
      <c r="BL23" s="51"/>
      <c r="BM23" s="51"/>
    </row>
    <row r="24" ht="18.75" customHeight="1" spans="2:65" x14ac:dyDescent="0.25">
      <c r="B24" s="5"/>
      <c r="C24" s="29"/>
      <c r="D24" s="29"/>
      <c r="E24" s="30"/>
      <c r="F24" s="51"/>
      <c r="G24" s="51"/>
      <c r="H24" s="51"/>
      <c r="I24" s="54"/>
      <c r="J24" s="51"/>
      <c r="K24" s="51"/>
      <c r="L24" s="51"/>
      <c r="M24" s="54"/>
      <c r="N24" s="51"/>
      <c r="O24" s="51"/>
      <c r="P24" s="51"/>
      <c r="Q24" s="54"/>
      <c r="R24" s="51"/>
      <c r="S24" s="51"/>
      <c r="T24" s="51"/>
      <c r="U24" s="54"/>
      <c r="V24" s="51"/>
      <c r="W24" s="51"/>
      <c r="X24" s="51"/>
      <c r="Y24" s="54"/>
      <c r="Z24" s="51"/>
      <c r="AA24" s="51"/>
      <c r="AB24" s="51"/>
      <c r="AC24" s="54"/>
      <c r="AD24" s="51"/>
      <c r="AE24" s="51"/>
      <c r="AF24" s="51"/>
      <c r="AG24" s="54"/>
      <c r="AH24" s="51"/>
      <c r="AI24" s="51"/>
      <c r="AJ24" s="51"/>
      <c r="AK24" s="54"/>
      <c r="AL24" s="51"/>
      <c r="AM24" s="51"/>
      <c r="AN24" s="51"/>
      <c r="AO24" s="54"/>
      <c r="AP24" s="54"/>
      <c r="AQ24" s="85">
        <f>SUMIF(F20:AN20,AQ20,F24:AN24)</f>
        <v>0</v>
      </c>
      <c r="AR24" s="85">
        <f>SUMIF($F$6:$AN$6,AR$6,F24:AN24)/$AR$8</f>
        <v>0</v>
      </c>
      <c r="AS24" s="80"/>
      <c r="AU24" s="51"/>
      <c r="AV24" s="51"/>
      <c r="AW24" s="51"/>
      <c r="AY24" s="51"/>
      <c r="AZ24" s="51"/>
      <c r="BA24" s="51"/>
      <c r="BC24" s="51"/>
      <c r="BD24" s="51"/>
      <c r="BE24" s="51"/>
      <c r="BG24" s="51"/>
      <c r="BH24" s="51"/>
      <c r="BI24" s="51"/>
      <c r="BK24" s="51"/>
      <c r="BL24" s="51"/>
      <c r="BM24" s="51"/>
    </row>
    <row r="25" ht="18.75" customHeight="1" spans="2:65" x14ac:dyDescent="0.25">
      <c r="B25" s="5"/>
      <c r="C25" s="29"/>
      <c r="D25" s="29"/>
      <c r="E25" s="30"/>
      <c r="F25" s="51"/>
      <c r="G25" s="51"/>
      <c r="H25" s="51"/>
      <c r="I25" s="54"/>
      <c r="J25" s="51"/>
      <c r="K25" s="51"/>
      <c r="L25" s="51"/>
      <c r="M25" s="54"/>
      <c r="N25" s="51"/>
      <c r="O25" s="51"/>
      <c r="P25" s="51"/>
      <c r="Q25" s="54"/>
      <c r="R25" s="51"/>
      <c r="S25" s="51"/>
      <c r="T25" s="51"/>
      <c r="U25" s="54"/>
      <c r="V25" s="51"/>
      <c r="W25" s="51"/>
      <c r="X25" s="51"/>
      <c r="Y25" s="54"/>
      <c r="Z25" s="51"/>
      <c r="AA25" s="51"/>
      <c r="AB25" s="51"/>
      <c r="AC25" s="54"/>
      <c r="AD25" s="51"/>
      <c r="AE25" s="51"/>
      <c r="AF25" s="51"/>
      <c r="AG25" s="54"/>
      <c r="AH25" s="51"/>
      <c r="AI25" s="51"/>
      <c r="AJ25" s="51"/>
      <c r="AK25" s="54"/>
      <c r="AL25" s="51"/>
      <c r="AM25" s="51"/>
      <c r="AN25" s="51"/>
      <c r="AO25" s="54"/>
      <c r="AP25" s="54"/>
      <c r="AQ25" s="85">
        <f>SUMIF(F21:AN21,AQ21,F25:AN25)</f>
        <v>0</v>
      </c>
      <c r="AR25" s="85">
        <f>SUMIF($F$6:$AN$6,AR$6,F25:AN25)/$AR$8</f>
        <v>0</v>
      </c>
      <c r="AS25" s="80"/>
      <c r="AU25" s="51"/>
      <c r="AV25" s="51"/>
      <c r="AW25" s="51"/>
      <c r="AY25" s="51"/>
      <c r="AZ25" s="51"/>
      <c r="BA25" s="51"/>
      <c r="BC25" s="51"/>
      <c r="BD25" s="51"/>
      <c r="BE25" s="51"/>
      <c r="BG25" s="51"/>
      <c r="BH25" s="51"/>
      <c r="BI25" s="51"/>
      <c r="BK25" s="51"/>
      <c r="BL25" s="51"/>
      <c r="BM25" s="51"/>
    </row>
    <row r="26" ht="18.75" customHeight="1" spans="2:65" x14ac:dyDescent="0.25">
      <c r="B26" s="5"/>
      <c r="C26" s="29"/>
      <c r="D26" s="29"/>
      <c r="E26" s="30"/>
      <c r="F26" s="51"/>
      <c r="G26" s="51"/>
      <c r="H26" s="51"/>
      <c r="I26" s="54"/>
      <c r="J26" s="51"/>
      <c r="K26" s="51"/>
      <c r="L26" s="51"/>
      <c r="M26" s="54"/>
      <c r="N26" s="51"/>
      <c r="O26" s="51"/>
      <c r="P26" s="51"/>
      <c r="Q26" s="54"/>
      <c r="R26" s="51"/>
      <c r="S26" s="51"/>
      <c r="T26" s="51"/>
      <c r="U26" s="54"/>
      <c r="V26" s="51"/>
      <c r="W26" s="51"/>
      <c r="X26" s="51"/>
      <c r="Y26" s="54"/>
      <c r="Z26" s="51"/>
      <c r="AA26" s="51"/>
      <c r="AB26" s="51"/>
      <c r="AC26" s="54"/>
      <c r="AD26" s="51"/>
      <c r="AE26" s="51"/>
      <c r="AF26" s="51"/>
      <c r="AG26" s="54"/>
      <c r="AH26" s="51"/>
      <c r="AI26" s="51"/>
      <c r="AJ26" s="51"/>
      <c r="AK26" s="54"/>
      <c r="AL26" s="51"/>
      <c r="AM26" s="51"/>
      <c r="AN26" s="51"/>
      <c r="AO26" s="54"/>
      <c r="AP26" s="54"/>
      <c r="AQ26" s="85">
        <f>SUMIF(F22:AN22,AQ22,F26:AN26)</f>
        <v>0</v>
      </c>
      <c r="AR26" s="85">
        <f>SUMIF($F$6:$AN$6,AR$6,F26:AN26)/$AR$8</f>
        <v>0</v>
      </c>
      <c r="AS26" s="80"/>
      <c r="AU26" s="51"/>
      <c r="AV26" s="51"/>
      <c r="AW26" s="51"/>
      <c r="AY26" s="51"/>
      <c r="AZ26" s="51"/>
      <c r="BA26" s="51"/>
      <c r="BC26" s="51"/>
      <c r="BD26" s="51"/>
      <c r="BE26" s="51"/>
      <c r="BG26" s="51"/>
      <c r="BH26" s="51"/>
      <c r="BI26" s="51"/>
      <c r="BK26" s="51"/>
      <c r="BL26" s="51"/>
      <c r="BM26" s="51"/>
    </row>
    <row r="27" ht="18.75" customHeight="1" spans="2:65" x14ac:dyDescent="0.25">
      <c r="B27" s="5"/>
      <c r="C27" s="29"/>
      <c r="D27" s="29"/>
      <c r="E27" s="30"/>
      <c r="F27" s="51"/>
      <c r="G27" s="51"/>
      <c r="H27" s="51"/>
      <c r="I27" s="54"/>
      <c r="J27" s="51"/>
      <c r="K27" s="51"/>
      <c r="L27" s="51"/>
      <c r="M27" s="54"/>
      <c r="N27" s="51"/>
      <c r="O27" s="51"/>
      <c r="P27" s="51"/>
      <c r="Q27" s="54"/>
      <c r="R27" s="51"/>
      <c r="S27" s="51"/>
      <c r="T27" s="51"/>
      <c r="U27" s="54"/>
      <c r="V27" s="51"/>
      <c r="W27" s="51"/>
      <c r="X27" s="51"/>
      <c r="Y27" s="54"/>
      <c r="Z27" s="51"/>
      <c r="AA27" s="51"/>
      <c r="AB27" s="51"/>
      <c r="AC27" s="54"/>
      <c r="AD27" s="51"/>
      <c r="AE27" s="51"/>
      <c r="AF27" s="51"/>
      <c r="AG27" s="54"/>
      <c r="AH27" s="51"/>
      <c r="AI27" s="51"/>
      <c r="AJ27" s="51"/>
      <c r="AK27" s="54"/>
      <c r="AL27" s="51"/>
      <c r="AM27" s="51"/>
      <c r="AN27" s="51"/>
      <c r="AO27" s="54"/>
      <c r="AP27" s="54"/>
      <c r="AQ27" s="85">
        <f>SUMIF(F23:AN23,AQ23,F27:AN27)</f>
        <v>0</v>
      </c>
      <c r="AR27" s="85">
        <f>SUMIF($F$6:$AN$6,AR$6,F27:AN27)/$AR$8</f>
        <v>0</v>
      </c>
      <c r="AS27" s="80"/>
      <c r="AU27" s="51"/>
      <c r="AV27" s="51"/>
      <c r="AW27" s="51"/>
      <c r="AY27" s="51"/>
      <c r="AZ27" s="51"/>
      <c r="BA27" s="51"/>
      <c r="BC27" s="51"/>
      <c r="BD27" s="51"/>
      <c r="BE27" s="51"/>
      <c r="BG27" s="51"/>
      <c r="BH27" s="51"/>
      <c r="BI27" s="51"/>
      <c r="BK27" s="51"/>
      <c r="BL27" s="51"/>
      <c r="BM27" s="51"/>
    </row>
    <row r="28" ht="18.75" customHeight="1" spans="2:65" x14ac:dyDescent="0.25">
      <c r="B28" s="5" t="s">
        <v>57</v>
      </c>
      <c r="C28" s="29"/>
      <c r="D28" s="29">
        <v>0</v>
      </c>
      <c r="E28" s="30"/>
      <c r="F28" s="51"/>
      <c r="G28" s="51"/>
      <c r="H28" s="51"/>
      <c r="I28" s="54"/>
      <c r="J28" s="51"/>
      <c r="K28" s="51"/>
      <c r="L28" s="51"/>
      <c r="M28" s="54"/>
      <c r="N28" s="51"/>
      <c r="O28" s="51"/>
      <c r="P28" s="51"/>
      <c r="Q28" s="54"/>
      <c r="R28" s="51"/>
      <c r="S28" s="51"/>
      <c r="T28" s="51"/>
      <c r="U28" s="54"/>
      <c r="V28" s="51"/>
      <c r="W28" s="51"/>
      <c r="X28" s="51"/>
      <c r="Y28" s="54"/>
      <c r="Z28" s="51"/>
      <c r="AA28" s="51"/>
      <c r="AB28" s="51"/>
      <c r="AC28" s="54"/>
      <c r="AD28" s="51"/>
      <c r="AE28" s="51"/>
      <c r="AF28" s="51"/>
      <c r="AG28" s="54"/>
      <c r="AH28" s="51"/>
      <c r="AI28" s="51"/>
      <c r="AJ28" s="51"/>
      <c r="AK28" s="54"/>
      <c r="AL28" s="51"/>
      <c r="AM28" s="51"/>
      <c r="AN28" s="51"/>
      <c r="AO28" s="54"/>
      <c r="AP28" s="54"/>
      <c r="AQ28" s="54"/>
      <c r="AR28" s="54"/>
      <c r="AS28" s="54">
        <f>SUM(G28:G28)</f>
        <v>0</v>
      </c>
      <c r="AU28" s="51"/>
      <c r="AV28" s="51"/>
      <c r="AW28" s="51"/>
      <c r="AY28" s="51"/>
      <c r="AZ28" s="51"/>
      <c r="BA28" s="51"/>
      <c r="BC28" s="51"/>
      <c r="BD28" s="51"/>
      <c r="BE28" s="51"/>
      <c r="BG28" s="51"/>
      <c r="BH28" s="51"/>
      <c r="BI28" s="51"/>
      <c r="BK28" s="51"/>
      <c r="BL28" s="51"/>
      <c r="BM28" s="51"/>
    </row>
    <row r="29" ht="18.75" customHeight="1" spans="2:65" s="9" customFormat="1" x14ac:dyDescent="0.25">
      <c r="B29" s="34" t="s">
        <v>58</v>
      </c>
      <c r="C29" s="34"/>
      <c r="D29" s="34"/>
      <c r="E29" s="35"/>
      <c r="F29" s="81"/>
      <c r="G29" s="81"/>
      <c r="H29" s="81">
        <f>SUM(H10:H28)</f>
        <v>4105000</v>
      </c>
      <c r="I29" s="81"/>
      <c r="J29" s="81">
        <f>SUM(J10:J28)</f>
        <v>20</v>
      </c>
      <c r="K29" s="81"/>
      <c r="L29" s="81">
        <f>SUM(L10:L28)</f>
        <v>4105000</v>
      </c>
      <c r="M29" s="81"/>
      <c r="N29" s="81">
        <f>SUM(N10:N28)</f>
        <v>20</v>
      </c>
      <c r="O29" s="81"/>
      <c r="P29" s="81">
        <f>SUM(P10:P28)</f>
        <v>4105000</v>
      </c>
      <c r="Q29" s="81"/>
      <c r="R29" s="81">
        <f>SUM(R10:R28)</f>
        <v>20</v>
      </c>
      <c r="S29" s="81"/>
      <c r="T29" s="81">
        <f>SUM(T10:T28)</f>
        <v>4105000</v>
      </c>
      <c r="U29" s="81"/>
      <c r="V29" s="81">
        <f>SUM(V10:V28)</f>
        <v>20</v>
      </c>
      <c r="W29" s="81"/>
      <c r="X29" s="81">
        <f>SUM(X10:X28)</f>
        <v>4105000</v>
      </c>
      <c r="Y29" s="81"/>
      <c r="Z29" s="81">
        <f>SUM(Z10:Z28)</f>
        <v>20</v>
      </c>
      <c r="AA29" s="81"/>
      <c r="AB29" s="81">
        <f>SUM(AB10:AB28)</f>
        <v>4105000</v>
      </c>
      <c r="AC29" s="81"/>
      <c r="AD29" s="81">
        <f>SUM(AD10:AD28)</f>
        <v>21</v>
      </c>
      <c r="AE29" s="81"/>
      <c r="AF29" s="81">
        <f>SUM(AF10:AF28)</f>
        <v>4305000</v>
      </c>
      <c r="AG29" s="81"/>
      <c r="AH29" s="81">
        <f>SUM(AH10:AH28)</f>
        <v>21</v>
      </c>
      <c r="AI29" s="81"/>
      <c r="AJ29" s="81">
        <f>SUM(AJ10:AJ28)</f>
        <v>4305000</v>
      </c>
      <c r="AK29" s="81"/>
      <c r="AL29" s="81">
        <f>SUM(AL10:AL28)</f>
        <v>21</v>
      </c>
      <c r="AM29" s="81"/>
      <c r="AN29" s="81">
        <f>SUM(AN10:AN28)</f>
        <v>4305000</v>
      </c>
      <c r="AO29" s="81"/>
      <c r="AP29" s="81"/>
      <c r="AQ29" s="81">
        <f>SUM(AQ10:AQ28)</f>
        <v>183</v>
      </c>
      <c r="AR29" s="81"/>
      <c r="AS29" s="81">
        <f>SUM(AS10:AS28)/3</f>
        <v>12515000</v>
      </c>
      <c r="AT29" s="81"/>
      <c r="AU29" s="81">
        <f>SUM(AU10:AU28)</f>
        <v>305</v>
      </c>
      <c r="AV29" s="81"/>
      <c r="AW29" s="81">
        <f>SUM(AW10:AW28)</f>
        <v>75090000</v>
      </c>
      <c r="AY29" s="81">
        <f>SUM(AY10:AY28)</f>
        <v>366</v>
      </c>
      <c r="AZ29" s="81"/>
      <c r="BA29" s="81">
        <f>SUM(BA10:BA28)/1.2</f>
        <v>90108000</v>
      </c>
      <c r="BC29" s="81">
        <f>SUM(BC10:BC28)</f>
        <v>439.20000000000005</v>
      </c>
      <c r="BD29" s="81"/>
      <c r="BE29" s="81">
        <f>SUM(BE10:BE28)</f>
        <v>162194399.99999997</v>
      </c>
      <c r="BG29" s="81">
        <f>SUM(BG10:BG28)</f>
        <v>549</v>
      </c>
      <c r="BH29" s="81"/>
      <c r="BI29" s="81">
        <f>SUM(BI10:BI28)</f>
        <v>253428749.99999997</v>
      </c>
      <c r="BK29" s="81">
        <f>SUM(BK10:BK28)</f>
        <v>631.3499999999999</v>
      </c>
      <c r="BL29" s="81"/>
      <c r="BM29" s="81">
        <f>SUM(BM10:BM28)</f>
        <v>349731674.99999994</v>
      </c>
    </row>
    <row r="30" ht="9.75" customHeight="1" spans="2:65" x14ac:dyDescent="0.25">
      <c r="B30" s="9"/>
      <c r="C30" s="30"/>
      <c r="D30" s="30"/>
      <c r="E30" s="30"/>
      <c r="F30" s="54"/>
      <c r="G30" s="54"/>
      <c r="H30" s="54"/>
      <c r="I30" s="54"/>
      <c r="J30" s="54"/>
      <c r="K30" s="54"/>
      <c r="L30" s="54"/>
      <c r="M30" s="54"/>
      <c r="N30" s="54"/>
      <c r="O30" s="54"/>
      <c r="P30" s="54"/>
      <c r="Q30" s="54"/>
      <c r="R30" s="54"/>
      <c r="S30" s="54"/>
      <c r="T30" s="54"/>
      <c r="U30" s="54"/>
      <c r="V30" s="54"/>
      <c r="W30" s="54"/>
      <c r="X30" s="54"/>
      <c r="Y30" s="54"/>
      <c r="Z30" s="54"/>
      <c r="AA30" s="54"/>
      <c r="AB30" s="54"/>
      <c r="AC30" s="54"/>
      <c r="AD30" s="54"/>
      <c r="AE30" s="54"/>
      <c r="AF30" s="54"/>
      <c r="AG30" s="54"/>
      <c r="AH30" s="54"/>
      <c r="AI30" s="54"/>
      <c r="AJ30" s="54"/>
      <c r="AK30" s="54"/>
      <c r="AL30" s="54"/>
      <c r="AM30" s="54"/>
      <c r="AN30" s="54"/>
      <c r="AO30" s="54"/>
      <c r="AP30" s="54"/>
      <c r="AQ30" s="54"/>
      <c r="AR30" s="54"/>
      <c r="AS30" s="54"/>
      <c r="AU30" s="54"/>
      <c r="AV30" s="54"/>
      <c r="AW30" s="54"/>
      <c r="AY30" s="54"/>
      <c r="AZ30" s="54"/>
      <c r="BA30" s="54"/>
      <c r="BC30" s="54"/>
      <c r="BD30" s="54"/>
      <c r="BE30" s="54"/>
      <c r="BG30" s="54"/>
      <c r="BH30" s="54"/>
      <c r="BI30" s="54"/>
      <c r="BK30" s="54"/>
      <c r="BL30" s="54"/>
      <c r="BM30" s="54"/>
    </row>
    <row r="31" ht="18.75" customHeight="1" spans="2:65" x14ac:dyDescent="0.25">
      <c r="B31" s="9"/>
      <c r="C31" s="30"/>
      <c r="D31" s="28"/>
      <c r="E31" s="28"/>
      <c r="F31" s="28"/>
      <c r="G31" s="54"/>
      <c r="H31" s="54"/>
      <c r="I31" s="54"/>
      <c r="J31" s="78">
        <f>$J$8</f>
        <v>1</v>
      </c>
      <c r="K31" s="78">
        <f>$K$8</f>
        <v>1</v>
      </c>
      <c r="L31" s="77"/>
      <c r="M31" s="77"/>
      <c r="N31" s="78">
        <f>$N$8</f>
        <v>1</v>
      </c>
      <c r="O31" s="78">
        <f>$O$8</f>
        <v>1</v>
      </c>
      <c r="P31" s="77"/>
      <c r="Q31" s="77"/>
      <c r="R31" s="78">
        <f>$R$8</f>
        <v>1</v>
      </c>
      <c r="S31" s="78">
        <f>$S$8</f>
        <v>1</v>
      </c>
      <c r="T31" s="77"/>
      <c r="U31" s="77"/>
      <c r="V31" s="78">
        <f>$V$8</f>
        <v>1</v>
      </c>
      <c r="W31" s="78">
        <f>$W$8</f>
        <v>1</v>
      </c>
      <c r="X31" s="77"/>
      <c r="Y31" s="77"/>
      <c r="Z31" s="78">
        <f>$Z$8</f>
        <v>1</v>
      </c>
      <c r="AA31" s="78">
        <f>$AA$8</f>
        <v>1</v>
      </c>
      <c r="AB31" s="77"/>
      <c r="AC31" s="77"/>
      <c r="AD31" s="78">
        <f>$AD$8</f>
        <v>1</v>
      </c>
      <c r="AE31" s="78">
        <f>$AE$8</f>
        <v>1</v>
      </c>
      <c r="AF31" s="77"/>
      <c r="AG31" s="77"/>
      <c r="AH31" s="78">
        <f>$AH$8</f>
        <v>1</v>
      </c>
      <c r="AI31" s="78">
        <f>$AI$8</f>
        <v>1</v>
      </c>
      <c r="AJ31" s="77"/>
      <c r="AK31" s="77"/>
      <c r="AL31" s="78">
        <f>$AL$8</f>
        <v>1</v>
      </c>
      <c r="AM31" s="78">
        <f>$AM$8</f>
        <v>1</v>
      </c>
      <c r="AN31" s="77"/>
      <c r="AO31" s="77"/>
      <c r="AP31" s="54"/>
      <c r="AQ31" s="54"/>
      <c r="AR31" s="54"/>
      <c r="AS31" s="54"/>
      <c r="AU31" s="78">
        <f>$AU$8</f>
        <v>1.25</v>
      </c>
      <c r="AV31" s="78">
        <f>$AV$8</f>
        <v>1.2</v>
      </c>
      <c r="AW31" s="54"/>
      <c r="AY31" s="78">
        <f>$AY$8</f>
        <v>1.2</v>
      </c>
      <c r="AZ31" s="78">
        <f>$AZ$8</f>
        <v>1.2</v>
      </c>
      <c r="BA31" s="77"/>
      <c r="BB31" s="28"/>
      <c r="BC31" s="78">
        <f>$BC$8</f>
        <v>1.2</v>
      </c>
      <c r="BD31" s="78">
        <f>$BD$8</f>
        <v>1.25</v>
      </c>
      <c r="BE31" s="77"/>
      <c r="BF31" s="28"/>
      <c r="BG31" s="78">
        <f>$BG$8</f>
        <v>1.25</v>
      </c>
      <c r="BH31" s="78">
        <f>$BH$8</f>
        <v>1.25</v>
      </c>
      <c r="BI31" s="77"/>
      <c r="BJ31" s="28"/>
      <c r="BK31" s="78">
        <f>$BK$8</f>
        <v>1.15</v>
      </c>
      <c r="BL31" s="78">
        <f>$BL$8</f>
        <v>1.2</v>
      </c>
      <c r="BM31" s="77"/>
    </row>
    <row r="32" ht="18.75" customHeight="1" spans="2:65" x14ac:dyDescent="0.25">
      <c r="B32" s="5">
        <v>2</v>
      </c>
      <c r="C32" s="29" t="s">
        <v>247</v>
      </c>
      <c r="D32" s="27"/>
      <c r="E32" s="28"/>
      <c r="F32" s="51"/>
      <c r="G32" s="51"/>
      <c r="H32" s="51"/>
      <c r="I32" s="54"/>
      <c r="J32" s="51"/>
      <c r="K32" s="51"/>
      <c r="L32" s="51"/>
      <c r="M32" s="54"/>
      <c r="N32" s="51"/>
      <c r="O32" s="51"/>
      <c r="P32" s="51"/>
      <c r="Q32" s="54"/>
      <c r="R32" s="51"/>
      <c r="S32" s="51"/>
      <c r="T32" s="51"/>
      <c r="U32" s="54"/>
      <c r="V32" s="51"/>
      <c r="W32" s="51"/>
      <c r="X32" s="51"/>
      <c r="Y32" s="54"/>
      <c r="Z32" s="51"/>
      <c r="AA32" s="51"/>
      <c r="AB32" s="51"/>
      <c r="AC32" s="54"/>
      <c r="AD32" s="51"/>
      <c r="AE32" s="51"/>
      <c r="AF32" s="51"/>
      <c r="AG32" s="54"/>
      <c r="AH32" s="51"/>
      <c r="AI32" s="51"/>
      <c r="AJ32" s="51"/>
      <c r="AK32" s="54"/>
      <c r="AL32" s="51"/>
      <c r="AM32" s="51"/>
      <c r="AN32" s="51"/>
      <c r="AO32" s="54"/>
      <c r="AP32" s="54"/>
      <c r="AQ32" s="54"/>
      <c r="AR32" s="54"/>
      <c r="AS32" s="54"/>
      <c r="AU32" s="51"/>
      <c r="AV32" s="51"/>
      <c r="AW32" s="51"/>
      <c r="AY32" s="51"/>
      <c r="AZ32" s="51"/>
      <c r="BA32" s="51"/>
      <c r="BC32" s="51"/>
      <c r="BD32" s="51"/>
      <c r="BE32" s="51"/>
      <c r="BG32" s="51"/>
      <c r="BH32" s="51"/>
      <c r="BI32" s="51"/>
      <c r="BK32" s="51"/>
      <c r="BL32" s="51"/>
      <c r="BM32" s="51"/>
    </row>
    <row r="33" ht="18.75" customHeight="1" spans="2:65" x14ac:dyDescent="0.25">
      <c r="B33" s="5" t="s">
        <v>60</v>
      </c>
      <c r="C33" s="29"/>
      <c r="D33" s="29" t="s">
        <v>248</v>
      </c>
      <c r="E33" s="30"/>
      <c r="F33" s="51"/>
      <c r="G33" s="51"/>
      <c r="H33" s="51">
        <f>'B.I Sales - P1'!H37*85%</f>
        <v>0</v>
      </c>
      <c r="I33" s="54"/>
      <c r="J33" s="51">
        <f>F33*$J$31</f>
        <v>0</v>
      </c>
      <c r="K33" s="51">
        <f>G33*$K$31</f>
        <v>0</v>
      </c>
      <c r="L33" s="51">
        <f>'B.I Sales - P1'!L37*85%</f>
        <v>0</v>
      </c>
      <c r="M33" s="54"/>
      <c r="N33" s="51">
        <f>J33*$N$31</f>
        <v>0</v>
      </c>
      <c r="O33" s="51">
        <f>K33*$O$31</f>
        <v>0</v>
      </c>
      <c r="P33" s="51">
        <f>'B.I Sales - P1'!P37*85%</f>
        <v>0</v>
      </c>
      <c r="Q33" s="54"/>
      <c r="R33" s="51">
        <f>N33*$R$31</f>
        <v>0</v>
      </c>
      <c r="S33" s="51">
        <f>O33*$S$31</f>
        <v>0</v>
      </c>
      <c r="T33" s="51">
        <f>'B.I Sales - P1'!T37*85%</f>
        <v>0</v>
      </c>
      <c r="U33" s="54"/>
      <c r="V33" s="51">
        <f>R33*$V$31</f>
        <v>0</v>
      </c>
      <c r="W33" s="51">
        <f>S33*$W$31</f>
        <v>0</v>
      </c>
      <c r="X33" s="51">
        <f>'B.I Sales - P1'!X37*85%</f>
        <v>0</v>
      </c>
      <c r="Y33" s="54"/>
      <c r="Z33" s="51">
        <f>V33*$Z$31</f>
        <v>0</v>
      </c>
      <c r="AA33" s="51">
        <f>W33*$AA$31</f>
        <v>0</v>
      </c>
      <c r="AB33" s="51">
        <f>'B.I Sales - P1'!AB37*85%</f>
        <v>0</v>
      </c>
      <c r="AC33" s="54"/>
      <c r="AD33" s="51">
        <f>Z33*$AD$31</f>
        <v>0</v>
      </c>
      <c r="AE33" s="51">
        <f>AA33*$AE$31</f>
        <v>0</v>
      </c>
      <c r="AF33" s="51">
        <f>'B.I Sales - P1'!AF37*85%</f>
        <v>0</v>
      </c>
      <c r="AG33" s="54"/>
      <c r="AH33" s="51">
        <f>AD33*$AH$31</f>
        <v>0</v>
      </c>
      <c r="AI33" s="51">
        <f>AE33*$AI$31</f>
        <v>0</v>
      </c>
      <c r="AJ33" s="51">
        <f>'B.I Sales - P1'!AJ37*85%</f>
        <v>0</v>
      </c>
      <c r="AK33" s="54"/>
      <c r="AL33" s="51">
        <f>AH33*$AL$31</f>
        <v>0</v>
      </c>
      <c r="AM33" s="51">
        <f>AI33*$AM$31</f>
        <v>0</v>
      </c>
      <c r="AN33" s="51">
        <f>'B.I Sales - P1'!AN37*85%</f>
        <v>0</v>
      </c>
      <c r="AO33" s="54"/>
      <c r="AP33" s="54"/>
      <c r="AQ33" s="85">
        <f>SUMIF($F$6:$AO$6,$AQ$6,F33:AO33)</f>
        <v>0</v>
      </c>
      <c r="AR33" s="85">
        <f>SUMIF($F$6:$AO$6,$AR$6,F33:AO33)/AR8</f>
        <v>0</v>
      </c>
      <c r="AS33" s="80">
        <f>H33+L33+P33+T33+X33+AB33+AF33+AJ33+AN33</f>
        <v>0</v>
      </c>
      <c r="AT33" t="b">
        <f>(AQ33*AR33)=AS33</f>
        <v>1</v>
      </c>
      <c r="AU33" s="51">
        <f>(AQ33/$AR$8*12)*$AU$31</f>
        <v>0</v>
      </c>
      <c r="AV33" s="51">
        <f>AR33*$AV$31</f>
        <v>0</v>
      </c>
      <c r="AW33" s="51" t="e">
        <f>'B.I Sales - P1'!#REF!*83%</f>
        <v>#REF!</v>
      </c>
      <c r="AY33" s="51">
        <f>AU33*$AY$31</f>
        <v>0</v>
      </c>
      <c r="AZ33" s="51">
        <f>AV33*$AZ$31</f>
        <v>0</v>
      </c>
      <c r="BA33" s="51" t="e">
        <f>'B.I Sales - P1'!#REF!*82%</f>
        <v>#REF!</v>
      </c>
      <c r="BC33" s="51">
        <f>AY33*$BC$31</f>
        <v>0</v>
      </c>
      <c r="BD33" s="51">
        <f>AZ33*$BD$31</f>
        <v>0</v>
      </c>
      <c r="BE33" s="51" t="e">
        <f>'B.I Sales - P1'!#REF!*81%</f>
        <v>#REF!</v>
      </c>
      <c r="BG33" s="51">
        <f>BC33*$BG$31</f>
        <v>0</v>
      </c>
      <c r="BH33" s="51">
        <f>BD33*$BH$31</f>
        <v>0</v>
      </c>
      <c r="BI33" s="51" t="e">
        <f>'B.I Sales - P1'!#REF!*85%</f>
        <v>#REF!</v>
      </c>
      <c r="BK33" s="51">
        <f>BG33*$BK$31</f>
        <v>0</v>
      </c>
      <c r="BL33" s="51">
        <f>BH33*$BL$31</f>
        <v>0</v>
      </c>
      <c r="BM33" s="51" t="e">
        <f>'B.I Sales - P1'!#REF!*85%</f>
        <v>#REF!</v>
      </c>
    </row>
    <row r="34" ht="18.75" customHeight="1" spans="2:66" x14ac:dyDescent="0.25">
      <c r="B34" s="5" t="s">
        <v>61</v>
      </c>
      <c r="C34" s="29"/>
      <c r="D34" s="29" t="s">
        <v>249</v>
      </c>
      <c r="E34" s="30"/>
      <c r="F34" s="51"/>
      <c r="G34" s="51"/>
      <c r="H34" s="51">
        <f>SUM('4. P&amp;L'!C11:C13)*3%/9</f>
        <v>36237.47231162451</v>
      </c>
      <c r="I34" s="54"/>
      <c r="J34" s="51">
        <f>F34*$J$31</f>
        <v>0</v>
      </c>
      <c r="K34" s="51">
        <f>G34*$K$31</f>
        <v>0</v>
      </c>
      <c r="L34" s="51">
        <f>H34</f>
        <v>36237.47231162451</v>
      </c>
      <c r="M34" s="54"/>
      <c r="N34" s="51">
        <f>J34*$N$31</f>
        <v>0</v>
      </c>
      <c r="O34" s="51">
        <f>K34*$O$31</f>
        <v>0</v>
      </c>
      <c r="P34" s="51">
        <f>L34</f>
        <v>36237.47231162451</v>
      </c>
      <c r="Q34" s="54"/>
      <c r="R34" s="51">
        <f>N34*$R$31</f>
        <v>0</v>
      </c>
      <c r="S34" s="51">
        <f>O34*$S$31</f>
        <v>0</v>
      </c>
      <c r="T34" s="51">
        <f>P34</f>
        <v>36237.47231162451</v>
      </c>
      <c r="U34" s="54"/>
      <c r="V34" s="51">
        <f>R34*$V$31</f>
        <v>0</v>
      </c>
      <c r="W34" s="51">
        <f>S34*$W$31</f>
        <v>0</v>
      </c>
      <c r="X34" s="51">
        <f>T34</f>
        <v>36237.47231162451</v>
      </c>
      <c r="Y34" s="54"/>
      <c r="Z34" s="51">
        <f>V34*$Z$31</f>
        <v>0</v>
      </c>
      <c r="AA34" s="51">
        <f>W34*$AA$31</f>
        <v>0</v>
      </c>
      <c r="AB34" s="51">
        <f>X34</f>
        <v>36237.47231162451</v>
      </c>
      <c r="AC34" s="54"/>
      <c r="AD34" s="51">
        <f>Z34*$AD$31</f>
        <v>0</v>
      </c>
      <c r="AE34" s="51">
        <f>AA34*$AE$31</f>
        <v>0</v>
      </c>
      <c r="AF34" s="51">
        <f>AB34</f>
        <v>36237.47231162451</v>
      </c>
      <c r="AG34" s="54"/>
      <c r="AH34" s="51">
        <f>AD34*$AH$31</f>
        <v>0</v>
      </c>
      <c r="AI34" s="51">
        <f>AE34*$AI$31</f>
        <v>0</v>
      </c>
      <c r="AJ34" s="51">
        <f>AF34</f>
        <v>36237.47231162451</v>
      </c>
      <c r="AK34" s="54"/>
      <c r="AL34" s="51">
        <f>AH34*$AL$31</f>
        <v>0</v>
      </c>
      <c r="AM34" s="51">
        <f>AI34*$AM$31</f>
        <v>0</v>
      </c>
      <c r="AN34" s="51">
        <f>AJ34</f>
        <v>36237.47231162451</v>
      </c>
      <c r="AO34" s="54"/>
      <c r="AP34" s="54"/>
      <c r="AQ34" s="85">
        <f>SUMIF($F$6:$AO$6,$AQ$6,F34:AO34)</f>
        <v>0</v>
      </c>
      <c r="AR34" s="85">
        <f>SUMIF($F$6:$AO$6,$AR$6,F34:AO34)/AR8</f>
        <v>0</v>
      </c>
      <c r="AS34" s="80">
        <f>H34+L34+P34+T34+X34+AB34+AF34+AJ34+AN34</f>
        <v>326137.25080462056</v>
      </c>
      <c r="AT34" t="b">
        <f>(AQ34*AR34)=AS34</f>
        <v>0</v>
      </c>
      <c r="AU34" s="51">
        <f>(AQ34/$AR$8*12)*$AU$31</f>
        <v>0</v>
      </c>
      <c r="AV34" s="51">
        <f>AR34*$AV$31</f>
        <v>0</v>
      </c>
      <c r="AW34" s="51">
        <f>SUM('4. P&amp;L'!D11:D13)*AX34</f>
        <v>1092611.0788323777</v>
      </c>
      <c r="AX34" s="37">
        <v>0.03</v>
      </c>
      <c r="AY34" s="51">
        <f>AU34*$AY$31</f>
        <v>0</v>
      </c>
      <c r="AZ34" s="51">
        <f>AV34*$AZ$31</f>
        <v>0</v>
      </c>
      <c r="BA34" s="51">
        <f>SUM('4. P&amp;L'!E11:E13)*BB34</f>
        <v>6036676.210548887</v>
      </c>
      <c r="BB34" s="37">
        <v>0.0325</v>
      </c>
      <c r="BC34" s="51">
        <f>AY34*$BC$31</f>
        <v>0</v>
      </c>
      <c r="BD34" s="51">
        <f>AZ34*$BD$31</f>
        <v>0</v>
      </c>
      <c r="BE34" s="51">
        <f>SUM('4. P&amp;L'!F11:F13)*BF34</f>
        <v>9644751.14562311</v>
      </c>
      <c r="BF34" s="37">
        <v>0.0335</v>
      </c>
      <c r="BG34" s="51">
        <f>BC34*$BG$31</f>
        <v>0</v>
      </c>
      <c r="BH34" s="51">
        <f>BD34*$BH$31</f>
        <v>0</v>
      </c>
      <c r="BI34" s="51">
        <f>SUM('4. P&amp;L'!G11:G13)*BJ34</f>
        <v>13149970.405263742</v>
      </c>
      <c r="BJ34" s="37">
        <v>0.0315</v>
      </c>
      <c r="BK34" s="51">
        <f>BG34*$BK$31</f>
        <v>0</v>
      </c>
      <c r="BL34" s="51">
        <f>BH34*$BL$31</f>
        <v>0</v>
      </c>
      <c r="BM34" s="51" t="e">
        <f>SUM('4. P&amp;L'!#REF!)*BN34</f>
        <v>#REF!</v>
      </c>
      <c r="BN34" s="37">
        <v>0.0323</v>
      </c>
    </row>
    <row r="35" ht="18.75" customHeight="1" spans="2:65" x14ac:dyDescent="0.25">
      <c r="B35" s="5" t="s">
        <v>62</v>
      </c>
      <c r="C35" s="29"/>
      <c r="D35" s="29"/>
      <c r="E35" s="30"/>
      <c r="F35" s="51"/>
      <c r="G35" s="51"/>
      <c r="H35" s="51">
        <f t="shared" ref="H35:H36" si="54">F35*G35</f>
        <v>0</v>
      </c>
      <c r="I35" s="54"/>
      <c r="J35" s="51">
        <f>F35*$J$31</f>
        <v>0</v>
      </c>
      <c r="K35" s="51">
        <f>G35*$K$31</f>
        <v>0</v>
      </c>
      <c r="L35" s="51">
        <f>J35*K35</f>
        <v>0</v>
      </c>
      <c r="M35" s="54"/>
      <c r="N35" s="51">
        <f>J35*$N$31</f>
        <v>0</v>
      </c>
      <c r="O35" s="51">
        <f>K35*$O$31</f>
        <v>0</v>
      </c>
      <c r="P35" s="51">
        <f>N35*O35</f>
        <v>0</v>
      </c>
      <c r="Q35" s="54"/>
      <c r="R35" s="51">
        <f>N35*$R$31</f>
        <v>0</v>
      </c>
      <c r="S35" s="51">
        <f>O35*$S$31</f>
        <v>0</v>
      </c>
      <c r="T35" s="51">
        <f>R35*S35</f>
        <v>0</v>
      </c>
      <c r="U35" s="54"/>
      <c r="V35" s="51">
        <f>R35*$V$31</f>
        <v>0</v>
      </c>
      <c r="W35" s="51">
        <f>S35*$W$31</f>
        <v>0</v>
      </c>
      <c r="X35" s="51">
        <f>V35*W35</f>
        <v>0</v>
      </c>
      <c r="Y35" s="54"/>
      <c r="Z35" s="51">
        <f>V35*$Z$31</f>
        <v>0</v>
      </c>
      <c r="AA35" s="51">
        <f>W35*$AA$31</f>
        <v>0</v>
      </c>
      <c r="AB35" s="51">
        <f>Z35*AA35</f>
        <v>0</v>
      </c>
      <c r="AC35" s="54"/>
      <c r="AD35" s="51">
        <f>Z35*$AD$31</f>
        <v>0</v>
      </c>
      <c r="AE35" s="51">
        <f>AA35*$AE$31</f>
        <v>0</v>
      </c>
      <c r="AF35" s="51">
        <f>AD35*AE35</f>
        <v>0</v>
      </c>
      <c r="AG35" s="54"/>
      <c r="AH35" s="51">
        <f>AD35*$AH$31</f>
        <v>0</v>
      </c>
      <c r="AI35" s="51">
        <f>AE35*$AI$31</f>
        <v>0</v>
      </c>
      <c r="AJ35" s="51">
        <f>AH35*AI35</f>
        <v>0</v>
      </c>
      <c r="AK35" s="54"/>
      <c r="AL35" s="51">
        <f>AH35*$AL$31</f>
        <v>0</v>
      </c>
      <c r="AM35" s="51">
        <f>AI35*$AM$31</f>
        <v>0</v>
      </c>
      <c r="AN35" s="51">
        <f>AL35*AM35</f>
        <v>0</v>
      </c>
      <c r="AO35" s="54"/>
      <c r="AP35" s="54"/>
      <c r="AQ35" s="85">
        <f>SUMIF($F$6:$AO$6,$AQ$6,F35:AO35)</f>
        <v>0</v>
      </c>
      <c r="AR35" s="85">
        <f>SUMIF($F$6:$AO$6,$AR$6,F35:AO35)/AR8</f>
        <v>0</v>
      </c>
      <c r="AS35" s="80">
        <f>H35+L35+P35+T35+X35+AB35+AF35+AJ35+AN35</f>
        <v>0</v>
      </c>
      <c r="AT35" t="b">
        <f>(AQ35*AR35)=AS35</f>
        <v>1</v>
      </c>
      <c r="AU35" s="51">
        <f>(AQ35/$AR$8*12)*$AU$31</f>
        <v>0</v>
      </c>
      <c r="AV35" s="51">
        <f>AR35*$AV$31</f>
        <v>0</v>
      </c>
      <c r="AW35" s="51">
        <f>AU35*AV35</f>
        <v>0</v>
      </c>
      <c r="AY35" s="51">
        <f>AU35*$AY$31</f>
        <v>0</v>
      </c>
      <c r="AZ35" s="51">
        <f>AV35*$AZ$31</f>
        <v>0</v>
      </c>
      <c r="BA35" s="51">
        <f>AY35*AZ35</f>
        <v>0</v>
      </c>
      <c r="BC35" s="51">
        <f>AY35*$BC$31</f>
        <v>0</v>
      </c>
      <c r="BD35" s="51">
        <f>AZ35*$BD$31</f>
        <v>0</v>
      </c>
      <c r="BE35" s="51">
        <f>BC35*BD35</f>
        <v>0</v>
      </c>
      <c r="BG35" s="51">
        <f>BC35*$BG$31</f>
        <v>0</v>
      </c>
      <c r="BH35" s="51">
        <f>BD35*$BH$31</f>
        <v>0</v>
      </c>
      <c r="BI35" s="51">
        <f>BG35*BH35</f>
        <v>0</v>
      </c>
      <c r="BK35" s="51">
        <f>BG35*$BK$31</f>
        <v>0</v>
      </c>
      <c r="BL35" s="51">
        <f>BH35*$BL$31</f>
        <v>0</v>
      </c>
      <c r="BM35" s="51">
        <f>BK35*BL35</f>
        <v>0</v>
      </c>
    </row>
    <row r="36" ht="18.75" customHeight="1" spans="2:65" x14ac:dyDescent="0.25">
      <c r="B36" s="5" t="s">
        <v>63</v>
      </c>
      <c r="C36" s="29"/>
      <c r="D36" s="29"/>
      <c r="E36" s="30"/>
      <c r="F36" s="51"/>
      <c r="G36" s="51"/>
      <c r="H36" s="51">
        <f t="shared" si="54"/>
        <v>0</v>
      </c>
      <c r="I36" s="54"/>
      <c r="J36" s="51">
        <f>F36*$J$31</f>
        <v>0</v>
      </c>
      <c r="K36" s="51">
        <f>G36*$K$31</f>
        <v>0</v>
      </c>
      <c r="L36" s="51">
        <f>J36*K36</f>
        <v>0</v>
      </c>
      <c r="M36" s="54"/>
      <c r="N36" s="51">
        <f>J36*$N$31</f>
        <v>0</v>
      </c>
      <c r="O36" s="51">
        <f>K36*$O$31</f>
        <v>0</v>
      </c>
      <c r="P36" s="51">
        <f>N36*O36</f>
        <v>0</v>
      </c>
      <c r="Q36" s="54"/>
      <c r="R36" s="51">
        <f>N36*$R$31</f>
        <v>0</v>
      </c>
      <c r="S36" s="51">
        <f>O36*$S$31</f>
        <v>0</v>
      </c>
      <c r="T36" s="51">
        <f>R36*S36</f>
        <v>0</v>
      </c>
      <c r="U36" s="54"/>
      <c r="V36" s="51">
        <f>R36*$V$31</f>
        <v>0</v>
      </c>
      <c r="W36" s="51">
        <f>S36*$W$31</f>
        <v>0</v>
      </c>
      <c r="X36" s="51">
        <f>V36*W36</f>
        <v>0</v>
      </c>
      <c r="Y36" s="54"/>
      <c r="Z36" s="51">
        <f>V36*$Z$31</f>
        <v>0</v>
      </c>
      <c r="AA36" s="51">
        <f>W36*$AA$31</f>
        <v>0</v>
      </c>
      <c r="AB36" s="51">
        <f>Z36*AA36</f>
        <v>0</v>
      </c>
      <c r="AC36" s="54"/>
      <c r="AD36" s="51">
        <f>Z36*$AD$31</f>
        <v>0</v>
      </c>
      <c r="AE36" s="51">
        <f>AA36*$AE$31</f>
        <v>0</v>
      </c>
      <c r="AF36" s="51">
        <f>AD36*AE36</f>
        <v>0</v>
      </c>
      <c r="AG36" s="54"/>
      <c r="AH36" s="51">
        <f>AD36*$AH$31</f>
        <v>0</v>
      </c>
      <c r="AI36" s="51">
        <f>AE36*$AI$31</f>
        <v>0</v>
      </c>
      <c r="AJ36" s="51">
        <f>AH36*AI36</f>
        <v>0</v>
      </c>
      <c r="AK36" s="54"/>
      <c r="AL36" s="51">
        <f>AH36*$AL$31</f>
        <v>0</v>
      </c>
      <c r="AM36" s="51">
        <f>AI36*$AM$31</f>
        <v>0</v>
      </c>
      <c r="AN36" s="51">
        <f>AL36*AM36</f>
        <v>0</v>
      </c>
      <c r="AO36" s="54"/>
      <c r="AP36" s="54"/>
      <c r="AQ36" s="85">
        <f>SUMIF($F$6:$AO$6,$AQ$6,F36:AO36)</f>
        <v>0</v>
      </c>
      <c r="AR36" s="85">
        <f>SUMIF($F$6:$AO$6,$AR$6,F36:AO36)/AR8</f>
        <v>0</v>
      </c>
      <c r="AS36" s="80">
        <f>H36+L36+P36+T36+X36+AB36+AF36+AJ36+AN36</f>
        <v>0</v>
      </c>
      <c r="AT36" t="b">
        <f>(AQ36*AR36)=AS36</f>
        <v>1</v>
      </c>
      <c r="AU36" s="51">
        <f>(AQ36/$AR$8*12)*$AU$31</f>
        <v>0</v>
      </c>
      <c r="AV36" s="51">
        <f>AR36*$AV$31</f>
        <v>0</v>
      </c>
      <c r="AW36" s="51">
        <f>AU36*AV36</f>
        <v>0</v>
      </c>
      <c r="AY36" s="51">
        <f>AU36*$AY$31</f>
        <v>0</v>
      </c>
      <c r="AZ36" s="51">
        <f>AV36*$AZ$31</f>
        <v>0</v>
      </c>
      <c r="BA36" s="51">
        <f>AY36*AZ36</f>
        <v>0</v>
      </c>
      <c r="BC36" s="51">
        <f>AY36*$BC$31</f>
        <v>0</v>
      </c>
      <c r="BD36" s="51">
        <f>AZ36*$BD$31</f>
        <v>0</v>
      </c>
      <c r="BE36" s="51">
        <f>BC36*BD36</f>
        <v>0</v>
      </c>
      <c r="BG36" s="51">
        <f>BC36*$BG$31</f>
        <v>0</v>
      </c>
      <c r="BH36" s="51">
        <f>BD36*$BH$31</f>
        <v>0</v>
      </c>
      <c r="BI36" s="51">
        <f>BG36*BH36</f>
        <v>0</v>
      </c>
      <c r="BK36" s="51">
        <f>BG36*$BK$31</f>
        <v>0</v>
      </c>
      <c r="BL36" s="51">
        <f>BH36*$BL$31</f>
        <v>0</v>
      </c>
      <c r="BM36" s="51">
        <f>BK36*BL36</f>
        <v>0</v>
      </c>
    </row>
    <row r="37" ht="18.75" customHeight="1" spans="2:65" x14ac:dyDescent="0.25">
      <c r="B37" s="5" t="s">
        <v>64</v>
      </c>
      <c r="C37" s="29"/>
      <c r="D37" s="29">
        <v>0</v>
      </c>
      <c r="E37" s="30"/>
      <c r="F37" s="51"/>
      <c r="G37" s="51"/>
      <c r="H37" s="51"/>
      <c r="I37" s="54"/>
      <c r="J37" s="51"/>
      <c r="K37" s="51"/>
      <c r="L37" s="51"/>
      <c r="M37" s="54"/>
      <c r="N37" s="51"/>
      <c r="O37" s="51"/>
      <c r="P37" s="51"/>
      <c r="Q37" s="54"/>
      <c r="R37" s="51"/>
      <c r="S37" s="51"/>
      <c r="T37" s="51"/>
      <c r="U37" s="54"/>
      <c r="V37" s="51"/>
      <c r="W37" s="51"/>
      <c r="X37" s="51"/>
      <c r="Y37" s="54"/>
      <c r="Z37" s="51"/>
      <c r="AA37" s="51"/>
      <c r="AB37" s="51"/>
      <c r="AC37" s="54"/>
      <c r="AD37" s="51"/>
      <c r="AE37" s="51"/>
      <c r="AF37" s="51"/>
      <c r="AG37" s="54"/>
      <c r="AH37" s="51"/>
      <c r="AI37" s="51"/>
      <c r="AJ37" s="51"/>
      <c r="AK37" s="54"/>
      <c r="AL37" s="51"/>
      <c r="AM37" s="51"/>
      <c r="AN37" s="51"/>
      <c r="AO37" s="54"/>
      <c r="AP37" s="54"/>
      <c r="AQ37" s="54"/>
      <c r="AR37" s="54"/>
      <c r="AS37" s="80">
        <f t="shared" ref="AS37" si="55">G37*12</f>
        <v>0</v>
      </c>
      <c r="AU37" s="51"/>
      <c r="AV37" s="51"/>
      <c r="AW37" s="51"/>
      <c r="AY37" s="51"/>
      <c r="AZ37" s="51"/>
      <c r="BA37" s="51"/>
      <c r="BC37" s="51"/>
      <c r="BD37" s="51"/>
      <c r="BE37" s="51"/>
      <c r="BG37" s="51"/>
      <c r="BH37" s="51"/>
      <c r="BI37" s="51"/>
      <c r="BK37" s="51"/>
      <c r="BL37" s="51"/>
      <c r="BM37" s="51"/>
    </row>
    <row r="38" ht="18.75" customHeight="1" spans="2:65" x14ac:dyDescent="0.25">
      <c r="B38" s="34" t="s">
        <v>58</v>
      </c>
      <c r="C38" s="34"/>
      <c r="D38" s="34"/>
      <c r="E38" s="30"/>
      <c r="F38" s="81">
        <f>SUM(F33:F37)</f>
        <v>0</v>
      </c>
      <c r="G38" s="81"/>
      <c r="H38" s="81">
        <f>SUM(H33:H37)</f>
        <v>36237.47231162451</v>
      </c>
      <c r="I38" s="81"/>
      <c r="J38" s="81">
        <f>SUM(J33:J37)</f>
        <v>0</v>
      </c>
      <c r="K38" s="81"/>
      <c r="L38" s="81">
        <f>SUM(L33:L37)</f>
        <v>36237.47231162451</v>
      </c>
      <c r="M38" s="81"/>
      <c r="N38" s="81">
        <f>SUM(N33:N37)</f>
        <v>0</v>
      </c>
      <c r="O38" s="81"/>
      <c r="P38" s="81">
        <f>SUM(P33:P37)</f>
        <v>36237.47231162451</v>
      </c>
      <c r="Q38" s="81"/>
      <c r="R38" s="81">
        <f>SUM(R33:R37)</f>
        <v>0</v>
      </c>
      <c r="S38" s="81"/>
      <c r="T38" s="81">
        <f>SUM(T33:T37)</f>
        <v>36237.47231162451</v>
      </c>
      <c r="U38" s="81"/>
      <c r="V38" s="81">
        <f>SUM(V33:V37)</f>
        <v>0</v>
      </c>
      <c r="W38" s="81"/>
      <c r="X38" s="81">
        <f>SUM(X33:X37)</f>
        <v>36237.47231162451</v>
      </c>
      <c r="Y38" s="81"/>
      <c r="Z38" s="81">
        <f>SUM(Z33:Z37)</f>
        <v>0</v>
      </c>
      <c r="AA38" s="81"/>
      <c r="AB38" s="81">
        <f>SUM(AB33:AB37)</f>
        <v>36237.47231162451</v>
      </c>
      <c r="AC38" s="81"/>
      <c r="AD38" s="81">
        <f>SUM(AD33:AD37)</f>
        <v>0</v>
      </c>
      <c r="AE38" s="81"/>
      <c r="AF38" s="81">
        <f>SUM(AF33:AF37)</f>
        <v>36237.47231162451</v>
      </c>
      <c r="AG38" s="81"/>
      <c r="AH38" s="81">
        <f>SUM(AH33:AH37)</f>
        <v>0</v>
      </c>
      <c r="AI38" s="81"/>
      <c r="AJ38" s="81">
        <f>SUM(AJ33:AJ37)</f>
        <v>36237.47231162451</v>
      </c>
      <c r="AK38" s="81"/>
      <c r="AL38" s="81">
        <f>SUM(AL33:AL37)</f>
        <v>0</v>
      </c>
      <c r="AM38" s="81"/>
      <c r="AN38" s="81">
        <f>SUM(AN33:AN37)</f>
        <v>36237.47231162451</v>
      </c>
      <c r="AO38" s="81"/>
      <c r="AP38" s="81"/>
      <c r="AQ38" s="81">
        <f>SUM(AQ33:AQ37)</f>
        <v>0</v>
      </c>
      <c r="AR38" s="81"/>
      <c r="AS38" s="81">
        <f>SUM(AS33:AS37)</f>
        <v>326137.25080462056</v>
      </c>
      <c r="AT38" s="9"/>
      <c r="AU38" s="81">
        <f>SUM(AU33:AU37)</f>
        <v>0</v>
      </c>
      <c r="AV38" s="81"/>
      <c r="AW38" s="81" t="e">
        <f>SUM(AW33:AW37)</f>
        <v>#REF!</v>
      </c>
      <c r="AX38" s="9"/>
      <c r="AY38" s="81">
        <f>SUM(AY33:AY37)</f>
        <v>0</v>
      </c>
      <c r="AZ38" s="81"/>
      <c r="BA38" s="81" t="e">
        <f>SUM(BA33:BA37)</f>
        <v>#REF!</v>
      </c>
      <c r="BB38" s="9"/>
      <c r="BC38" s="81">
        <f>SUM(BC33:BC37)</f>
        <v>0</v>
      </c>
      <c r="BD38" s="81"/>
      <c r="BE38" s="81" t="e">
        <f>SUM(BE33:BE37)</f>
        <v>#REF!</v>
      </c>
      <c r="BF38" s="9"/>
      <c r="BG38" s="81">
        <f>SUM(BG33:BG37)</f>
        <v>0</v>
      </c>
      <c r="BH38" s="81"/>
      <c r="BI38" s="81" t="e">
        <f>SUM(BI33:BI37)</f>
        <v>#REF!</v>
      </c>
      <c r="BJ38" s="9"/>
      <c r="BK38" s="81">
        <f>SUM(BK33:BK37)</f>
        <v>0</v>
      </c>
      <c r="BL38" s="81"/>
      <c r="BM38" s="81" t="e">
        <f>SUM(BM33:BM37)</f>
        <v>#REF!</v>
      </c>
    </row>
    <row r="39" ht="9.75" customHeight="1" spans="2:65" x14ac:dyDescent="0.25">
      <c r="B39" s="9"/>
      <c r="C39" s="30"/>
      <c r="D39" s="30"/>
      <c r="E39" s="30"/>
      <c r="F39" s="54"/>
      <c r="G39" s="54"/>
      <c r="H39" s="54"/>
      <c r="I39" s="54"/>
      <c r="J39" s="54"/>
      <c r="K39" s="54"/>
      <c r="L39" s="54"/>
      <c r="M39" s="54"/>
      <c r="N39" s="54"/>
      <c r="O39" s="54"/>
      <c r="P39" s="54"/>
      <c r="Q39" s="54"/>
      <c r="R39" s="54"/>
      <c r="S39" s="54"/>
      <c r="T39" s="54"/>
      <c r="U39" s="54"/>
      <c r="V39" s="54"/>
      <c r="W39" s="54"/>
      <c r="X39" s="54"/>
      <c r="Y39" s="54"/>
      <c r="Z39" s="54"/>
      <c r="AA39" s="54"/>
      <c r="AB39" s="54"/>
      <c r="AC39" s="54"/>
      <c r="AD39" s="54"/>
      <c r="AE39" s="54"/>
      <c r="AF39" s="54"/>
      <c r="AG39" s="54"/>
      <c r="AH39" s="54"/>
      <c r="AI39" s="54"/>
      <c r="AJ39" s="54"/>
      <c r="AK39" s="54"/>
      <c r="AL39" s="54"/>
      <c r="AM39" s="54"/>
      <c r="AN39" s="54"/>
      <c r="AO39" s="54"/>
      <c r="AP39" s="54"/>
      <c r="AQ39" s="54"/>
      <c r="AR39" s="54"/>
      <c r="AS39" s="54"/>
      <c r="AU39" s="54"/>
      <c r="AV39" s="54"/>
      <c r="AW39" s="54"/>
      <c r="AY39" s="54"/>
      <c r="AZ39" s="54"/>
      <c r="BA39" s="54"/>
      <c r="BC39" s="54"/>
      <c r="BD39" s="54"/>
      <c r="BE39" s="54"/>
      <c r="BG39" s="54"/>
      <c r="BH39" s="54"/>
      <c r="BI39" s="54"/>
      <c r="BK39" s="54"/>
      <c r="BL39" s="54"/>
      <c r="BM39" s="54"/>
    </row>
    <row r="40" ht="18.75" customHeight="1" spans="2:65" x14ac:dyDescent="0.25">
      <c r="B40" s="9"/>
      <c r="C40" s="30"/>
      <c r="D40" s="28"/>
      <c r="E40" s="28"/>
      <c r="F40" s="28"/>
      <c r="G40" s="54"/>
      <c r="H40" s="54"/>
      <c r="I40" s="54"/>
      <c r="J40" s="78">
        <f>$J$8</f>
        <v>1</v>
      </c>
      <c r="K40" s="78">
        <v>1.2</v>
      </c>
      <c r="L40" s="77"/>
      <c r="M40" s="77"/>
      <c r="N40" s="78">
        <f>$N$8</f>
        <v>1</v>
      </c>
      <c r="O40" s="78">
        <v>1.2</v>
      </c>
      <c r="P40" s="77"/>
      <c r="Q40" s="77"/>
      <c r="R40" s="78">
        <f>$R$8</f>
        <v>1</v>
      </c>
      <c r="S40" s="78">
        <v>1.2</v>
      </c>
      <c r="T40" s="77"/>
      <c r="U40" s="77"/>
      <c r="V40" s="78">
        <f>$V$8</f>
        <v>1</v>
      </c>
      <c r="W40" s="78">
        <f>$W$8</f>
        <v>1</v>
      </c>
      <c r="X40" s="77"/>
      <c r="Y40" s="77"/>
      <c r="Z40" s="78">
        <f>$Z$8</f>
        <v>1</v>
      </c>
      <c r="AA40" s="78">
        <f>$AA$8</f>
        <v>1</v>
      </c>
      <c r="AB40" s="77"/>
      <c r="AC40" s="77"/>
      <c r="AD40" s="78">
        <f>$AD$8</f>
        <v>1</v>
      </c>
      <c r="AE40" s="78">
        <f>$AE$8</f>
        <v>1</v>
      </c>
      <c r="AF40" s="77"/>
      <c r="AG40" s="77"/>
      <c r="AH40" s="78">
        <f>$AH$8</f>
        <v>1</v>
      </c>
      <c r="AI40" s="78">
        <f>$AI$8</f>
        <v>1</v>
      </c>
      <c r="AJ40" s="77"/>
      <c r="AK40" s="77"/>
      <c r="AL40" s="78">
        <f>$AL$8</f>
        <v>1</v>
      </c>
      <c r="AM40" s="78">
        <f>$AM$8</f>
        <v>1</v>
      </c>
      <c r="AN40" s="77"/>
      <c r="AO40" s="77"/>
      <c r="AP40" s="54"/>
      <c r="AQ40" s="54"/>
      <c r="AR40" s="54"/>
      <c r="AS40" s="54"/>
      <c r="AU40" s="78">
        <v>1</v>
      </c>
      <c r="AV40" s="78">
        <v>1.05</v>
      </c>
      <c r="AW40" s="54"/>
      <c r="AY40" s="78">
        <v>1</v>
      </c>
      <c r="AZ40" s="78">
        <v>1.05</v>
      </c>
      <c r="BA40" s="77"/>
      <c r="BB40" s="28"/>
      <c r="BC40" s="78">
        <v>1</v>
      </c>
      <c r="BD40" s="78">
        <v>1.05</v>
      </c>
      <c r="BE40" s="77"/>
      <c r="BF40" s="28"/>
      <c r="BG40" s="78">
        <v>1</v>
      </c>
      <c r="BH40" s="78">
        <v>1.05</v>
      </c>
      <c r="BI40" s="77"/>
      <c r="BJ40" s="28"/>
      <c r="BK40" s="78">
        <v>1</v>
      </c>
      <c r="BL40" s="78">
        <v>1.05</v>
      </c>
      <c r="BM40" s="77"/>
    </row>
    <row r="41" ht="18.75" customHeight="1" spans="2:65" x14ac:dyDescent="0.25">
      <c r="B41" s="5">
        <v>3</v>
      </c>
      <c r="C41" s="29" t="s">
        <v>121</v>
      </c>
      <c r="D41" s="27"/>
      <c r="E41" s="28"/>
      <c r="F41" s="51"/>
      <c r="G41" s="51"/>
      <c r="H41" s="51"/>
      <c r="I41" s="54"/>
      <c r="J41" s="51"/>
      <c r="K41" s="51"/>
      <c r="L41" s="51"/>
      <c r="M41" s="54"/>
      <c r="N41" s="51"/>
      <c r="O41" s="51"/>
      <c r="P41" s="51"/>
      <c r="Q41" s="54"/>
      <c r="R41" s="51"/>
      <c r="S41" s="51"/>
      <c r="T41" s="51"/>
      <c r="U41" s="54"/>
      <c r="V41" s="51"/>
      <c r="W41" s="51"/>
      <c r="X41" s="51"/>
      <c r="Y41" s="54"/>
      <c r="Z41" s="51"/>
      <c r="AA41" s="51"/>
      <c r="AB41" s="51"/>
      <c r="AC41" s="54"/>
      <c r="AD41" s="51"/>
      <c r="AE41" s="51"/>
      <c r="AF41" s="51"/>
      <c r="AG41" s="54"/>
      <c r="AH41" s="51"/>
      <c r="AI41" s="51"/>
      <c r="AJ41" s="51"/>
      <c r="AK41" s="54"/>
      <c r="AL41" s="51"/>
      <c r="AM41" s="51"/>
      <c r="AN41" s="51"/>
      <c r="AO41" s="54"/>
      <c r="AP41" s="54"/>
      <c r="AQ41" s="54"/>
      <c r="AR41" s="54"/>
      <c r="AS41" s="54"/>
      <c r="AU41" s="51"/>
      <c r="AV41" s="51"/>
      <c r="AW41" s="51">
        <f>AU41*AV41</f>
        <v>0</v>
      </c>
      <c r="AY41" s="51"/>
      <c r="AZ41" s="51"/>
      <c r="BA41" s="51"/>
      <c r="BC41" s="51"/>
      <c r="BD41" s="51"/>
      <c r="BE41" s="51"/>
      <c r="BG41" s="51"/>
      <c r="BH41" s="51"/>
      <c r="BI41" s="51"/>
      <c r="BK41" s="51"/>
      <c r="BL41" s="51"/>
      <c r="BM41" s="51"/>
    </row>
    <row r="42" ht="18.75" customHeight="1" spans="2:65" x14ac:dyDescent="0.25">
      <c r="B42" s="5" t="s">
        <v>65</v>
      </c>
      <c r="C42" s="29"/>
      <c r="D42" s="29" t="s">
        <v>123</v>
      </c>
      <c r="E42" s="30"/>
      <c r="F42" s="86" t="s">
        <v>250</v>
      </c>
      <c r="G42" s="86"/>
      <c r="H42" s="51">
        <v>0</v>
      </c>
      <c r="I42" s="54"/>
      <c r="J42" s="86" t="s">
        <v>250</v>
      </c>
      <c r="K42" s="86"/>
      <c r="L42" s="51">
        <v>0</v>
      </c>
      <c r="M42" s="54"/>
      <c r="N42" s="86" t="s">
        <v>250</v>
      </c>
      <c r="O42" s="86"/>
      <c r="P42" s="51">
        <v>0</v>
      </c>
      <c r="Q42" s="54"/>
      <c r="R42" s="86" t="s">
        <v>250</v>
      </c>
      <c r="S42" s="86"/>
      <c r="T42" s="51">
        <v>0</v>
      </c>
      <c r="U42" s="54"/>
      <c r="V42" s="86" t="s">
        <v>250</v>
      </c>
      <c r="W42" s="86"/>
      <c r="X42" s="51">
        <v>0</v>
      </c>
      <c r="Y42" s="54"/>
      <c r="Z42" s="86" t="s">
        <v>250</v>
      </c>
      <c r="AA42" s="86"/>
      <c r="AB42" s="51">
        <v>0</v>
      </c>
      <c r="AC42" s="54"/>
      <c r="AD42" s="86" t="s">
        <v>250</v>
      </c>
      <c r="AE42" s="86"/>
      <c r="AF42" s="51">
        <v>0</v>
      </c>
      <c r="AG42" s="54"/>
      <c r="AH42" s="51">
        <v>1</v>
      </c>
      <c r="AI42" s="51">
        <f>4700000*118%</f>
        <v>5546000</v>
      </c>
      <c r="AJ42" s="51">
        <f>AH42*AI42</f>
        <v>5546000</v>
      </c>
      <c r="AK42" s="54"/>
      <c r="AL42" s="51">
        <f>AH42*$AL$40</f>
        <v>1</v>
      </c>
      <c r="AM42" s="51">
        <f>AI42*$AM$40</f>
        <v>5546000</v>
      </c>
      <c r="AN42" s="51">
        <f>AL42*AM42</f>
        <v>5546000</v>
      </c>
      <c r="AO42" s="54"/>
      <c r="AP42" s="54"/>
      <c r="AQ42" s="85">
        <v>2</v>
      </c>
      <c r="AR42" s="85">
        <f>4700000*118%</f>
        <v>5546000</v>
      </c>
      <c r="AS42" s="80">
        <f>H42+L42+P42+T42+X42+AB42+AF42+AJ42+AN42</f>
        <v>11092000</v>
      </c>
      <c r="AT42" t="b">
        <f>(AQ42*AR42)=AS42</f>
        <v>1</v>
      </c>
      <c r="AU42" s="51">
        <v>12</v>
      </c>
      <c r="AV42" s="51">
        <f>AR42*$AV$40</f>
        <v>5823300</v>
      </c>
      <c r="AW42" s="51">
        <f>AU42*AV42</f>
        <v>69879600</v>
      </c>
      <c r="AY42" s="51">
        <v>12</v>
      </c>
      <c r="AZ42" s="51">
        <f>AV42*$AZ$40</f>
        <v>6114465</v>
      </c>
      <c r="BA42" s="51">
        <f>AY42*AZ42</f>
        <v>73373580</v>
      </c>
      <c r="BC42" s="51">
        <v>12</v>
      </c>
      <c r="BD42" s="51">
        <f>AZ42*$BD$40</f>
        <v>6420188.25</v>
      </c>
      <c r="BE42" s="51">
        <f>BC42*BD42</f>
        <v>77042259</v>
      </c>
      <c r="BG42" s="51">
        <v>12</v>
      </c>
      <c r="BH42" s="51">
        <f>BD42*$BH$40</f>
        <v>6741197.662500001</v>
      </c>
      <c r="BI42" s="51">
        <f>BG42*BH42</f>
        <v>80894371.95</v>
      </c>
      <c r="BK42" s="51">
        <v>12</v>
      </c>
      <c r="BL42" s="51">
        <f>BH42*$BL$40</f>
        <v>7078257.545625001</v>
      </c>
      <c r="BM42" s="51">
        <f>BK42*BL42</f>
        <v>84939090.54750001</v>
      </c>
    </row>
    <row r="43" ht="18.75" customHeight="1" spans="2:65" x14ac:dyDescent="0.25">
      <c r="B43" s="5" t="s">
        <v>66</v>
      </c>
      <c r="C43" s="29"/>
      <c r="D43" s="29" t="s">
        <v>251</v>
      </c>
      <c r="E43" s="30"/>
      <c r="F43" s="51">
        <v>1</v>
      </c>
      <c r="G43" s="51">
        <v>500000</v>
      </c>
      <c r="H43" s="51">
        <f t="shared" ref="H43:H44" si="56">F43*G43</f>
        <v>500000</v>
      </c>
      <c r="I43" s="54"/>
      <c r="J43" s="51">
        <f>F43*$J$40</f>
        <v>1</v>
      </c>
      <c r="K43" s="51">
        <v>500000</v>
      </c>
      <c r="L43" s="51">
        <f t="shared" ref="L43:L44" si="57">J43*K43</f>
        <v>500000</v>
      </c>
      <c r="M43" s="54"/>
      <c r="N43" s="51">
        <f>J43*$N$40</f>
        <v>1</v>
      </c>
      <c r="O43" s="51">
        <v>500000</v>
      </c>
      <c r="P43" s="51">
        <f t="shared" ref="P43:P44" si="58">N43*O43</f>
        <v>500000</v>
      </c>
      <c r="Q43" s="54"/>
      <c r="R43" s="51">
        <f>N43*$R$40</f>
        <v>1</v>
      </c>
      <c r="S43" s="51">
        <v>600000</v>
      </c>
      <c r="T43" s="51">
        <f t="shared" ref="T43:T44" si="59">R43*S43</f>
        <v>600000</v>
      </c>
      <c r="U43" s="54"/>
      <c r="V43" s="51">
        <f>R43*$V$40</f>
        <v>1</v>
      </c>
      <c r="W43" s="51">
        <v>600000</v>
      </c>
      <c r="X43" s="51">
        <f t="shared" ref="X43:X44" si="60">V43*W43</f>
        <v>600000</v>
      </c>
      <c r="Y43" s="54"/>
      <c r="Z43" s="51">
        <f>V43*$Z$40</f>
        <v>1</v>
      </c>
      <c r="AA43" s="51">
        <f>W43*$AA$40</f>
        <v>600000</v>
      </c>
      <c r="AB43" s="51">
        <f t="shared" ref="AB43:AB44" si="61">Z43*AA43</f>
        <v>600000</v>
      </c>
      <c r="AC43" s="54"/>
      <c r="AD43" s="51">
        <f>Z43*$AD$40</f>
        <v>1</v>
      </c>
      <c r="AE43" s="51">
        <f>AA43*$AE$40</f>
        <v>600000</v>
      </c>
      <c r="AF43" s="51">
        <f t="shared" ref="AF43:AF44" si="62">AD43*AE43</f>
        <v>600000</v>
      </c>
      <c r="AG43" s="54"/>
      <c r="AH43" s="51">
        <f>AD43*$AH$40</f>
        <v>1</v>
      </c>
      <c r="AI43" s="51">
        <f>AE43*$AI$40</f>
        <v>600000</v>
      </c>
      <c r="AJ43" s="51">
        <f t="shared" ref="AJ43:AJ44" si="63">AH43*AI43</f>
        <v>600000</v>
      </c>
      <c r="AK43" s="54"/>
      <c r="AL43" s="51">
        <f>AH43*$AL$40</f>
        <v>1</v>
      </c>
      <c r="AM43" s="51">
        <f>AI43*$AM$40</f>
        <v>600000</v>
      </c>
      <c r="AN43" s="51">
        <f t="shared" ref="AN43:AN44" si="64">AL43*AM43</f>
        <v>600000</v>
      </c>
      <c r="AO43" s="54"/>
      <c r="AP43" s="54"/>
      <c r="AQ43" s="85">
        <f>SUMIF($F$6:$AO$6,$AQ$6,F43:AO43)</f>
        <v>9</v>
      </c>
      <c r="AR43" s="85">
        <f>SUMIF($F$6:$AO$6,$AR$6,F43:AO43)/AR8</f>
        <v>566666.6666666666</v>
      </c>
      <c r="AS43" s="80">
        <f>H43+L43+P43+T43+X43+AB43+AF43+AJ43+AN43</f>
        <v>5100000</v>
      </c>
      <c r="AT43" t="b">
        <f>(AQ43*AR43)=AS43</f>
        <v>1</v>
      </c>
      <c r="AU43" s="51">
        <f>(AQ43/AR8*12)*$AU$40</f>
        <v>12</v>
      </c>
      <c r="AV43" s="51">
        <f>AR43*110%</f>
        <v>623333.3333333334</v>
      </c>
      <c r="AW43" s="51">
        <f>AU43*AV43</f>
        <v>7480000</v>
      </c>
      <c r="AY43" s="51">
        <f>AU43*$AY$40</f>
        <v>12</v>
      </c>
      <c r="AZ43" s="51">
        <f>AV43*120%</f>
        <v>748000</v>
      </c>
      <c r="BA43" s="51">
        <f>AY43*AZ43</f>
        <v>8976000</v>
      </c>
      <c r="BC43" s="51">
        <f>AY43*$BC$40</f>
        <v>12</v>
      </c>
      <c r="BD43" s="51">
        <f>AZ43</f>
        <v>748000</v>
      </c>
      <c r="BE43" s="51">
        <f>BC43*BD43</f>
        <v>8976000</v>
      </c>
      <c r="BG43" s="51">
        <f>BC43*$BG$40</f>
        <v>12</v>
      </c>
      <c r="BH43" s="51">
        <f>BD43*120%</f>
        <v>897600</v>
      </c>
      <c r="BI43" s="51">
        <f>BG43*BH43</f>
        <v>10771200</v>
      </c>
      <c r="BK43" s="51">
        <f>BG43*$BK$40</f>
        <v>12</v>
      </c>
      <c r="BL43" s="51">
        <f>BH43*$BL$40</f>
        <v>942480</v>
      </c>
      <c r="BM43" s="51">
        <f>BK43*BL43</f>
        <v>11309760</v>
      </c>
    </row>
    <row r="44" ht="18.75" customHeight="1" spans="2:65" x14ac:dyDescent="0.25">
      <c r="B44" s="5" t="s">
        <v>67</v>
      </c>
      <c r="C44" s="29"/>
      <c r="D44" s="29" t="s">
        <v>252</v>
      </c>
      <c r="E44" s="30"/>
      <c r="F44" s="51">
        <v>1</v>
      </c>
      <c r="G44" s="51">
        <v>300000</v>
      </c>
      <c r="H44" s="51">
        <f t="shared" si="56"/>
        <v>300000</v>
      </c>
      <c r="I44" s="54"/>
      <c r="J44" s="51">
        <f>F44*$J$40</f>
        <v>1</v>
      </c>
      <c r="K44" s="51">
        <f>G44*$K$40</f>
        <v>360000</v>
      </c>
      <c r="L44" s="51">
        <f t="shared" si="57"/>
        <v>360000</v>
      </c>
      <c r="M44" s="54"/>
      <c r="N44" s="51">
        <f>J44*$N$40</f>
        <v>1</v>
      </c>
      <c r="O44" s="51">
        <f>K44*$O$40</f>
        <v>432000</v>
      </c>
      <c r="P44" s="51">
        <f t="shared" si="58"/>
        <v>432000</v>
      </c>
      <c r="Q44" s="54"/>
      <c r="R44" s="51">
        <f>N44*$R$40</f>
        <v>1</v>
      </c>
      <c r="S44" s="51">
        <f>O44*$S$40</f>
        <v>518400</v>
      </c>
      <c r="T44" s="51">
        <f t="shared" si="59"/>
        <v>518400</v>
      </c>
      <c r="U44" s="54"/>
      <c r="V44" s="51">
        <f>R44*$V$40</f>
        <v>1</v>
      </c>
      <c r="W44" s="51">
        <f>S44*$W$40</f>
        <v>518400</v>
      </c>
      <c r="X44" s="51">
        <f t="shared" si="60"/>
        <v>518400</v>
      </c>
      <c r="Y44" s="54"/>
      <c r="Z44" s="51">
        <f>V44*$Z$40</f>
        <v>1</v>
      </c>
      <c r="AA44" s="51">
        <f>W44*$AA$40</f>
        <v>518400</v>
      </c>
      <c r="AB44" s="51">
        <f t="shared" si="61"/>
        <v>518400</v>
      </c>
      <c r="AC44" s="54"/>
      <c r="AD44" s="51">
        <f>Z44*$AD$40</f>
        <v>1</v>
      </c>
      <c r="AE44" s="51">
        <f>AA44*$AE$40*105%</f>
        <v>544320</v>
      </c>
      <c r="AF44" s="51">
        <f t="shared" si="62"/>
        <v>544320</v>
      </c>
      <c r="AG44" s="54"/>
      <c r="AH44" s="51">
        <f>AD44*$AH$40</f>
        <v>1</v>
      </c>
      <c r="AI44" s="51">
        <f>AE44*$AI$40</f>
        <v>544320</v>
      </c>
      <c r="AJ44" s="51">
        <f t="shared" si="63"/>
        <v>544320</v>
      </c>
      <c r="AK44" s="54"/>
      <c r="AL44" s="51">
        <f>AH44*$AL$40</f>
        <v>1</v>
      </c>
      <c r="AM44" s="51">
        <f>AI44*$AM$40</f>
        <v>544320</v>
      </c>
      <c r="AN44" s="51">
        <f t="shared" si="64"/>
        <v>544320</v>
      </c>
      <c r="AO44" s="54"/>
      <c r="AP44" s="54"/>
      <c r="AQ44" s="85">
        <f>SUMIF($F$6:$AO$6,$AQ$6,F44:AO44)</f>
        <v>9</v>
      </c>
      <c r="AR44" s="85">
        <f>SUMIF($F$6:$AO$6,$AR$6,F44:AO44)/AR8</f>
        <v>475573.3333333333</v>
      </c>
      <c r="AS44" s="80">
        <f>H44+L44+P44+T44+X44+AB44+AF44+AJ44+AN44</f>
        <v>4280160</v>
      </c>
      <c r="AT44" t="b">
        <f>(AQ44*AR44)=AS44</f>
        <v>1</v>
      </c>
      <c r="AU44" s="51">
        <f>(AQ44/AR8*12)*$AU$40</f>
        <v>12</v>
      </c>
      <c r="AV44" s="51">
        <f>AR44*120%</f>
        <v>570688</v>
      </c>
      <c r="AW44" s="51">
        <f>AU44*AV44</f>
        <v>6848256</v>
      </c>
      <c r="AY44" s="51">
        <f>AU44*$AY$40</f>
        <v>12</v>
      </c>
      <c r="AZ44" s="51">
        <f>AV44*$AZ$40</f>
        <v>599222.4</v>
      </c>
      <c r="BA44" s="51">
        <f>AY44*AZ44</f>
        <v>7190668.800000001</v>
      </c>
      <c r="BC44" s="51">
        <f>AY44*$BC$40</f>
        <v>12</v>
      </c>
      <c r="BD44" s="51">
        <f>AZ44*110%</f>
        <v>659144.6400000001</v>
      </c>
      <c r="BE44" s="51">
        <f>BC44*BD44</f>
        <v>7909735.680000002</v>
      </c>
      <c r="BG44" s="51">
        <f>BC44*$BG$40</f>
        <v>12</v>
      </c>
      <c r="BH44" s="51">
        <f>BD44*$BH$40</f>
        <v>692101.8720000002</v>
      </c>
      <c r="BI44" s="51">
        <f>BG44*BH44</f>
        <v>8305222.4640000025</v>
      </c>
      <c r="BK44" s="51">
        <f>BG44*$BK$40</f>
        <v>12</v>
      </c>
      <c r="BL44" s="51">
        <f>BH44*$BL$40</f>
        <v>726706.9656000002</v>
      </c>
      <c r="BM44" s="51">
        <f>BK44*BL44</f>
        <v>8720483.587200003</v>
      </c>
    </row>
    <row r="45" ht="18.75" customHeight="1" spans="2:65" x14ac:dyDescent="0.25">
      <c r="B45" s="5" t="s">
        <v>67</v>
      </c>
      <c r="C45" s="29"/>
      <c r="D45" s="29" t="s">
        <v>253</v>
      </c>
      <c r="E45" s="30"/>
      <c r="F45" s="51"/>
      <c r="G45" s="51"/>
      <c r="H45" s="51"/>
      <c r="I45" s="54"/>
      <c r="J45" s="51"/>
      <c r="K45" s="51"/>
      <c r="L45" s="51"/>
      <c r="M45" s="54"/>
      <c r="N45" s="51"/>
      <c r="O45" s="51"/>
      <c r="P45" s="51"/>
      <c r="Q45" s="54"/>
      <c r="R45" s="51"/>
      <c r="S45" s="51"/>
      <c r="T45" s="51"/>
      <c r="U45" s="54"/>
      <c r="V45" s="51"/>
      <c r="W45" s="51"/>
      <c r="X45" s="51"/>
      <c r="Y45" s="54"/>
      <c r="Z45" s="51"/>
      <c r="AA45" s="51"/>
      <c r="AB45" s="51"/>
      <c r="AC45" s="54"/>
      <c r="AD45" s="51"/>
      <c r="AE45" s="51"/>
      <c r="AF45" s="51"/>
      <c r="AG45" s="54"/>
      <c r="AH45" s="51"/>
      <c r="AI45" s="51"/>
      <c r="AJ45" s="51"/>
      <c r="AK45" s="54"/>
      <c r="AL45" s="51"/>
      <c r="AM45" s="51"/>
      <c r="AN45" s="51"/>
      <c r="AO45" s="54"/>
      <c r="AP45" s="54"/>
      <c r="AQ45" s="85"/>
      <c r="AR45" s="85"/>
      <c r="AS45" s="80"/>
      <c r="AU45" s="51"/>
      <c r="AV45" s="51"/>
      <c r="AW45" s="51"/>
      <c r="AY45" s="51"/>
      <c r="AZ45" s="51"/>
      <c r="BA45" s="51"/>
      <c r="BC45" s="51"/>
      <c r="BD45" s="51"/>
      <c r="BE45" s="51"/>
      <c r="BG45" s="51"/>
      <c r="BH45" s="51"/>
      <c r="BI45" s="51"/>
      <c r="BK45" s="51"/>
      <c r="BL45" s="51"/>
      <c r="BM45" s="51"/>
    </row>
    <row r="46" ht="18.75" customHeight="1" spans="2:65" x14ac:dyDescent="0.25">
      <c r="B46" s="5" t="s">
        <v>68</v>
      </c>
      <c r="C46" s="29"/>
      <c r="D46" s="29"/>
      <c r="E46" s="30"/>
      <c r="F46" s="51"/>
      <c r="G46" s="51"/>
      <c r="H46" s="51"/>
      <c r="I46" s="54"/>
      <c r="J46" s="51"/>
      <c r="K46" s="51"/>
      <c r="L46" s="51"/>
      <c r="M46" s="54"/>
      <c r="N46" s="51"/>
      <c r="O46" s="51"/>
      <c r="P46" s="51"/>
      <c r="Q46" s="54"/>
      <c r="R46" s="51"/>
      <c r="S46" s="51"/>
      <c r="T46" s="51"/>
      <c r="U46" s="54"/>
      <c r="V46" s="51"/>
      <c r="W46" s="51"/>
      <c r="X46" s="51"/>
      <c r="Y46" s="54"/>
      <c r="Z46" s="51"/>
      <c r="AA46" s="51"/>
      <c r="AB46" s="51"/>
      <c r="AC46" s="54"/>
      <c r="AD46" s="51"/>
      <c r="AE46" s="51"/>
      <c r="AF46" s="51"/>
      <c r="AG46" s="54"/>
      <c r="AH46" s="51"/>
      <c r="AI46" s="51"/>
      <c r="AJ46" s="51"/>
      <c r="AK46" s="54"/>
      <c r="AL46" s="51"/>
      <c r="AM46" s="51"/>
      <c r="AN46" s="51"/>
      <c r="AO46" s="54"/>
      <c r="AP46" s="54"/>
      <c r="AQ46" s="54"/>
      <c r="AR46" s="54"/>
      <c r="AS46" s="80">
        <f t="shared" ref="AS46" si="65">G46*12</f>
        <v>0</v>
      </c>
      <c r="AU46" s="51"/>
      <c r="AV46" s="51"/>
      <c r="AW46" s="51"/>
      <c r="AY46" s="51"/>
      <c r="AZ46" s="51"/>
      <c r="BA46" s="51"/>
      <c r="BC46" s="51"/>
      <c r="BD46" s="51"/>
      <c r="BE46" s="51"/>
      <c r="BG46" s="51"/>
      <c r="BH46" s="51"/>
      <c r="BI46" s="51"/>
      <c r="BK46" s="51"/>
      <c r="BL46" s="51"/>
      <c r="BM46" s="51"/>
    </row>
    <row r="47" ht="18.75" customHeight="1" spans="2:65" x14ac:dyDescent="0.25">
      <c r="B47" s="34" t="s">
        <v>58</v>
      </c>
      <c r="C47" s="34"/>
      <c r="D47" s="34"/>
      <c r="E47" s="30"/>
      <c r="F47" s="81">
        <f>SUM(F41:F46)</f>
        <v>2</v>
      </c>
      <c r="G47" s="81"/>
      <c r="H47" s="81">
        <f>SUM(H41:H46)</f>
        <v>800000</v>
      </c>
      <c r="I47" s="81"/>
      <c r="J47" s="81">
        <f>SUM(J41:J46)</f>
        <v>2</v>
      </c>
      <c r="K47" s="81"/>
      <c r="L47" s="81">
        <f>SUM(L41:L46)</f>
        <v>860000</v>
      </c>
      <c r="M47" s="81"/>
      <c r="N47" s="81">
        <f>SUM(N41:N46)</f>
        <v>2</v>
      </c>
      <c r="O47" s="81"/>
      <c r="P47" s="81">
        <f>SUM(P41:P46)</f>
        <v>932000</v>
      </c>
      <c r="Q47" s="81"/>
      <c r="R47" s="81">
        <f>SUM(R41:R46)</f>
        <v>2</v>
      </c>
      <c r="S47" s="81"/>
      <c r="T47" s="81">
        <f>SUM(T41:T46)</f>
        <v>1118400</v>
      </c>
      <c r="U47" s="81"/>
      <c r="V47" s="81">
        <f>SUM(V41:V46)</f>
        <v>2</v>
      </c>
      <c r="W47" s="81"/>
      <c r="X47" s="81">
        <f>SUM(X41:X46)</f>
        <v>1118400</v>
      </c>
      <c r="Y47" s="81"/>
      <c r="Z47" s="81">
        <f>SUM(Z41:Z46)</f>
        <v>2</v>
      </c>
      <c r="AA47" s="81"/>
      <c r="AB47" s="81">
        <f>SUM(AB41:AB46)</f>
        <v>1118400</v>
      </c>
      <c r="AC47" s="81"/>
      <c r="AD47" s="81">
        <f>SUM(AD41:AD46)</f>
        <v>2</v>
      </c>
      <c r="AE47" s="81"/>
      <c r="AF47" s="81">
        <f>SUM(AF41:AF46)</f>
        <v>1144320</v>
      </c>
      <c r="AG47" s="81"/>
      <c r="AH47" s="81">
        <f>SUM(AH41:AH46)</f>
        <v>3</v>
      </c>
      <c r="AI47" s="81"/>
      <c r="AJ47" s="81">
        <f>SUM(AJ41:AJ46)</f>
        <v>6690320</v>
      </c>
      <c r="AK47" s="81"/>
      <c r="AL47" s="81">
        <f>SUM(AL41:AL46)</f>
        <v>3</v>
      </c>
      <c r="AM47" s="81"/>
      <c r="AN47" s="81">
        <f>SUM(AN41:AN46)</f>
        <v>6690320</v>
      </c>
      <c r="AO47" s="81"/>
      <c r="AP47" s="81"/>
      <c r="AQ47" s="81">
        <f>SUM(AQ41:AQ46)</f>
        <v>20</v>
      </c>
      <c r="AR47" s="81"/>
      <c r="AS47" s="81">
        <f>SUM(AS41:AS46)</f>
        <v>20472160</v>
      </c>
      <c r="AT47" s="9"/>
      <c r="AU47" s="81">
        <f>SUM(AU41:AU46)</f>
        <v>36</v>
      </c>
      <c r="AV47" s="81"/>
      <c r="AW47" s="81">
        <f>SUM(AW41:AW46)</f>
        <v>84207856</v>
      </c>
      <c r="AX47" s="9"/>
      <c r="AY47" s="81">
        <f>SUM(AY41:AY46)</f>
        <v>36</v>
      </c>
      <c r="AZ47" s="81"/>
      <c r="BA47" s="81">
        <f>SUM(BA41:BA46)</f>
        <v>89540248.8</v>
      </c>
      <c r="BB47" s="9"/>
      <c r="BC47" s="81">
        <f>SUM(BC41:BC46)</f>
        <v>36</v>
      </c>
      <c r="BD47" s="81"/>
      <c r="BE47" s="81">
        <f>SUM(BE41:BE46)</f>
        <v>93927994.68</v>
      </c>
      <c r="BF47" s="9"/>
      <c r="BG47" s="81">
        <f>SUM(BG41:BG46)</f>
        <v>36</v>
      </c>
      <c r="BH47" s="81"/>
      <c r="BI47" s="81">
        <f>SUM(BI41:BI46)</f>
        <v>99970794.414</v>
      </c>
      <c r="BJ47" s="9"/>
      <c r="BK47" s="81">
        <f>SUM(BK41:BK46)</f>
        <v>36</v>
      </c>
      <c r="BL47" s="81"/>
      <c r="BM47" s="81">
        <f>SUM(BM41:BM46)</f>
        <v>104969334.13470002</v>
      </c>
    </row>
    <row r="48" ht="9.75" customHeight="1" spans="2:65" x14ac:dyDescent="0.25">
      <c r="B48" s="9"/>
      <c r="C48" s="30"/>
      <c r="D48" s="30"/>
      <c r="E48" s="30"/>
      <c r="F48" s="54"/>
      <c r="G48" s="54"/>
      <c r="H48" s="54"/>
      <c r="I48" s="54"/>
      <c r="J48" s="54"/>
      <c r="K48" s="54"/>
      <c r="L48" s="54"/>
      <c r="M48" s="54"/>
      <c r="N48" s="54"/>
      <c r="O48" s="54"/>
      <c r="P48" s="54"/>
      <c r="Q48" s="54"/>
      <c r="R48" s="54"/>
      <c r="S48" s="54"/>
      <c r="T48" s="54"/>
      <c r="U48" s="54"/>
      <c r="V48" s="54"/>
      <c r="W48" s="54"/>
      <c r="X48" s="54"/>
      <c r="Y48" s="54"/>
      <c r="Z48" s="54"/>
      <c r="AA48" s="54"/>
      <c r="AB48" s="54"/>
      <c r="AC48" s="54"/>
      <c r="AD48" s="54"/>
      <c r="AE48" s="54"/>
      <c r="AF48" s="54"/>
      <c r="AG48" s="54"/>
      <c r="AH48" s="54"/>
      <c r="AI48" s="54"/>
      <c r="AJ48" s="54"/>
      <c r="AK48" s="54"/>
      <c r="AL48" s="54"/>
      <c r="AM48" s="54"/>
      <c r="AN48" s="54"/>
      <c r="AO48" s="54"/>
      <c r="AP48" s="54"/>
      <c r="AQ48" s="54"/>
      <c r="AR48" s="54"/>
      <c r="AS48" s="54"/>
      <c r="AU48" s="54"/>
      <c r="AV48" s="54"/>
      <c r="AW48" s="54"/>
      <c r="AY48" s="54"/>
      <c r="AZ48" s="54"/>
      <c r="BA48" s="54"/>
      <c r="BC48" s="54"/>
      <c r="BD48" s="54"/>
      <c r="BE48" s="54"/>
      <c r="BG48" s="54"/>
      <c r="BH48" s="54"/>
      <c r="BI48" s="54"/>
      <c r="BK48" s="54"/>
      <c r="BL48" s="54"/>
      <c r="BM48" s="54"/>
    </row>
    <row r="49" ht="18.75" customHeight="1" spans="2:65" x14ac:dyDescent="0.25">
      <c r="B49" s="9"/>
      <c r="C49" s="30"/>
      <c r="D49" s="28"/>
      <c r="E49" s="28"/>
      <c r="F49" s="28"/>
      <c r="G49" s="54"/>
      <c r="H49" s="82">
        <v>0.25</v>
      </c>
      <c r="I49" s="54"/>
      <c r="J49" s="78">
        <f>$J$8</f>
        <v>1</v>
      </c>
      <c r="K49" s="78">
        <f>$K$8</f>
        <v>1</v>
      </c>
      <c r="L49" s="82">
        <v>0.25</v>
      </c>
      <c r="M49" s="77"/>
      <c r="N49" s="78">
        <f>$N$8</f>
        <v>1</v>
      </c>
      <c r="O49" s="78">
        <f>$O$8</f>
        <v>1</v>
      </c>
      <c r="P49" s="82">
        <v>0.25</v>
      </c>
      <c r="Q49" s="77"/>
      <c r="R49" s="78">
        <f>$R$8</f>
        <v>1</v>
      </c>
      <c r="S49" s="78">
        <f>$S$8</f>
        <v>1</v>
      </c>
      <c r="T49" s="82">
        <v>0.25</v>
      </c>
      <c r="U49" s="77"/>
      <c r="V49" s="78">
        <f>$V$8</f>
        <v>1</v>
      </c>
      <c r="W49" s="78">
        <f>$W$8</f>
        <v>1</v>
      </c>
      <c r="X49" s="82">
        <v>0.25</v>
      </c>
      <c r="Y49" s="77"/>
      <c r="Z49" s="78">
        <f>$Z$8</f>
        <v>1</v>
      </c>
      <c r="AA49" s="78">
        <f>$AA$8</f>
        <v>1</v>
      </c>
      <c r="AB49" s="82">
        <v>0.25</v>
      </c>
      <c r="AC49" s="77"/>
      <c r="AD49" s="78">
        <f>$AD$8</f>
        <v>1</v>
      </c>
      <c r="AE49" s="78">
        <f>$AE$8</f>
        <v>1</v>
      </c>
      <c r="AF49" s="82">
        <v>0.25</v>
      </c>
      <c r="AG49" s="77"/>
      <c r="AH49" s="78">
        <f>$AH$8</f>
        <v>1</v>
      </c>
      <c r="AI49" s="78">
        <f>$AI$8</f>
        <v>1</v>
      </c>
      <c r="AJ49" s="82">
        <v>0.25</v>
      </c>
      <c r="AK49" s="77"/>
      <c r="AL49" s="78">
        <f>$AL$8</f>
        <v>1</v>
      </c>
      <c r="AM49" s="78">
        <f>$AM$8</f>
        <v>1</v>
      </c>
      <c r="AN49" s="82">
        <v>0.25</v>
      </c>
      <c r="AO49" s="77"/>
      <c r="AP49" s="54"/>
      <c r="AQ49" s="54"/>
      <c r="AR49" s="54"/>
      <c r="AS49" s="54"/>
      <c r="AU49" s="78">
        <f>$AU$8</f>
        <v>1.25</v>
      </c>
      <c r="AV49" s="78">
        <f>$AV$8</f>
        <v>1.2</v>
      </c>
      <c r="AW49" s="82">
        <v>0.35</v>
      </c>
      <c r="AY49" s="78">
        <f>$AY$8</f>
        <v>1.2</v>
      </c>
      <c r="AZ49" s="78">
        <f>$AZ$8</f>
        <v>1.2</v>
      </c>
      <c r="BA49" s="82">
        <v>0.4</v>
      </c>
      <c r="BB49" s="28"/>
      <c r="BC49" s="78">
        <f>$BC$8</f>
        <v>1.2</v>
      </c>
      <c r="BD49" s="78">
        <f>$BD$8</f>
        <v>1.25</v>
      </c>
      <c r="BE49" s="82">
        <v>0.32</v>
      </c>
      <c r="BF49" s="28"/>
      <c r="BG49" s="78">
        <f>$BG$8</f>
        <v>1.25</v>
      </c>
      <c r="BH49" s="78">
        <f>$BH$8</f>
        <v>1.25</v>
      </c>
      <c r="BI49" s="82">
        <v>0.3</v>
      </c>
      <c r="BJ49" s="28"/>
      <c r="BK49" s="78">
        <f>$BK$8</f>
        <v>1.15</v>
      </c>
      <c r="BL49" s="78">
        <f>$BL$8</f>
        <v>1.2</v>
      </c>
      <c r="BM49" s="82">
        <v>0.25</v>
      </c>
    </row>
    <row r="50" ht="18.75" customHeight="1" spans="2:65" x14ac:dyDescent="0.25">
      <c r="B50" s="5">
        <v>4</v>
      </c>
      <c r="C50" s="29" t="s">
        <v>130</v>
      </c>
      <c r="D50" s="27"/>
      <c r="E50" s="28"/>
      <c r="F50" s="51"/>
      <c r="G50" s="51"/>
      <c r="H50" s="51"/>
      <c r="I50" s="54"/>
      <c r="J50" s="51"/>
      <c r="K50" s="51"/>
      <c r="L50" s="51"/>
      <c r="M50" s="54"/>
      <c r="N50" s="51"/>
      <c r="O50" s="51"/>
      <c r="P50" s="51"/>
      <c r="Q50" s="54"/>
      <c r="R50" s="51"/>
      <c r="S50" s="51"/>
      <c r="T50" s="51"/>
      <c r="U50" s="54"/>
      <c r="V50" s="51"/>
      <c r="W50" s="51"/>
      <c r="X50" s="51"/>
      <c r="Y50" s="54"/>
      <c r="Z50" s="51"/>
      <c r="AA50" s="51"/>
      <c r="AB50" s="51"/>
      <c r="AC50" s="54"/>
      <c r="AD50" s="51"/>
      <c r="AE50" s="51"/>
      <c r="AF50" s="51"/>
      <c r="AG50" s="54"/>
      <c r="AH50" s="51"/>
      <c r="AI50" s="51"/>
      <c r="AJ50" s="51"/>
      <c r="AK50" s="54"/>
      <c r="AL50" s="51"/>
      <c r="AM50" s="51"/>
      <c r="AN50" s="51"/>
      <c r="AO50" s="54"/>
      <c r="AP50" s="54"/>
      <c r="AQ50" s="54"/>
      <c r="AR50" s="54"/>
      <c r="AS50" s="54"/>
      <c r="AU50" s="51"/>
      <c r="AV50" s="51"/>
      <c r="AW50" s="51"/>
      <c r="AY50" s="51"/>
      <c r="AZ50" s="51"/>
      <c r="BA50" s="51"/>
      <c r="BC50" s="51"/>
      <c r="BD50" s="51"/>
      <c r="BE50" s="51"/>
      <c r="BG50" s="51"/>
      <c r="BH50" s="51"/>
      <c r="BI50" s="51"/>
      <c r="BK50" s="51"/>
      <c r="BL50" s="51"/>
      <c r="BM50" s="51"/>
    </row>
    <row r="51" ht="18.75" customHeight="1" spans="2:65" x14ac:dyDescent="0.25">
      <c r="B51" s="5" t="s">
        <v>70</v>
      </c>
      <c r="C51" s="27"/>
      <c r="D51" s="27" t="s">
        <v>254</v>
      </c>
      <c r="E51" s="30"/>
      <c r="F51" s="51">
        <v>10</v>
      </c>
      <c r="G51" s="51">
        <v>20000</v>
      </c>
      <c r="H51" s="51">
        <f t="shared" ref="H51:H56" si="66">F51*G51</f>
        <v>200000</v>
      </c>
      <c r="I51" s="54"/>
      <c r="J51" s="51">
        <f>F51*$J$49</f>
        <v>10</v>
      </c>
      <c r="K51" s="51">
        <f>G51*$K$49</f>
        <v>20000</v>
      </c>
      <c r="L51" s="51">
        <f t="shared" ref="L51:L56" si="67">J51*K51</f>
        <v>200000</v>
      </c>
      <c r="M51" s="54"/>
      <c r="N51" s="51">
        <f>J51*$N$49</f>
        <v>10</v>
      </c>
      <c r="O51" s="51">
        <f>K51*$O$49</f>
        <v>20000</v>
      </c>
      <c r="P51" s="51">
        <f t="shared" ref="P51:P56" si="68">N51*O51</f>
        <v>200000</v>
      </c>
      <c r="Q51" s="54"/>
      <c r="R51" s="51">
        <f>N51*$R$49</f>
        <v>10</v>
      </c>
      <c r="S51" s="51">
        <f>O51*$S$49</f>
        <v>20000</v>
      </c>
      <c r="T51" s="51">
        <f t="shared" ref="T51:T56" si="69">R51*S51</f>
        <v>200000</v>
      </c>
      <c r="U51" s="54"/>
      <c r="V51" s="51">
        <f>R51*$V$49</f>
        <v>10</v>
      </c>
      <c r="W51" s="51">
        <f>S51*$W$49</f>
        <v>20000</v>
      </c>
      <c r="X51" s="51">
        <f t="shared" ref="X51:X56" si="70">V51*W51</f>
        <v>200000</v>
      </c>
      <c r="Y51" s="54"/>
      <c r="Z51" s="51">
        <f>V51*$Z$49</f>
        <v>10</v>
      </c>
      <c r="AA51" s="51">
        <f>W51*$AA$49</f>
        <v>20000</v>
      </c>
      <c r="AB51" s="51">
        <f t="shared" ref="AB51:AB56" si="71">Z51*AA51</f>
        <v>200000</v>
      </c>
      <c r="AC51" s="54"/>
      <c r="AD51" s="51">
        <f>Z51*$AD$49</f>
        <v>10</v>
      </c>
      <c r="AE51" s="51">
        <f>AA51*$AE$49</f>
        <v>20000</v>
      </c>
      <c r="AF51" s="51">
        <f t="shared" ref="AF51:AF56" si="72">AD51*AE51</f>
        <v>200000</v>
      </c>
      <c r="AG51" s="54"/>
      <c r="AH51" s="51">
        <f>AD51*$AH$49</f>
        <v>10</v>
      </c>
      <c r="AI51" s="51">
        <f>AE51*$AI$49</f>
        <v>20000</v>
      </c>
      <c r="AJ51" s="51">
        <f t="shared" ref="AJ51:AJ56" si="73">AH51*AI51</f>
        <v>200000</v>
      </c>
      <c r="AK51" s="54"/>
      <c r="AL51" s="51">
        <f>AH51*$AL$49</f>
        <v>10</v>
      </c>
      <c r="AM51" s="51">
        <f>AI51*$AM$49</f>
        <v>20000</v>
      </c>
      <c r="AN51" s="51">
        <f t="shared" ref="AN51:AN56" si="74">AL51*AM51</f>
        <v>200000</v>
      </c>
      <c r="AO51" s="54"/>
      <c r="AP51" s="54"/>
      <c r="AQ51" s="85"/>
      <c r="AR51" s="85"/>
      <c r="AS51" s="80">
        <f t="shared" ref="AS51:AS57" si="75">SUMIF($F$6:$AN$6,$AS$6,F51:AN51)</f>
        <v>1800000</v>
      </c>
      <c r="AT51" t="b">
        <f>(AQ51*AR51)=AS51</f>
        <v>0</v>
      </c>
      <c r="AU51" s="51">
        <f>(AQ51/AR8*12)*$AU$49</f>
        <v>0</v>
      </c>
      <c r="AV51" s="51">
        <f>AR51*$AV$49</f>
        <v>0</v>
      </c>
      <c r="AW51" s="51">
        <f>AS51+(AS51*$AW$49)</f>
        <v>2430000</v>
      </c>
      <c r="AX51" s="54"/>
      <c r="AY51" s="51">
        <f>AU51*$AY$49</f>
        <v>0</v>
      </c>
      <c r="AZ51" s="51">
        <f>AV51*$AZ$49</f>
        <v>0</v>
      </c>
      <c r="BA51" s="51">
        <f t="shared" ref="BA51:BA57" si="76">AW51+(AW51*$BA$49)</f>
        <v>3402000</v>
      </c>
      <c r="BC51" s="51">
        <f>AY51*$BC$49</f>
        <v>0</v>
      </c>
      <c r="BD51" s="51">
        <f>AZ51*$BD$49</f>
        <v>0</v>
      </c>
      <c r="BE51" s="51">
        <f t="shared" ref="BE51:BE57" si="77">BA51+(BA51*$BE$49)</f>
        <v>4490640</v>
      </c>
      <c r="BG51" s="51">
        <f>BC51*$BG$49</f>
        <v>0</v>
      </c>
      <c r="BH51" s="51">
        <f>BD51*$BH$49</f>
        <v>0</v>
      </c>
      <c r="BI51" s="51">
        <f t="shared" ref="BI51:BI57" si="78">BE51+(BE51*$BI$49)</f>
        <v>5837832</v>
      </c>
      <c r="BK51" s="51">
        <f>BG51*$BK$49</f>
        <v>0</v>
      </c>
      <c r="BL51" s="51">
        <f>BH51*$BL$49</f>
        <v>0</v>
      </c>
      <c r="BM51" s="51">
        <f t="shared" ref="BM51:BM57" si="79">BI51+(BI51*$BM$49)</f>
        <v>7297290</v>
      </c>
    </row>
    <row r="52" ht="18.75" customHeight="1" spans="2:65" x14ac:dyDescent="0.25">
      <c r="B52" s="5" t="s">
        <v>71</v>
      </c>
      <c r="C52" s="27"/>
      <c r="D52" s="27" t="s">
        <v>255</v>
      </c>
      <c r="E52" s="30"/>
      <c r="F52" s="51">
        <v>10</v>
      </c>
      <c r="G52" s="51">
        <v>15000</v>
      </c>
      <c r="H52" s="51">
        <f t="shared" si="66"/>
        <v>150000</v>
      </c>
      <c r="I52" s="54"/>
      <c r="J52" s="51">
        <v>10</v>
      </c>
      <c r="K52" s="51">
        <v>15000</v>
      </c>
      <c r="L52" s="51">
        <f t="shared" si="67"/>
        <v>150000</v>
      </c>
      <c r="M52" s="54"/>
      <c r="N52" s="51">
        <v>10</v>
      </c>
      <c r="O52" s="51">
        <v>15000</v>
      </c>
      <c r="P52" s="51">
        <f t="shared" si="68"/>
        <v>150000</v>
      </c>
      <c r="Q52" s="54"/>
      <c r="R52" s="51">
        <v>10</v>
      </c>
      <c r="S52" s="51">
        <v>15000</v>
      </c>
      <c r="T52" s="51">
        <f t="shared" si="69"/>
        <v>150000</v>
      </c>
      <c r="U52" s="54"/>
      <c r="V52" s="51">
        <v>10</v>
      </c>
      <c r="W52" s="51">
        <v>15000</v>
      </c>
      <c r="X52" s="51">
        <f t="shared" si="70"/>
        <v>150000</v>
      </c>
      <c r="Y52" s="54"/>
      <c r="Z52" s="51">
        <v>10</v>
      </c>
      <c r="AA52" s="51">
        <v>15000</v>
      </c>
      <c r="AB52" s="51">
        <f t="shared" si="71"/>
        <v>150000</v>
      </c>
      <c r="AC52" s="54"/>
      <c r="AD52" s="51">
        <v>10</v>
      </c>
      <c r="AE52" s="51">
        <v>15000</v>
      </c>
      <c r="AF52" s="51">
        <f t="shared" si="72"/>
        <v>150000</v>
      </c>
      <c r="AG52" s="54"/>
      <c r="AH52" s="51">
        <v>10</v>
      </c>
      <c r="AI52" s="51">
        <v>15000</v>
      </c>
      <c r="AJ52" s="51">
        <f t="shared" si="73"/>
        <v>150000</v>
      </c>
      <c r="AK52" s="54"/>
      <c r="AL52" s="51">
        <v>10</v>
      </c>
      <c r="AM52" s="51">
        <v>15000</v>
      </c>
      <c r="AN52" s="51">
        <f t="shared" si="74"/>
        <v>150000</v>
      </c>
      <c r="AO52" s="54"/>
      <c r="AP52" s="54"/>
      <c r="AQ52" s="85"/>
      <c r="AR52" s="85"/>
      <c r="AS52" s="80">
        <f t="shared" si="75"/>
        <v>1350000</v>
      </c>
      <c r="AU52" s="51"/>
      <c r="AV52" s="51"/>
      <c r="AW52" s="51">
        <f t="shared" ref="AW52:AW57" si="80">AS52+(AS52*$AW$49)</f>
        <v>1822500</v>
      </c>
      <c r="AY52" s="51"/>
      <c r="AZ52" s="51"/>
      <c r="BA52" s="51">
        <f t="shared" si="76"/>
        <v>2551500</v>
      </c>
      <c r="BC52" s="51"/>
      <c r="BD52" s="51"/>
      <c r="BE52" s="51">
        <f t="shared" si="77"/>
        <v>3367980</v>
      </c>
      <c r="BG52" s="51"/>
      <c r="BH52" s="51"/>
      <c r="BI52" s="51">
        <f t="shared" si="78"/>
        <v>4378374</v>
      </c>
      <c r="BK52" s="51"/>
      <c r="BL52" s="51"/>
      <c r="BM52" s="51">
        <f t="shared" si="79"/>
        <v>5472967.5</v>
      </c>
    </row>
    <row r="53" ht="18.75" customHeight="1" spans="2:65" x14ac:dyDescent="0.25">
      <c r="B53" s="5" t="s">
        <v>72</v>
      </c>
      <c r="C53" s="27"/>
      <c r="D53" s="27" t="s">
        <v>256</v>
      </c>
      <c r="E53" s="30"/>
      <c r="F53" s="51">
        <v>10</v>
      </c>
      <c r="G53" s="51">
        <v>15000</v>
      </c>
      <c r="H53" s="51">
        <f t="shared" si="66"/>
        <v>150000</v>
      </c>
      <c r="I53" s="54"/>
      <c r="J53" s="51">
        <v>10</v>
      </c>
      <c r="K53" s="51">
        <v>15000</v>
      </c>
      <c r="L53" s="51">
        <f t="shared" si="67"/>
        <v>150000</v>
      </c>
      <c r="M53" s="54"/>
      <c r="N53" s="51">
        <v>10</v>
      </c>
      <c r="O53" s="51">
        <v>15000</v>
      </c>
      <c r="P53" s="51">
        <f t="shared" si="68"/>
        <v>150000</v>
      </c>
      <c r="Q53" s="54"/>
      <c r="R53" s="51">
        <v>10</v>
      </c>
      <c r="S53" s="51">
        <v>15000</v>
      </c>
      <c r="T53" s="51">
        <f t="shared" si="69"/>
        <v>150000</v>
      </c>
      <c r="U53" s="54"/>
      <c r="V53" s="51">
        <v>10</v>
      </c>
      <c r="W53" s="51">
        <v>15000</v>
      </c>
      <c r="X53" s="51">
        <f t="shared" si="70"/>
        <v>150000</v>
      </c>
      <c r="Y53" s="54"/>
      <c r="Z53" s="51">
        <v>10</v>
      </c>
      <c r="AA53" s="51">
        <v>15000</v>
      </c>
      <c r="AB53" s="51">
        <f t="shared" si="71"/>
        <v>150000</v>
      </c>
      <c r="AC53" s="54"/>
      <c r="AD53" s="51">
        <v>10</v>
      </c>
      <c r="AE53" s="51">
        <v>15000</v>
      </c>
      <c r="AF53" s="51">
        <f t="shared" si="72"/>
        <v>150000</v>
      </c>
      <c r="AG53" s="54"/>
      <c r="AH53" s="51">
        <v>10</v>
      </c>
      <c r="AI53" s="51">
        <v>15000</v>
      </c>
      <c r="AJ53" s="51">
        <f t="shared" si="73"/>
        <v>150000</v>
      </c>
      <c r="AK53" s="54"/>
      <c r="AL53" s="51">
        <v>10</v>
      </c>
      <c r="AM53" s="51">
        <v>15000</v>
      </c>
      <c r="AN53" s="51">
        <f t="shared" si="74"/>
        <v>150000</v>
      </c>
      <c r="AO53" s="54"/>
      <c r="AP53" s="54"/>
      <c r="AQ53" s="85"/>
      <c r="AR53" s="85"/>
      <c r="AS53" s="80">
        <f t="shared" si="75"/>
        <v>1350000</v>
      </c>
      <c r="AU53" s="51"/>
      <c r="AV53" s="51"/>
      <c r="AW53" s="51">
        <f t="shared" si="80"/>
        <v>1822500</v>
      </c>
      <c r="AY53" s="51"/>
      <c r="AZ53" s="51"/>
      <c r="BA53" s="51">
        <f t="shared" si="76"/>
        <v>2551500</v>
      </c>
      <c r="BC53" s="51"/>
      <c r="BD53" s="51"/>
      <c r="BE53" s="51">
        <f t="shared" si="77"/>
        <v>3367980</v>
      </c>
      <c r="BG53" s="51"/>
      <c r="BH53" s="51"/>
      <c r="BI53" s="51">
        <f t="shared" si="78"/>
        <v>4378374</v>
      </c>
      <c r="BK53" s="51"/>
      <c r="BL53" s="51"/>
      <c r="BM53" s="51">
        <f t="shared" si="79"/>
        <v>5472967.5</v>
      </c>
    </row>
    <row r="54" ht="18.75" customHeight="1" spans="2:65" x14ac:dyDescent="0.25">
      <c r="B54" s="5"/>
      <c r="C54" s="27"/>
      <c r="D54" s="27" t="s">
        <v>257</v>
      </c>
      <c r="E54" s="30"/>
      <c r="F54" s="51">
        <v>3</v>
      </c>
      <c r="G54" s="51">
        <v>15000</v>
      </c>
      <c r="H54" s="51">
        <f t="shared" si="66"/>
        <v>45000</v>
      </c>
      <c r="I54" s="54"/>
      <c r="J54" s="51">
        <v>3</v>
      </c>
      <c r="K54" s="51">
        <v>15000</v>
      </c>
      <c r="L54" s="51">
        <f t="shared" si="67"/>
        <v>45000</v>
      </c>
      <c r="M54" s="54"/>
      <c r="N54" s="51">
        <v>3</v>
      </c>
      <c r="O54" s="51">
        <v>15000</v>
      </c>
      <c r="P54" s="51">
        <f t="shared" si="68"/>
        <v>45000</v>
      </c>
      <c r="Q54" s="54"/>
      <c r="R54" s="51">
        <v>3</v>
      </c>
      <c r="S54" s="51">
        <v>15000</v>
      </c>
      <c r="T54" s="51">
        <f t="shared" si="69"/>
        <v>45000</v>
      </c>
      <c r="U54" s="54"/>
      <c r="V54" s="51">
        <v>3</v>
      </c>
      <c r="W54" s="51">
        <v>15000</v>
      </c>
      <c r="X54" s="51">
        <f t="shared" si="70"/>
        <v>45000</v>
      </c>
      <c r="Y54" s="54"/>
      <c r="Z54" s="51">
        <v>3</v>
      </c>
      <c r="AA54" s="51">
        <v>15000</v>
      </c>
      <c r="AB54" s="51">
        <f t="shared" si="71"/>
        <v>45000</v>
      </c>
      <c r="AC54" s="54"/>
      <c r="AD54" s="51">
        <v>3</v>
      </c>
      <c r="AE54" s="51">
        <v>15000</v>
      </c>
      <c r="AF54" s="51">
        <f t="shared" si="72"/>
        <v>45000</v>
      </c>
      <c r="AG54" s="54"/>
      <c r="AH54" s="51">
        <v>3</v>
      </c>
      <c r="AI54" s="51">
        <v>15000</v>
      </c>
      <c r="AJ54" s="51">
        <f t="shared" si="73"/>
        <v>45000</v>
      </c>
      <c r="AK54" s="54"/>
      <c r="AL54" s="51">
        <v>3</v>
      </c>
      <c r="AM54" s="51">
        <v>15000</v>
      </c>
      <c r="AN54" s="51">
        <f t="shared" si="74"/>
        <v>45000</v>
      </c>
      <c r="AO54" s="54"/>
      <c r="AP54" s="54"/>
      <c r="AQ54" s="85"/>
      <c r="AR54" s="85"/>
      <c r="AS54" s="80">
        <f t="shared" si="75"/>
        <v>405000</v>
      </c>
      <c r="AU54" s="51"/>
      <c r="AV54" s="51"/>
      <c r="AW54" s="51">
        <f t="shared" si="80"/>
        <v>546750</v>
      </c>
      <c r="AY54" s="51"/>
      <c r="AZ54" s="51"/>
      <c r="BA54" s="51">
        <f t="shared" si="76"/>
        <v>765450</v>
      </c>
      <c r="BC54" s="51"/>
      <c r="BD54" s="51"/>
      <c r="BE54" s="51">
        <f t="shared" si="77"/>
        <v>1010394</v>
      </c>
      <c r="BG54" s="51"/>
      <c r="BH54" s="51"/>
      <c r="BI54" s="51">
        <f t="shared" si="78"/>
        <v>1313512.2</v>
      </c>
      <c r="BK54" s="51"/>
      <c r="BL54" s="51"/>
      <c r="BM54" s="51">
        <f t="shared" si="79"/>
        <v>1641890.25</v>
      </c>
    </row>
    <row r="55" ht="18.75" customHeight="1" spans="2:65" x14ac:dyDescent="0.25">
      <c r="B55" s="5"/>
      <c r="C55" s="27"/>
      <c r="D55" s="27" t="s">
        <v>258</v>
      </c>
      <c r="E55" s="30"/>
      <c r="F55" s="51">
        <v>3</v>
      </c>
      <c r="G55" s="51">
        <v>15000</v>
      </c>
      <c r="H55" s="51">
        <f t="shared" si="66"/>
        <v>45000</v>
      </c>
      <c r="I55" s="54"/>
      <c r="J55" s="51">
        <v>3</v>
      </c>
      <c r="K55" s="51">
        <v>15000</v>
      </c>
      <c r="L55" s="51">
        <f t="shared" si="67"/>
        <v>45000</v>
      </c>
      <c r="M55" s="54"/>
      <c r="N55" s="51">
        <v>3</v>
      </c>
      <c r="O55" s="51">
        <v>15000</v>
      </c>
      <c r="P55" s="51">
        <f t="shared" si="68"/>
        <v>45000</v>
      </c>
      <c r="Q55" s="54"/>
      <c r="R55" s="51">
        <v>3</v>
      </c>
      <c r="S55" s="51">
        <v>15000</v>
      </c>
      <c r="T55" s="51">
        <f t="shared" si="69"/>
        <v>45000</v>
      </c>
      <c r="U55" s="54"/>
      <c r="V55" s="51">
        <v>3</v>
      </c>
      <c r="W55" s="51">
        <v>15000</v>
      </c>
      <c r="X55" s="51">
        <f t="shared" si="70"/>
        <v>45000</v>
      </c>
      <c r="Y55" s="54"/>
      <c r="Z55" s="51">
        <v>3</v>
      </c>
      <c r="AA55" s="51">
        <v>15000</v>
      </c>
      <c r="AB55" s="51">
        <f t="shared" si="71"/>
        <v>45000</v>
      </c>
      <c r="AC55" s="54"/>
      <c r="AD55" s="51">
        <v>3</v>
      </c>
      <c r="AE55" s="51">
        <v>15000</v>
      </c>
      <c r="AF55" s="51">
        <f t="shared" si="72"/>
        <v>45000</v>
      </c>
      <c r="AG55" s="54"/>
      <c r="AH55" s="51">
        <v>3</v>
      </c>
      <c r="AI55" s="51">
        <v>15000</v>
      </c>
      <c r="AJ55" s="51">
        <f t="shared" si="73"/>
        <v>45000</v>
      </c>
      <c r="AK55" s="54"/>
      <c r="AL55" s="51">
        <v>3</v>
      </c>
      <c r="AM55" s="51">
        <v>15000</v>
      </c>
      <c r="AN55" s="51">
        <f t="shared" si="74"/>
        <v>45000</v>
      </c>
      <c r="AO55" s="54"/>
      <c r="AP55" s="54"/>
      <c r="AQ55" s="85"/>
      <c r="AR55" s="85"/>
      <c r="AS55" s="80">
        <f t="shared" si="75"/>
        <v>405000</v>
      </c>
      <c r="AU55" s="51"/>
      <c r="AV55" s="51"/>
      <c r="AW55" s="51">
        <f t="shared" si="80"/>
        <v>546750</v>
      </c>
      <c r="AY55" s="51"/>
      <c r="AZ55" s="51"/>
      <c r="BA55" s="51">
        <f t="shared" si="76"/>
        <v>765450</v>
      </c>
      <c r="BC55" s="51"/>
      <c r="BD55" s="51"/>
      <c r="BE55" s="51">
        <f t="shared" si="77"/>
        <v>1010394</v>
      </c>
      <c r="BG55" s="51"/>
      <c r="BH55" s="51"/>
      <c r="BI55" s="51">
        <f t="shared" si="78"/>
        <v>1313512.2</v>
      </c>
      <c r="BK55" s="51"/>
      <c r="BL55" s="51"/>
      <c r="BM55" s="51">
        <f t="shared" si="79"/>
        <v>1641890.25</v>
      </c>
    </row>
    <row r="56" ht="18.75" customHeight="1" spans="2:65" x14ac:dyDescent="0.25">
      <c r="B56" s="5" t="s">
        <v>73</v>
      </c>
      <c r="C56" s="27"/>
      <c r="D56" s="29" t="s">
        <v>259</v>
      </c>
      <c r="E56" s="30"/>
      <c r="F56" s="51">
        <v>2</v>
      </c>
      <c r="G56" s="51">
        <v>30000</v>
      </c>
      <c r="H56" s="51">
        <f t="shared" si="66"/>
        <v>60000</v>
      </c>
      <c r="I56" s="54"/>
      <c r="J56" s="51">
        <v>2</v>
      </c>
      <c r="K56" s="51">
        <v>30000</v>
      </c>
      <c r="L56" s="51">
        <f t="shared" si="67"/>
        <v>60000</v>
      </c>
      <c r="M56" s="54"/>
      <c r="N56" s="51">
        <v>2</v>
      </c>
      <c r="O56" s="51">
        <v>30000</v>
      </c>
      <c r="P56" s="51">
        <f t="shared" si="68"/>
        <v>60000</v>
      </c>
      <c r="Q56" s="54"/>
      <c r="R56" s="51">
        <v>2</v>
      </c>
      <c r="S56" s="51">
        <v>30000</v>
      </c>
      <c r="T56" s="51">
        <f t="shared" si="69"/>
        <v>60000</v>
      </c>
      <c r="U56" s="54"/>
      <c r="V56" s="51">
        <v>2</v>
      </c>
      <c r="W56" s="51">
        <v>30000</v>
      </c>
      <c r="X56" s="51">
        <f t="shared" si="70"/>
        <v>60000</v>
      </c>
      <c r="Y56" s="54"/>
      <c r="Z56" s="51">
        <v>2</v>
      </c>
      <c r="AA56" s="51">
        <v>30000</v>
      </c>
      <c r="AB56" s="51">
        <f t="shared" si="71"/>
        <v>60000</v>
      </c>
      <c r="AC56" s="54"/>
      <c r="AD56" s="51">
        <v>2</v>
      </c>
      <c r="AE56" s="51">
        <v>30000</v>
      </c>
      <c r="AF56" s="51">
        <f t="shared" si="72"/>
        <v>60000</v>
      </c>
      <c r="AG56" s="54"/>
      <c r="AH56" s="51">
        <v>2</v>
      </c>
      <c r="AI56" s="51">
        <v>30000</v>
      </c>
      <c r="AJ56" s="51">
        <f t="shared" si="73"/>
        <v>60000</v>
      </c>
      <c r="AK56" s="54"/>
      <c r="AL56" s="51">
        <v>2</v>
      </c>
      <c r="AM56" s="51">
        <v>30000</v>
      </c>
      <c r="AN56" s="51">
        <f t="shared" si="74"/>
        <v>60000</v>
      </c>
      <c r="AO56" s="54"/>
      <c r="AP56" s="54"/>
      <c r="AQ56" s="85"/>
      <c r="AR56" s="85"/>
      <c r="AS56" s="80">
        <f t="shared" si="75"/>
        <v>540000</v>
      </c>
      <c r="AU56" s="51"/>
      <c r="AV56" s="51"/>
      <c r="AW56" s="51">
        <f t="shared" si="80"/>
        <v>729000</v>
      </c>
      <c r="AY56" s="51"/>
      <c r="AZ56" s="51"/>
      <c r="BA56" s="51">
        <f t="shared" si="76"/>
        <v>1020600</v>
      </c>
      <c r="BC56" s="51"/>
      <c r="BD56" s="51"/>
      <c r="BE56" s="51">
        <f t="shared" si="77"/>
        <v>1347192</v>
      </c>
      <c r="BG56" s="51"/>
      <c r="BH56" s="51"/>
      <c r="BI56" s="51">
        <f t="shared" si="78"/>
        <v>1751349.6</v>
      </c>
      <c r="BK56" s="51"/>
      <c r="BL56" s="51"/>
      <c r="BM56" s="51">
        <f t="shared" si="79"/>
        <v>2189187</v>
      </c>
    </row>
    <row r="57" ht="18.75" customHeight="1" spans="2:65" x14ac:dyDescent="0.25">
      <c r="B57" s="5" t="s">
        <v>74</v>
      </c>
      <c r="C57" s="27"/>
      <c r="D57" s="29">
        <v>0</v>
      </c>
      <c r="E57" s="30"/>
      <c r="F57" s="51"/>
      <c r="G57" s="51"/>
      <c r="H57" s="51"/>
      <c r="I57" s="54"/>
      <c r="J57" s="51"/>
      <c r="K57" s="51"/>
      <c r="L57" s="51"/>
      <c r="M57" s="54"/>
      <c r="N57" s="51"/>
      <c r="O57" s="51"/>
      <c r="P57" s="51"/>
      <c r="Q57" s="54"/>
      <c r="R57" s="51"/>
      <c r="S57" s="51"/>
      <c r="T57" s="51"/>
      <c r="U57" s="54"/>
      <c r="V57" s="51"/>
      <c r="W57" s="51"/>
      <c r="X57" s="51"/>
      <c r="Y57" s="54"/>
      <c r="Z57" s="51"/>
      <c r="AA57" s="51"/>
      <c r="AB57" s="51"/>
      <c r="AC57" s="54"/>
      <c r="AD57" s="51"/>
      <c r="AE57" s="51"/>
      <c r="AF57" s="51"/>
      <c r="AG57" s="54"/>
      <c r="AH57" s="51"/>
      <c r="AI57" s="51"/>
      <c r="AJ57" s="51"/>
      <c r="AK57" s="54"/>
      <c r="AL57" s="51"/>
      <c r="AM57" s="51"/>
      <c r="AN57" s="51"/>
      <c r="AO57" s="54"/>
      <c r="AP57" s="54"/>
      <c r="AQ57" s="85"/>
      <c r="AR57" s="85"/>
      <c r="AS57" s="80">
        <f t="shared" si="75"/>
        <v>0</v>
      </c>
      <c r="AU57" s="51"/>
      <c r="AV57" s="51"/>
      <c r="AW57" s="51">
        <f t="shared" si="80"/>
        <v>0</v>
      </c>
      <c r="AY57" s="51"/>
      <c r="AZ57" s="51"/>
      <c r="BA57" s="51">
        <f t="shared" si="76"/>
        <v>0</v>
      </c>
      <c r="BC57" s="51"/>
      <c r="BD57" s="51"/>
      <c r="BE57" s="51">
        <f t="shared" si="77"/>
        <v>0</v>
      </c>
      <c r="BG57" s="51"/>
      <c r="BH57" s="51"/>
      <c r="BI57" s="51">
        <f t="shared" si="78"/>
        <v>0</v>
      </c>
      <c r="BK57" s="51"/>
      <c r="BL57" s="51"/>
      <c r="BM57" s="51">
        <f t="shared" si="79"/>
        <v>0</v>
      </c>
    </row>
    <row r="58" ht="18.75" customHeight="1" spans="2:65" x14ac:dyDescent="0.25">
      <c r="B58" s="34" t="s">
        <v>58</v>
      </c>
      <c r="C58" s="34"/>
      <c r="D58" s="34"/>
      <c r="E58" s="30"/>
      <c r="F58" s="81">
        <f>SUM(F51:F57)</f>
        <v>38</v>
      </c>
      <c r="G58" s="81"/>
      <c r="H58" s="81">
        <f>SUM(H51:H57)</f>
        <v>650000</v>
      </c>
      <c r="I58" s="81"/>
      <c r="J58" s="81">
        <f>SUM(J51:J57)</f>
        <v>38</v>
      </c>
      <c r="K58" s="81"/>
      <c r="L58" s="81">
        <f>SUM(L51:L57)</f>
        <v>650000</v>
      </c>
      <c r="M58" s="81"/>
      <c r="N58" s="81">
        <f>SUM(N51:N57)</f>
        <v>38</v>
      </c>
      <c r="O58" s="81"/>
      <c r="P58" s="81">
        <f>SUM(P51:P57)</f>
        <v>650000</v>
      </c>
      <c r="Q58" s="81"/>
      <c r="R58" s="81">
        <f>SUM(R51:R57)</f>
        <v>38</v>
      </c>
      <c r="S58" s="81"/>
      <c r="T58" s="81">
        <f>SUM(T51:T57)</f>
        <v>650000</v>
      </c>
      <c r="U58" s="81"/>
      <c r="V58" s="81">
        <f>SUM(V51:V57)</f>
        <v>38</v>
      </c>
      <c r="W58" s="81"/>
      <c r="X58" s="81">
        <f>SUM(X51:X57)</f>
        <v>650000</v>
      </c>
      <c r="Y58" s="81"/>
      <c r="Z58" s="81">
        <f>SUM(Z51:Z57)</f>
        <v>38</v>
      </c>
      <c r="AA58" s="81"/>
      <c r="AB58" s="81">
        <f>SUM(AB51:AB57)</f>
        <v>650000</v>
      </c>
      <c r="AC58" s="81"/>
      <c r="AD58" s="81">
        <f>SUM(AD51:AD57)</f>
        <v>38</v>
      </c>
      <c r="AE58" s="81"/>
      <c r="AF58" s="81">
        <f>SUM(AF51:AF57)</f>
        <v>650000</v>
      </c>
      <c r="AG58" s="81"/>
      <c r="AH58" s="81">
        <f>SUM(AH51:AH57)</f>
        <v>38</v>
      </c>
      <c r="AI58" s="81"/>
      <c r="AJ58" s="81">
        <f>SUM(AJ51:AJ57)</f>
        <v>650000</v>
      </c>
      <c r="AK58" s="81"/>
      <c r="AL58" s="81">
        <f>SUM(AL51:AL57)</f>
        <v>38</v>
      </c>
      <c r="AM58" s="81"/>
      <c r="AN58" s="81">
        <f>SUM(AN51:AN57)</f>
        <v>650000</v>
      </c>
      <c r="AO58" s="81"/>
      <c r="AP58" s="81"/>
      <c r="AQ58" s="81">
        <f>SUM(AQ51:AQ57)</f>
        <v>0</v>
      </c>
      <c r="AR58" s="81"/>
      <c r="AS58" s="81">
        <f>SUM(AS51:AS57)</f>
        <v>5850000</v>
      </c>
      <c r="AT58" s="9"/>
      <c r="AU58" s="81">
        <f>SUM(AU51:AU57)</f>
        <v>0</v>
      </c>
      <c r="AV58" s="81"/>
      <c r="AW58" s="81">
        <f>SUM(AW51:AW57)</f>
        <v>7897500</v>
      </c>
      <c r="AX58" s="9"/>
      <c r="AY58" s="81">
        <f>SUM(AY51:AY57)</f>
        <v>0</v>
      </c>
      <c r="AZ58" s="81"/>
      <c r="BA58" s="81">
        <f>SUM(BA51:BA57)</f>
        <v>11056500</v>
      </c>
      <c r="BB58" s="9"/>
      <c r="BC58" s="81">
        <f>SUM(BC51:BC57)</f>
        <v>0</v>
      </c>
      <c r="BD58" s="81"/>
      <c r="BE58" s="81">
        <f>SUM(BE51:BE57)</f>
        <v>14594580</v>
      </c>
      <c r="BF58" s="9"/>
      <c r="BG58" s="81">
        <f>SUM(BG51:BG57)</f>
        <v>0</v>
      </c>
      <c r="BH58" s="81"/>
      <c r="BI58" s="81">
        <f>SUM(BI51:BI57)</f>
        <v>18972954</v>
      </c>
      <c r="BJ58" s="9"/>
      <c r="BK58" s="81">
        <f>SUM(BK51:BK57)</f>
        <v>0</v>
      </c>
      <c r="BL58" s="81"/>
      <c r="BM58" s="81">
        <f>SUM(BM51:BM57)</f>
        <v>23716192.5</v>
      </c>
    </row>
    <row r="59" ht="9.75" customHeight="1" spans="2:65" x14ac:dyDescent="0.25">
      <c r="B59" s="9"/>
      <c r="C59" s="28"/>
      <c r="D59" s="30"/>
      <c r="E59" s="30"/>
      <c r="F59" s="54"/>
      <c r="G59" s="54"/>
      <c r="H59" s="54"/>
      <c r="I59" s="54"/>
      <c r="J59" s="54"/>
      <c r="K59" s="54"/>
      <c r="L59" s="54"/>
      <c r="M59" s="54"/>
      <c r="N59" s="54"/>
      <c r="O59" s="54"/>
      <c r="P59" s="54"/>
      <c r="Q59" s="54"/>
      <c r="R59" s="54"/>
      <c r="S59" s="54"/>
      <c r="T59" s="54"/>
      <c r="U59" s="54"/>
      <c r="V59" s="54"/>
      <c r="W59" s="54"/>
      <c r="X59" s="54"/>
      <c r="Y59" s="54"/>
      <c r="Z59" s="54"/>
      <c r="AA59" s="54"/>
      <c r="AB59" s="54"/>
      <c r="AC59" s="54"/>
      <c r="AD59" s="54"/>
      <c r="AE59" s="54"/>
      <c r="AF59" s="54"/>
      <c r="AG59" s="54"/>
      <c r="AH59" s="54"/>
      <c r="AI59" s="54"/>
      <c r="AJ59" s="54"/>
      <c r="AK59" s="54"/>
      <c r="AL59" s="54"/>
      <c r="AM59" s="54"/>
      <c r="AN59" s="54"/>
      <c r="AO59" s="54"/>
      <c r="AP59" s="54"/>
      <c r="AQ59" s="54"/>
      <c r="AR59" s="54"/>
      <c r="AS59" s="54"/>
      <c r="AU59" s="54"/>
      <c r="AV59" s="54"/>
      <c r="AW59" s="54"/>
      <c r="AY59" s="54"/>
      <c r="AZ59" s="54"/>
      <c r="BA59" s="54"/>
      <c r="BC59" s="54"/>
      <c r="BD59" s="54"/>
      <c r="BE59" s="54"/>
      <c r="BG59" s="54"/>
      <c r="BH59" s="54"/>
      <c r="BI59" s="54"/>
      <c r="BK59" s="54"/>
      <c r="BL59" s="54"/>
      <c r="BM59" s="54"/>
    </row>
    <row r="60" ht="18.75" customHeight="1" spans="2:65" x14ac:dyDescent="0.25">
      <c r="B60" s="9"/>
      <c r="C60" s="28"/>
      <c r="D60" s="28"/>
      <c r="E60" s="28"/>
      <c r="F60" s="28"/>
      <c r="J60" s="78">
        <f>$J$8</f>
        <v>1</v>
      </c>
      <c r="K60" s="78">
        <f>$K$8</f>
        <v>1</v>
      </c>
      <c r="L60" s="77"/>
      <c r="M60" s="77"/>
      <c r="N60" s="78">
        <f>$N$8</f>
        <v>1</v>
      </c>
      <c r="O60" s="78">
        <f>$O$8</f>
        <v>1</v>
      </c>
      <c r="P60" s="77"/>
      <c r="Q60" s="77"/>
      <c r="R60" s="78">
        <f>$R$8</f>
        <v>1</v>
      </c>
      <c r="S60" s="78">
        <f>$S$8</f>
        <v>1</v>
      </c>
      <c r="T60" s="77"/>
      <c r="U60" s="77"/>
      <c r="V60" s="78">
        <f>$V$8</f>
        <v>1</v>
      </c>
      <c r="W60" s="78">
        <f>$W$8</f>
        <v>1</v>
      </c>
      <c r="X60" s="77"/>
      <c r="Y60" s="77"/>
      <c r="Z60" s="78">
        <f>$Z$8</f>
        <v>1</v>
      </c>
      <c r="AA60" s="78">
        <f>$AA$8</f>
        <v>1</v>
      </c>
      <c r="AB60" s="77"/>
      <c r="AC60" s="77"/>
      <c r="AD60" s="78">
        <f>$AD$8</f>
        <v>1</v>
      </c>
      <c r="AE60" s="78">
        <f>$AE$8</f>
        <v>1</v>
      </c>
      <c r="AF60" s="77"/>
      <c r="AG60" s="77"/>
      <c r="AH60" s="78">
        <f>$AH$8</f>
        <v>1</v>
      </c>
      <c r="AI60" s="78">
        <f>$AI$8</f>
        <v>1</v>
      </c>
      <c r="AJ60" s="77"/>
      <c r="AK60" s="77"/>
      <c r="AL60" s="78">
        <f>$AL$8</f>
        <v>1</v>
      </c>
      <c r="AM60" s="78">
        <f>$AM$8</f>
        <v>1</v>
      </c>
      <c r="AN60" s="77"/>
      <c r="AO60" s="77"/>
      <c r="AP60" s="54"/>
      <c r="AQ60" s="54"/>
      <c r="AR60" s="54"/>
      <c r="AS60" s="54"/>
      <c r="AU60" s="78">
        <f>$AU$8</f>
        <v>1.25</v>
      </c>
      <c r="AV60" s="78">
        <f>$AV$8</f>
        <v>1.2</v>
      </c>
      <c r="AW60" s="54"/>
      <c r="AY60" s="78">
        <f>$AY$8</f>
        <v>1.2</v>
      </c>
      <c r="AZ60" s="78">
        <f>$AZ$8</f>
        <v>1.2</v>
      </c>
      <c r="BA60" s="77"/>
      <c r="BB60" s="28"/>
      <c r="BC60" s="78">
        <f>$BC$8</f>
        <v>1.2</v>
      </c>
      <c r="BD60" s="78">
        <f>$BD$8</f>
        <v>1.25</v>
      </c>
      <c r="BE60" s="77"/>
      <c r="BF60" s="28"/>
      <c r="BG60" s="78">
        <f>$BG$8</f>
        <v>1.25</v>
      </c>
      <c r="BH60" s="78">
        <f>$BH$8</f>
        <v>1.25</v>
      </c>
      <c r="BI60" s="77"/>
      <c r="BJ60" s="28"/>
      <c r="BK60" s="78">
        <f>$BK$8</f>
        <v>1.15</v>
      </c>
      <c r="BL60" s="78">
        <f>$BL$8</f>
        <v>1.2</v>
      </c>
      <c r="BM60" s="77"/>
    </row>
    <row r="61" ht="18.75" customHeight="1" spans="2:65" x14ac:dyDescent="0.25">
      <c r="B61" s="5">
        <v>5</v>
      </c>
      <c r="C61" s="27" t="s">
        <v>260</v>
      </c>
      <c r="D61" s="27"/>
      <c r="E61" s="28"/>
      <c r="F61" s="51"/>
      <c r="G61" s="51"/>
      <c r="H61" s="51"/>
      <c r="I61" s="54"/>
      <c r="J61" s="51"/>
      <c r="K61" s="51"/>
      <c r="L61" s="51"/>
      <c r="M61" s="54"/>
      <c r="N61" s="51"/>
      <c r="O61" s="51"/>
      <c r="P61" s="51"/>
      <c r="Q61" s="54"/>
      <c r="R61" s="51"/>
      <c r="S61" s="51"/>
      <c r="T61" s="51"/>
      <c r="U61" s="54"/>
      <c r="V61" s="51"/>
      <c r="W61" s="51"/>
      <c r="X61" s="51"/>
      <c r="Y61" s="54"/>
      <c r="Z61" s="51"/>
      <c r="AA61" s="51"/>
      <c r="AB61" s="51"/>
      <c r="AC61" s="54"/>
      <c r="AD61" s="51"/>
      <c r="AE61" s="51"/>
      <c r="AF61" s="51"/>
      <c r="AG61" s="54"/>
      <c r="AH61" s="51"/>
      <c r="AI61" s="51"/>
      <c r="AJ61" s="51"/>
      <c r="AK61" s="54"/>
      <c r="AL61" s="51"/>
      <c r="AM61" s="51"/>
      <c r="AN61" s="51"/>
      <c r="AO61" s="54"/>
      <c r="AP61" s="54"/>
      <c r="AQ61" s="54"/>
      <c r="AR61" s="54"/>
      <c r="AS61" s="80">
        <f>SUMIF($F$6:$AN$6,$AS$6,F61:AN61)</f>
        <v>0</v>
      </c>
      <c r="AU61" s="51"/>
      <c r="AV61" s="51"/>
      <c r="AW61" s="51"/>
      <c r="AY61" s="51"/>
      <c r="AZ61" s="51"/>
      <c r="BA61" s="51"/>
      <c r="BC61" s="51"/>
      <c r="BD61" s="51"/>
      <c r="BE61" s="51"/>
      <c r="BG61" s="51"/>
      <c r="BH61" s="51"/>
      <c r="BI61" s="51"/>
      <c r="BK61" s="51"/>
      <c r="BL61" s="51"/>
      <c r="BM61" s="51"/>
    </row>
    <row r="62" ht="18.75" customHeight="1" spans="2:65" x14ac:dyDescent="0.25">
      <c r="B62" s="5" t="s">
        <v>75</v>
      </c>
      <c r="C62" s="27"/>
      <c r="D62" s="29" t="s">
        <v>261</v>
      </c>
      <c r="E62" s="30"/>
      <c r="F62" s="51"/>
      <c r="G62" s="51"/>
      <c r="H62" s="51"/>
      <c r="I62" s="54"/>
      <c r="J62" s="51">
        <f>F62*$J$60</f>
        <v>0</v>
      </c>
      <c r="K62" s="51">
        <f>G62*$K$60</f>
        <v>0</v>
      </c>
      <c r="L62" s="51">
        <f>J62*K62</f>
        <v>0</v>
      </c>
      <c r="M62" s="54"/>
      <c r="N62" s="51">
        <f>J62*$N$60</f>
        <v>0</v>
      </c>
      <c r="O62" s="51">
        <f>K62*$O$60</f>
        <v>0</v>
      </c>
      <c r="P62" s="51">
        <f>N62*O62</f>
        <v>0</v>
      </c>
      <c r="Q62" s="54"/>
      <c r="R62" s="51">
        <f>N62*$R$60</f>
        <v>0</v>
      </c>
      <c r="S62" s="51">
        <f>O62*$S$60</f>
        <v>0</v>
      </c>
      <c r="T62" s="51">
        <f>R62*S62</f>
        <v>0</v>
      </c>
      <c r="U62" s="54"/>
      <c r="V62" s="51">
        <f>R62*$V$60</f>
        <v>0</v>
      </c>
      <c r="W62" s="51">
        <f>S62*$W$60</f>
        <v>0</v>
      </c>
      <c r="X62" s="51">
        <f>V62*W62</f>
        <v>0</v>
      </c>
      <c r="Y62" s="54"/>
      <c r="Z62" s="51">
        <f>V62*$Z$60</f>
        <v>0</v>
      </c>
      <c r="AA62" s="51">
        <f>W62*$AA$60</f>
        <v>0</v>
      </c>
      <c r="AB62" s="51">
        <f>Z62*AA62</f>
        <v>0</v>
      </c>
      <c r="AC62" s="54"/>
      <c r="AD62" s="51">
        <f>Z62*$AD$60</f>
        <v>0</v>
      </c>
      <c r="AE62" s="51">
        <f>AA62*$AE$60</f>
        <v>0</v>
      </c>
      <c r="AF62" s="51">
        <f>AD62*AE62</f>
        <v>0</v>
      </c>
      <c r="AG62" s="54"/>
      <c r="AH62" s="51">
        <f>AD62*$AH$60</f>
        <v>0</v>
      </c>
      <c r="AI62" s="51">
        <f>AE62*$AI$60</f>
        <v>0</v>
      </c>
      <c r="AJ62" s="51">
        <f>AH62*AI62</f>
        <v>0</v>
      </c>
      <c r="AK62" s="54"/>
      <c r="AL62" s="51">
        <f>AH62*$AL$60</f>
        <v>0</v>
      </c>
      <c r="AM62" s="51">
        <f>AI62*$AM$60</f>
        <v>0</v>
      </c>
      <c r="AN62" s="51">
        <f>AL62*AM62</f>
        <v>0</v>
      </c>
      <c r="AO62" s="54"/>
      <c r="AP62" s="54"/>
      <c r="AQ62" s="54"/>
      <c r="AR62" s="54"/>
      <c r="AS62" s="80">
        <f>H62+L62+P62+T62+X62+AB62+AF62+AJ62+AN62</f>
        <v>0</v>
      </c>
      <c r="AU62" s="51">
        <f>AQ62*$AU$60</f>
        <v>0</v>
      </c>
      <c r="AV62" s="51">
        <f>AR62*$AV$60</f>
        <v>0</v>
      </c>
      <c r="AW62" s="51">
        <f>SUM('Phase 1'!F10:F14)</f>
        <v>14740387.851684997</v>
      </c>
      <c r="AY62" s="51">
        <f>AU62*$AY$60</f>
        <v>0</v>
      </c>
      <c r="AZ62" s="51">
        <f>AV62*$AZ$60</f>
        <v>0</v>
      </c>
      <c r="BA62" s="51">
        <f>SUM('Phase 1'!F15:F26)+SUM('Phase 2'!F10:F20)</f>
        <v>66537051.596719354</v>
      </c>
      <c r="BC62" s="51">
        <f>AY62*$BC$60</f>
        <v>0</v>
      </c>
      <c r="BD62" s="51">
        <f>AZ62*$BD$60</f>
        <v>0</v>
      </c>
      <c r="BE62" s="51">
        <f>SUM('Phase 1'!F27:F38)+SUM('Phase 2'!F21:F32)</f>
        <v>61303991.375892416</v>
      </c>
      <c r="BG62" s="51">
        <f>BC62*$BG$60</f>
        <v>0</v>
      </c>
      <c r="BH62" s="51">
        <f>BD62*$BH$60</f>
        <v>0</v>
      </c>
      <c r="BI62" s="51">
        <f>SUM('Phase 1'!F39:F50)+SUM('Phase 2'!F33:F44)</f>
        <v>52022434.10283324</v>
      </c>
      <c r="BK62" s="51">
        <f>BG62*$BK$60</f>
        <v>0</v>
      </c>
      <c r="BL62" s="51">
        <f>BH62*$BL$60</f>
        <v>0</v>
      </c>
      <c r="BM62" s="51">
        <f>SUM('Phase 1'!F51:F62)+SUM('Phase 2'!F45:F56)</f>
        <v>41870202.73643282</v>
      </c>
    </row>
    <row r="63" ht="18.75" customHeight="1" spans="2:65" x14ac:dyDescent="0.25">
      <c r="B63" s="5" t="s">
        <v>76</v>
      </c>
      <c r="C63" s="27"/>
      <c r="D63" s="29"/>
      <c r="E63" s="30"/>
      <c r="F63" s="51"/>
      <c r="G63" s="51"/>
      <c r="H63" s="51"/>
      <c r="I63" s="54"/>
      <c r="J63" s="51">
        <f>F63*$J$60</f>
        <v>0</v>
      </c>
      <c r="K63" s="51">
        <f>G63*$K$60</f>
        <v>0</v>
      </c>
      <c r="L63" s="51">
        <f>J63*K63</f>
        <v>0</v>
      </c>
      <c r="M63" s="54"/>
      <c r="N63" s="51">
        <f>J63*$N$60</f>
        <v>0</v>
      </c>
      <c r="O63" s="51">
        <f>K63*$O$60</f>
        <v>0</v>
      </c>
      <c r="P63" s="51">
        <f>N63*O63</f>
        <v>0</v>
      </c>
      <c r="Q63" s="54"/>
      <c r="R63" s="51">
        <f>N63*$R$60</f>
        <v>0</v>
      </c>
      <c r="S63" s="51">
        <f>O63*$S$60</f>
        <v>0</v>
      </c>
      <c r="T63" s="51">
        <f>R63*S63</f>
        <v>0</v>
      </c>
      <c r="U63" s="54"/>
      <c r="V63" s="51">
        <f>R63*$V$60</f>
        <v>0</v>
      </c>
      <c r="W63" s="51">
        <f>S63*$W$60</f>
        <v>0</v>
      </c>
      <c r="X63" s="51">
        <f>V63*W63</f>
        <v>0</v>
      </c>
      <c r="Y63" s="54"/>
      <c r="Z63" s="51">
        <f>V63*$Z$60</f>
        <v>0</v>
      </c>
      <c r="AA63" s="51">
        <f>W63*$AA$60</f>
        <v>0</v>
      </c>
      <c r="AB63" s="51">
        <f>Z63*AA63</f>
        <v>0</v>
      </c>
      <c r="AC63" s="54"/>
      <c r="AD63" s="51">
        <f>Z63*$AD$60</f>
        <v>0</v>
      </c>
      <c r="AE63" s="51">
        <f>AA63*$AE$60</f>
        <v>0</v>
      </c>
      <c r="AF63" s="51">
        <f>AD63*AE63</f>
        <v>0</v>
      </c>
      <c r="AG63" s="54"/>
      <c r="AH63" s="51">
        <f>AD63*$AH$60</f>
        <v>0</v>
      </c>
      <c r="AI63" s="51">
        <f>AE63*$AI$60</f>
        <v>0</v>
      </c>
      <c r="AJ63" s="51">
        <f>AH63*AI63</f>
        <v>0</v>
      </c>
      <c r="AK63" s="54"/>
      <c r="AL63" s="51">
        <f>AH63*$AL$60</f>
        <v>0</v>
      </c>
      <c r="AM63" s="51">
        <f>AI63*$AM$60</f>
        <v>0</v>
      </c>
      <c r="AN63" s="51">
        <f>AL63*AM63</f>
        <v>0</v>
      </c>
      <c r="AO63" s="54"/>
      <c r="AP63" s="54"/>
      <c r="AQ63" s="54"/>
      <c r="AR63" s="54"/>
      <c r="AS63" s="80">
        <f>H63+L63+P63+T63+X63+AB63+AF63+AJ63+AN63</f>
        <v>0</v>
      </c>
      <c r="AU63" s="51">
        <f>AQ63*$AU$60</f>
        <v>0</v>
      </c>
      <c r="AV63" s="51">
        <f>AR63*$AV$60</f>
        <v>0</v>
      </c>
      <c r="AW63" s="51">
        <f>AU63*AV63</f>
        <v>0</v>
      </c>
      <c r="AY63" s="51">
        <f>AU63*$AY$60</f>
        <v>0</v>
      </c>
      <c r="AZ63" s="51">
        <f>AV63*$AZ$60</f>
        <v>0</v>
      </c>
      <c r="BA63" s="51">
        <f>AY63*AZ63</f>
        <v>0</v>
      </c>
      <c r="BC63" s="51">
        <f>AY63*$BC$60</f>
        <v>0</v>
      </c>
      <c r="BD63" s="51">
        <f>AZ63*$BD$60</f>
        <v>0</v>
      </c>
      <c r="BE63" s="51">
        <f>BC63*BD63</f>
        <v>0</v>
      </c>
      <c r="BG63" s="51">
        <f>BC63*$BG$60</f>
        <v>0</v>
      </c>
      <c r="BH63" s="51">
        <f>BD63*$BH$60</f>
        <v>0</v>
      </c>
      <c r="BI63" s="51">
        <f>BG63*BH63</f>
        <v>0</v>
      </c>
      <c r="BK63" s="51">
        <f>BG63*$BK$60</f>
        <v>0</v>
      </c>
      <c r="BL63" s="51">
        <f>BH63*$BL$60</f>
        <v>0</v>
      </c>
      <c r="BM63" s="51">
        <f>BK63*BL63</f>
        <v>0</v>
      </c>
    </row>
    <row r="64" ht="18.75" customHeight="1" spans="2:65" x14ac:dyDescent="0.25">
      <c r="B64" s="5" t="s">
        <v>77</v>
      </c>
      <c r="C64" s="27"/>
      <c r="D64" s="29"/>
      <c r="E64" s="30"/>
      <c r="F64" s="51"/>
      <c r="G64" s="51"/>
      <c r="H64" s="51"/>
      <c r="I64" s="54"/>
      <c r="J64" s="51">
        <f>F64*$J$60</f>
        <v>0</v>
      </c>
      <c r="K64" s="51">
        <f>G64*$K$60</f>
        <v>0</v>
      </c>
      <c r="L64" s="51">
        <f>J64*K64</f>
        <v>0</v>
      </c>
      <c r="M64" s="54"/>
      <c r="N64" s="51">
        <f>J64*$N$60</f>
        <v>0</v>
      </c>
      <c r="O64" s="51">
        <f>K64*$O$60</f>
        <v>0</v>
      </c>
      <c r="P64" s="51">
        <f>N64*O64</f>
        <v>0</v>
      </c>
      <c r="Q64" s="54"/>
      <c r="R64" s="51">
        <f>N64*$R$60</f>
        <v>0</v>
      </c>
      <c r="S64" s="51">
        <f>O64*$S$60</f>
        <v>0</v>
      </c>
      <c r="T64" s="51">
        <f>R64*S64</f>
        <v>0</v>
      </c>
      <c r="U64" s="54"/>
      <c r="V64" s="51">
        <f>R64*$V$60</f>
        <v>0</v>
      </c>
      <c r="W64" s="51">
        <f>S64*$W$60</f>
        <v>0</v>
      </c>
      <c r="X64" s="51">
        <f>V64*W64</f>
        <v>0</v>
      </c>
      <c r="Y64" s="54"/>
      <c r="Z64" s="51">
        <f>V64*$Z$60</f>
        <v>0</v>
      </c>
      <c r="AA64" s="51">
        <f>W64*$AA$60</f>
        <v>0</v>
      </c>
      <c r="AB64" s="51">
        <f>Z64*AA64</f>
        <v>0</v>
      </c>
      <c r="AC64" s="54"/>
      <c r="AD64" s="51">
        <f>Z64*$AD$60</f>
        <v>0</v>
      </c>
      <c r="AE64" s="51">
        <f>AA64*$AE$60</f>
        <v>0</v>
      </c>
      <c r="AF64" s="51">
        <f>AD64*AE64</f>
        <v>0</v>
      </c>
      <c r="AG64" s="54"/>
      <c r="AH64" s="51">
        <f>AD64*$AH$60</f>
        <v>0</v>
      </c>
      <c r="AI64" s="51">
        <f>AE64*$AI$60</f>
        <v>0</v>
      </c>
      <c r="AJ64" s="51">
        <f>AH64*AI64</f>
        <v>0</v>
      </c>
      <c r="AK64" s="54"/>
      <c r="AL64" s="51">
        <f>AH64*$AL$60</f>
        <v>0</v>
      </c>
      <c r="AM64" s="51">
        <f>AI64*$AM$60</f>
        <v>0</v>
      </c>
      <c r="AN64" s="51">
        <f>AL64*AM64</f>
        <v>0</v>
      </c>
      <c r="AO64" s="54"/>
      <c r="AP64" s="54"/>
      <c r="AQ64" s="54"/>
      <c r="AR64" s="54"/>
      <c r="AS64" s="80">
        <f>H64+L64+P64+T64+X64+AB64+AF64+AJ64+AN64</f>
        <v>0</v>
      </c>
      <c r="AU64" s="51">
        <f>AQ64*$AU$60</f>
        <v>0</v>
      </c>
      <c r="AV64" s="51">
        <f>AR64*$AV$60</f>
        <v>0</v>
      </c>
      <c r="AW64" s="51">
        <f>AU64*AV64</f>
        <v>0</v>
      </c>
      <c r="AY64" s="51">
        <f>AU64*$AY$60</f>
        <v>0</v>
      </c>
      <c r="AZ64" s="51">
        <f>AV64*$AZ$60</f>
        <v>0</v>
      </c>
      <c r="BA64" s="51">
        <f>AY64*AZ64</f>
        <v>0</v>
      </c>
      <c r="BC64" s="51">
        <f>AY64*$BC$60</f>
        <v>0</v>
      </c>
      <c r="BD64" s="51">
        <f>AZ64*$BD$60</f>
        <v>0</v>
      </c>
      <c r="BE64" s="51">
        <f>BC64*BD64</f>
        <v>0</v>
      </c>
      <c r="BG64" s="51">
        <f>BC64*$BG$60</f>
        <v>0</v>
      </c>
      <c r="BH64" s="51">
        <f>BD64*$BH$60</f>
        <v>0</v>
      </c>
      <c r="BI64" s="51">
        <f>BG64*BH64</f>
        <v>0</v>
      </c>
      <c r="BK64" s="51">
        <f>BG64*$BK$60</f>
        <v>0</v>
      </c>
      <c r="BL64" s="51">
        <f>BH64*$BL$60</f>
        <v>0</v>
      </c>
      <c r="BM64" s="51">
        <f>BK64*BL64</f>
        <v>0</v>
      </c>
    </row>
    <row r="65" ht="18.75" customHeight="1" spans="2:65" x14ac:dyDescent="0.25">
      <c r="B65" s="5" t="s">
        <v>78</v>
      </c>
      <c r="C65" s="27"/>
      <c r="D65" s="29"/>
      <c r="E65" s="30"/>
      <c r="F65" s="51"/>
      <c r="G65" s="51"/>
      <c r="H65" s="51"/>
      <c r="I65" s="54"/>
      <c r="J65" s="51"/>
      <c r="K65" s="51"/>
      <c r="L65" s="51"/>
      <c r="M65" s="54"/>
      <c r="N65" s="51"/>
      <c r="O65" s="51"/>
      <c r="P65" s="51"/>
      <c r="Q65" s="54"/>
      <c r="R65" s="51"/>
      <c r="S65" s="51"/>
      <c r="T65" s="51"/>
      <c r="U65" s="54"/>
      <c r="V65" s="51"/>
      <c r="W65" s="51"/>
      <c r="X65" s="51"/>
      <c r="Y65" s="54"/>
      <c r="Z65" s="51"/>
      <c r="AA65" s="51"/>
      <c r="AB65" s="51"/>
      <c r="AC65" s="54"/>
      <c r="AD65" s="51"/>
      <c r="AE65" s="51"/>
      <c r="AF65" s="51"/>
      <c r="AG65" s="54"/>
      <c r="AH65" s="51"/>
      <c r="AI65" s="51"/>
      <c r="AJ65" s="51"/>
      <c r="AK65" s="54"/>
      <c r="AL65" s="51"/>
      <c r="AM65" s="51"/>
      <c r="AN65" s="51"/>
      <c r="AO65" s="54"/>
      <c r="AP65" s="54"/>
      <c r="AQ65" s="54"/>
      <c r="AR65" s="54"/>
      <c r="AS65" s="80">
        <f>H65+L65+P65+T65+X65+AB65+AF65+AJ65+AN65</f>
        <v>0</v>
      </c>
      <c r="AU65" s="51"/>
      <c r="AV65" s="51"/>
      <c r="AW65" s="51"/>
      <c r="AY65" s="51"/>
      <c r="AZ65" s="51"/>
      <c r="BA65" s="51"/>
      <c r="BC65" s="51"/>
      <c r="BD65" s="51"/>
      <c r="BE65" s="51"/>
      <c r="BG65" s="51"/>
      <c r="BH65" s="51"/>
      <c r="BI65" s="51"/>
      <c r="BK65" s="51"/>
      <c r="BL65" s="51"/>
      <c r="BM65" s="51"/>
    </row>
    <row r="66" ht="18.75" customHeight="1" spans="2:65" x14ac:dyDescent="0.25">
      <c r="B66" s="5" t="s">
        <v>79</v>
      </c>
      <c r="C66" s="27"/>
      <c r="D66" s="29">
        <v>0</v>
      </c>
      <c r="E66" s="30"/>
      <c r="F66" s="51"/>
      <c r="G66" s="51"/>
      <c r="H66" s="51"/>
      <c r="I66" s="54"/>
      <c r="J66" s="51"/>
      <c r="K66" s="51"/>
      <c r="L66" s="51"/>
      <c r="M66" s="54"/>
      <c r="N66" s="51"/>
      <c r="O66" s="51"/>
      <c r="P66" s="51"/>
      <c r="Q66" s="54"/>
      <c r="R66" s="51"/>
      <c r="S66" s="51"/>
      <c r="T66" s="51"/>
      <c r="U66" s="54"/>
      <c r="V66" s="51"/>
      <c r="W66" s="51"/>
      <c r="X66" s="51"/>
      <c r="Y66" s="54"/>
      <c r="Z66" s="51"/>
      <c r="AA66" s="51"/>
      <c r="AB66" s="51"/>
      <c r="AC66" s="54"/>
      <c r="AD66" s="51"/>
      <c r="AE66" s="51"/>
      <c r="AF66" s="51"/>
      <c r="AG66" s="54"/>
      <c r="AH66" s="51"/>
      <c r="AI66" s="51"/>
      <c r="AJ66" s="51"/>
      <c r="AK66" s="54"/>
      <c r="AL66" s="51"/>
      <c r="AM66" s="51"/>
      <c r="AN66" s="51"/>
      <c r="AO66" s="54"/>
      <c r="AP66" s="54"/>
      <c r="AQ66" s="54"/>
      <c r="AR66" s="54"/>
      <c r="AS66" s="80">
        <f t="shared" ref="AS66" si="81">G66*12</f>
        <v>0</v>
      </c>
      <c r="AU66" s="51"/>
      <c r="AV66" s="51"/>
      <c r="AW66" s="51"/>
      <c r="AY66" s="51"/>
      <c r="AZ66" s="51"/>
      <c r="BA66" s="51"/>
      <c r="BC66" s="51"/>
      <c r="BD66" s="51"/>
      <c r="BE66" s="51"/>
      <c r="BG66" s="51"/>
      <c r="BH66" s="51"/>
      <c r="BI66" s="51"/>
      <c r="BK66" s="51"/>
      <c r="BL66" s="51"/>
      <c r="BM66" s="51"/>
    </row>
    <row r="67" ht="18.75" customHeight="1" spans="2:65" x14ac:dyDescent="0.25">
      <c r="B67" s="34" t="s">
        <v>58</v>
      </c>
      <c r="C67" s="34"/>
      <c r="D67" s="34"/>
      <c r="E67" s="30"/>
      <c r="F67" s="81">
        <f>SUM(F62:F66)</f>
        <v>0</v>
      </c>
      <c r="G67" s="81"/>
      <c r="H67" s="81">
        <f>SUM(H62:H66)</f>
        <v>0</v>
      </c>
      <c r="I67" s="81"/>
      <c r="J67" s="81">
        <f>SUM(J62:J66)</f>
        <v>0</v>
      </c>
      <c r="K67" s="81"/>
      <c r="L67" s="81">
        <f>SUM(L62:L66)</f>
        <v>0</v>
      </c>
      <c r="M67" s="81"/>
      <c r="N67" s="81">
        <f>SUM(N62:N66)</f>
        <v>0</v>
      </c>
      <c r="O67" s="81"/>
      <c r="P67" s="81">
        <f>SUM(P62:P66)</f>
        <v>0</v>
      </c>
      <c r="Q67" s="81"/>
      <c r="R67" s="81">
        <f>SUM(R62:R66)</f>
        <v>0</v>
      </c>
      <c r="S67" s="81"/>
      <c r="T67" s="81">
        <f>SUM(T62:T66)</f>
        <v>0</v>
      </c>
      <c r="U67" s="81"/>
      <c r="V67" s="81">
        <f>SUM(V62:V66)</f>
        <v>0</v>
      </c>
      <c r="W67" s="81"/>
      <c r="X67" s="81">
        <f>SUM(X62:X66)</f>
        <v>0</v>
      </c>
      <c r="Y67" s="81"/>
      <c r="Z67" s="81">
        <f>SUM(Z62:Z66)</f>
        <v>0</v>
      </c>
      <c r="AA67" s="81"/>
      <c r="AB67" s="81">
        <f>SUM(AB62:AB66)</f>
        <v>0</v>
      </c>
      <c r="AC67" s="81"/>
      <c r="AD67" s="81">
        <f>SUM(AD62:AD66)</f>
        <v>0</v>
      </c>
      <c r="AE67" s="81"/>
      <c r="AF67" s="81">
        <f>SUM(AF62:AF66)</f>
        <v>0</v>
      </c>
      <c r="AG67" s="81"/>
      <c r="AH67" s="81">
        <f>SUM(AH62:AH66)</f>
        <v>0</v>
      </c>
      <c r="AI67" s="81"/>
      <c r="AJ67" s="81">
        <f>SUM(AJ62:AJ66)</f>
        <v>0</v>
      </c>
      <c r="AK67" s="81"/>
      <c r="AL67" s="81">
        <f>SUM(AL62:AL66)</f>
        <v>0</v>
      </c>
      <c r="AM67" s="81"/>
      <c r="AN67" s="81">
        <f>SUM(AN62:AN66)</f>
        <v>0</v>
      </c>
      <c r="AO67" s="81"/>
      <c r="AP67" s="81"/>
      <c r="AQ67" s="81">
        <f>SUM(AQ62:AQ66)</f>
        <v>0</v>
      </c>
      <c r="AR67" s="81"/>
      <c r="AS67" s="81">
        <f>SUM(AS62:AS66)</f>
        <v>0</v>
      </c>
      <c r="AT67" s="9"/>
      <c r="AU67" s="81">
        <f>SUM(AU62:AU66)</f>
        <v>0</v>
      </c>
      <c r="AV67" s="81"/>
      <c r="AW67" s="81">
        <f>SUM(AW62:AW66)</f>
        <v>14740387.851684997</v>
      </c>
      <c r="AX67" s="9"/>
      <c r="AY67" s="81">
        <f>SUM(AY62:AY66)</f>
        <v>0</v>
      </c>
      <c r="AZ67" s="81"/>
      <c r="BA67" s="81">
        <f>SUM(BA62:BA66)</f>
        <v>66537051.596719354</v>
      </c>
      <c r="BB67" s="9"/>
      <c r="BC67" s="81">
        <f>SUM(BC62:BC66)</f>
        <v>0</v>
      </c>
      <c r="BD67" s="81"/>
      <c r="BE67" s="81">
        <f>SUM(BE62:BE66)</f>
        <v>61303991.375892416</v>
      </c>
      <c r="BF67" s="9"/>
      <c r="BG67" s="81">
        <f>SUM(BG62:BG66)</f>
        <v>0</v>
      </c>
      <c r="BH67" s="81"/>
      <c r="BI67" s="81">
        <f>SUM(BI62:BI66)</f>
        <v>52022434.10283324</v>
      </c>
      <c r="BJ67" s="9"/>
      <c r="BK67" s="81">
        <f>SUM(BK62:BK66)</f>
        <v>0</v>
      </c>
      <c r="BL67" s="81"/>
      <c r="BM67" s="81">
        <f>SUM(BM62:BM66)</f>
        <v>41870202.73643282</v>
      </c>
    </row>
    <row r="68" ht="18.75" customHeight="1" spans="2:65" x14ac:dyDescent="0.25">
      <c r="B68" s="34"/>
      <c r="C68" s="34"/>
      <c r="D68" s="34"/>
      <c r="E68" s="30"/>
      <c r="F68" s="28"/>
      <c r="J68" s="78">
        <f>$J$8</f>
        <v>1</v>
      </c>
      <c r="K68" s="78">
        <f>$K$8</f>
        <v>1</v>
      </c>
      <c r="L68" s="77"/>
      <c r="M68" s="77"/>
      <c r="N68" s="78">
        <f>$N$8</f>
        <v>1</v>
      </c>
      <c r="O68" s="78">
        <f>$O$8</f>
        <v>1</v>
      </c>
      <c r="P68" s="77"/>
      <c r="Q68" s="77"/>
      <c r="R68" s="78">
        <f>$R$8</f>
        <v>1</v>
      </c>
      <c r="S68" s="78">
        <f>$S$8</f>
        <v>1</v>
      </c>
      <c r="T68" s="77"/>
      <c r="U68" s="77"/>
      <c r="V68" s="78">
        <f>$V$8</f>
        <v>1</v>
      </c>
      <c r="W68" s="78">
        <f>$W$8</f>
        <v>1</v>
      </c>
      <c r="X68" s="77"/>
      <c r="Y68" s="77"/>
      <c r="Z68" s="78">
        <f>$Z$8</f>
        <v>1</v>
      </c>
      <c r="AA68" s="78">
        <f>$AA$8</f>
        <v>1</v>
      </c>
      <c r="AB68" s="77"/>
      <c r="AC68" s="77"/>
      <c r="AD68" s="78">
        <f>$AD$8</f>
        <v>1</v>
      </c>
      <c r="AE68" s="78">
        <f>$AE$8</f>
        <v>1</v>
      </c>
      <c r="AF68" s="77"/>
      <c r="AG68" s="77"/>
      <c r="AH68" s="78">
        <f>$AH$8</f>
        <v>1</v>
      </c>
      <c r="AI68" s="78">
        <f>$AI$8</f>
        <v>1</v>
      </c>
      <c r="AJ68" s="77"/>
      <c r="AK68" s="77"/>
      <c r="AL68" s="78">
        <f>$AL$8</f>
        <v>1</v>
      </c>
      <c r="AM68" s="78">
        <f>$AM$8</f>
        <v>1</v>
      </c>
      <c r="AN68" s="77"/>
      <c r="AO68" s="77"/>
      <c r="AP68" s="54"/>
      <c r="AQ68" s="54"/>
      <c r="AR68" s="54"/>
      <c r="AS68" s="54"/>
      <c r="AU68" s="78">
        <f>$AU$8</f>
        <v>1.25</v>
      </c>
      <c r="AV68" s="78">
        <f>$AV$8</f>
        <v>1.2</v>
      </c>
      <c r="AW68" s="54"/>
      <c r="AY68" s="78">
        <f>$AY$8</f>
        <v>1.2</v>
      </c>
      <c r="AZ68" s="78">
        <f>$AZ$8</f>
        <v>1.2</v>
      </c>
      <c r="BA68" s="77"/>
      <c r="BB68" s="28"/>
      <c r="BC68" s="78">
        <f>$BC$8</f>
        <v>1.2</v>
      </c>
      <c r="BD68" s="78">
        <f>$BD$8</f>
        <v>1.25</v>
      </c>
      <c r="BE68" s="77"/>
      <c r="BF68" s="28"/>
      <c r="BG68" s="78">
        <f>$BG$8</f>
        <v>1.25</v>
      </c>
      <c r="BH68" s="78">
        <f>$BH$8</f>
        <v>1.25</v>
      </c>
      <c r="BI68" s="77"/>
      <c r="BJ68" s="28"/>
      <c r="BK68" s="78">
        <f>$BK$8</f>
        <v>1.15</v>
      </c>
      <c r="BL68" s="78">
        <f>$BL$8</f>
        <v>1.2</v>
      </c>
      <c r="BM68" s="77"/>
    </row>
    <row r="69" ht="18.75" customHeight="1" spans="2:65" x14ac:dyDescent="0.25">
      <c r="B69" s="5">
        <v>6</v>
      </c>
      <c r="C69" s="27" t="s">
        <v>138</v>
      </c>
      <c r="D69" s="27"/>
      <c r="E69" s="30"/>
      <c r="F69" s="51"/>
      <c r="G69" s="51"/>
      <c r="H69" s="51"/>
      <c r="I69" s="54"/>
      <c r="J69" s="51"/>
      <c r="K69" s="51"/>
      <c r="L69" s="51"/>
      <c r="M69" s="54"/>
      <c r="N69" s="51"/>
      <c r="O69" s="51"/>
      <c r="P69" s="51"/>
      <c r="Q69" s="54"/>
      <c r="R69" s="51"/>
      <c r="S69" s="51"/>
      <c r="T69" s="51"/>
      <c r="U69" s="54"/>
      <c r="V69" s="51"/>
      <c r="W69" s="51"/>
      <c r="X69" s="51"/>
      <c r="Y69" s="54"/>
      <c r="Z69" s="51"/>
      <c r="AA69" s="51"/>
      <c r="AB69" s="51"/>
      <c r="AC69" s="54"/>
      <c r="AD69" s="51"/>
      <c r="AE69" s="51"/>
      <c r="AF69" s="51"/>
      <c r="AG69" s="54"/>
      <c r="AH69" s="51"/>
      <c r="AI69" s="51"/>
      <c r="AJ69" s="51"/>
      <c r="AK69" s="54"/>
      <c r="AL69" s="51"/>
      <c r="AM69" s="51"/>
      <c r="AN69" s="51"/>
      <c r="AO69" s="54"/>
      <c r="AP69" s="54"/>
      <c r="AQ69" s="54"/>
      <c r="AR69" s="54"/>
      <c r="AS69" s="80">
        <f t="shared" ref="AS69:AS74" si="82">SUMIF($F$6:$AN$6,$AS$6,F69:AN69)</f>
        <v>0</v>
      </c>
      <c r="AU69" s="51"/>
      <c r="AV69" s="51"/>
      <c r="AW69" s="51"/>
      <c r="AY69" s="51"/>
      <c r="AZ69" s="51"/>
      <c r="BA69" s="51"/>
      <c r="BC69" s="51"/>
      <c r="BD69" s="51"/>
      <c r="BE69" s="51"/>
      <c r="BG69" s="51"/>
      <c r="BH69" s="51"/>
      <c r="BI69" s="51"/>
      <c r="BK69" s="51"/>
      <c r="BL69" s="51"/>
      <c r="BM69" s="51"/>
    </row>
    <row r="70" ht="18.75" customHeight="1" spans="2:65" x14ac:dyDescent="0.25">
      <c r="B70" s="5" t="s">
        <v>147</v>
      </c>
      <c r="C70" s="27"/>
      <c r="D70" s="29" t="s">
        <v>262</v>
      </c>
      <c r="E70" s="30"/>
      <c r="F70" s="51"/>
      <c r="G70" s="51"/>
      <c r="H70" s="51">
        <f>SUM('4. P&amp;L'!$C$11:$C$13)*0.7%/9</f>
        <v>8455.410206045717</v>
      </c>
      <c r="I70" s="54"/>
      <c r="J70" s="51">
        <f>F70*$J$60</f>
        <v>0</v>
      </c>
      <c r="K70" s="51">
        <f>G70*$K$60</f>
        <v>0</v>
      </c>
      <c r="L70" s="51">
        <f>SUM('4. P&amp;L'!$C$11:$C$13)*0.72%/9</f>
        <v>8696.99335478988</v>
      </c>
      <c r="M70" s="54"/>
      <c r="N70" s="51">
        <f>J70*$N$60</f>
        <v>0</v>
      </c>
      <c r="O70" s="51">
        <f>K70*$O$60</f>
        <v>0</v>
      </c>
      <c r="P70" s="51">
        <f>SUM('4. P&amp;L'!$C$11:$C$13)*0.82%/9</f>
        <v>9904.909098510696</v>
      </c>
      <c r="Q70" s="54"/>
      <c r="R70" s="51">
        <f>N70*$R$60</f>
        <v>0</v>
      </c>
      <c r="S70" s="51">
        <f>O70*$S$60</f>
        <v>0</v>
      </c>
      <c r="T70" s="51">
        <f>SUM('4. P&amp;L'!$C$11:$C$13)*0.96%/9</f>
        <v>11595.991139719841</v>
      </c>
      <c r="U70" s="54"/>
      <c r="V70" s="51">
        <f>R70*$V$60</f>
        <v>0</v>
      </c>
      <c r="W70" s="51">
        <f>S70*$W$60</f>
        <v>0</v>
      </c>
      <c r="X70" s="51">
        <f>SUM('4. P&amp;L'!$C$11:$C$13)*1%/9</f>
        <v>12079.157437208169</v>
      </c>
      <c r="Y70" s="54"/>
      <c r="Z70" s="51">
        <f>V70*$Z$60</f>
        <v>0</v>
      </c>
      <c r="AA70" s="51">
        <f>W70*$AA$60</f>
        <v>0</v>
      </c>
      <c r="AB70" s="51">
        <f>SUM('4. P&amp;L'!$C$11:$C$13)*1%/9</f>
        <v>12079.157437208169</v>
      </c>
      <c r="AC70" s="54"/>
      <c r="AD70" s="51">
        <f>Z70*$AD$60</f>
        <v>0</v>
      </c>
      <c r="AE70" s="51">
        <f>AA70*$AE$60</f>
        <v>0</v>
      </c>
      <c r="AF70" s="51">
        <f>SUM('4. P&amp;L'!$C$11:$C$13)*1%/9</f>
        <v>12079.157437208169</v>
      </c>
      <c r="AG70" s="54"/>
      <c r="AH70" s="51">
        <f>AD70*$AH$60</f>
        <v>0</v>
      </c>
      <c r="AI70" s="51">
        <f>AE70*$AI$60</f>
        <v>0</v>
      </c>
      <c r="AJ70" s="51">
        <f>SUM('4. P&amp;L'!$C$11:$C$13)*1%/9</f>
        <v>12079.157437208169</v>
      </c>
      <c r="AK70" s="54"/>
      <c r="AL70" s="51">
        <f>AH70*$AL$60</f>
        <v>0</v>
      </c>
      <c r="AM70" s="51">
        <f>AI70*$AM$60</f>
        <v>0</v>
      </c>
      <c r="AN70" s="51">
        <f>SUM('4. P&amp;L'!$C$11:$C$13)*1%/9</f>
        <v>12079.157437208169</v>
      </c>
      <c r="AO70" s="54"/>
      <c r="AP70" s="54"/>
      <c r="AQ70" s="54"/>
      <c r="AR70" s="54"/>
      <c r="AS70" s="80">
        <f t="shared" si="82"/>
        <v>99049.09098510697</v>
      </c>
      <c r="AU70" s="51">
        <f>AQ70*$AU$60</f>
        <v>0</v>
      </c>
      <c r="AV70" s="51">
        <f>AR70*$AV$60</f>
        <v>0</v>
      </c>
      <c r="AW70" s="51">
        <f>SUM('4. P&amp;L'!$D$11:$D$13)*1.25%</f>
        <v>455254.6161801574</v>
      </c>
      <c r="AY70" s="51">
        <f>AU70*$AY$60</f>
        <v>0</v>
      </c>
      <c r="AZ70" s="51">
        <f>AV70*$AZ$60</f>
        <v>0</v>
      </c>
      <c r="BA70" s="51">
        <f>SUM('4. P&amp;L'!$E$11:$E$13)*1.3%</f>
        <v>2414670.4842195553</v>
      </c>
      <c r="BC70" s="51">
        <f>AY70*$BC$60</f>
        <v>0</v>
      </c>
      <c r="BD70" s="51">
        <f>AZ70*$BD$60</f>
        <v>0</v>
      </c>
      <c r="BE70" s="51">
        <f>SUM('4. P&amp;L'!$F$11:$F$13)*0.89%</f>
        <v>2562336.871523752</v>
      </c>
      <c r="BG70" s="51">
        <f>BC70*$BG$60</f>
        <v>0</v>
      </c>
      <c r="BH70" s="51">
        <f>BD70*$BH$60</f>
        <v>0</v>
      </c>
      <c r="BI70" s="51">
        <f>SUM('4. P&amp;L'!$G$11:$G$13)*0.75%</f>
        <v>3130945.3345866054</v>
      </c>
      <c r="BK70" s="51">
        <f>BG70*$BK$60</f>
        <v>0</v>
      </c>
      <c r="BL70" s="51">
        <f>BH70*$BL$60</f>
        <v>0</v>
      </c>
      <c r="BM70" s="51" t="e">
        <f>SUM('4. P&amp;L'!#REF!)*0.59%</f>
        <v>#REF!</v>
      </c>
    </row>
    <row r="71" ht="18.75" customHeight="1" spans="2:65" x14ac:dyDescent="0.25">
      <c r="B71" s="5" t="s">
        <v>148</v>
      </c>
      <c r="C71" s="27"/>
      <c r="D71" s="29" t="s">
        <v>142</v>
      </c>
      <c r="E71" s="30"/>
      <c r="F71" s="51"/>
      <c r="G71" s="51"/>
      <c r="H71" s="51">
        <f>SUM('4. P&amp;L'!$C$11:$C$13)*0.98%/9</f>
        <v>11837.574288464004</v>
      </c>
      <c r="I71" s="54"/>
      <c r="J71" s="51">
        <f>F71*$J$60</f>
        <v>0</v>
      </c>
      <c r="K71" s="51">
        <f>G71*$K$60</f>
        <v>0</v>
      </c>
      <c r="L71" s="51">
        <f>SUM('4. P&amp;L'!$C$11:$C$13)*0.95%/9</f>
        <v>11475.199565347759</v>
      </c>
      <c r="M71" s="54"/>
      <c r="N71" s="51">
        <f>J71*$N$60</f>
        <v>0</v>
      </c>
      <c r="O71" s="51">
        <f>K71*$O$60</f>
        <v>0</v>
      </c>
      <c r="P71" s="51">
        <f>SUM('4. P&amp;L'!$C$11:$C$13)*0.98%/9</f>
        <v>11837.574288464004</v>
      </c>
      <c r="Q71" s="54"/>
      <c r="R71" s="51">
        <f>N71*$R$60</f>
        <v>0</v>
      </c>
      <c r="S71" s="51">
        <f>O71*$S$60</f>
        <v>0</v>
      </c>
      <c r="T71" s="51">
        <f>SUM('4. P&amp;L'!$C$11:$C$13)*0.99%/9</f>
        <v>11958.365862836086</v>
      </c>
      <c r="U71" s="54"/>
      <c r="V71" s="51">
        <f>R71*$V$60</f>
        <v>0</v>
      </c>
      <c r="W71" s="51">
        <f>S71*$W$60</f>
        <v>0</v>
      </c>
      <c r="X71" s="51">
        <f>SUM('4. P&amp;L'!$C$11:$C$13)*1%/9</f>
        <v>12079.157437208169</v>
      </c>
      <c r="Y71" s="54"/>
      <c r="Z71" s="51">
        <f>V71*$Z$60</f>
        <v>0</v>
      </c>
      <c r="AA71" s="51">
        <f>W71*$AA$60</f>
        <v>0</v>
      </c>
      <c r="AB71" s="51">
        <f>SUM('4. P&amp;L'!$C$11:$C$13)*1%/9</f>
        <v>12079.157437208169</v>
      </c>
      <c r="AC71" s="54"/>
      <c r="AD71" s="51">
        <f>Z71*$AD$60</f>
        <v>0</v>
      </c>
      <c r="AE71" s="51">
        <f>AA71*$AE$60</f>
        <v>0</v>
      </c>
      <c r="AF71" s="51">
        <f>SUM('4. P&amp;L'!$C$11:$C$13)*1%/9</f>
        <v>12079.157437208169</v>
      </c>
      <c r="AG71" s="54"/>
      <c r="AH71" s="51">
        <f>AD71*$AH$60</f>
        <v>0</v>
      </c>
      <c r="AI71" s="51">
        <f>AE71*$AI$60</f>
        <v>0</v>
      </c>
      <c r="AJ71" s="51">
        <f>SUM('4. P&amp;L'!$C$11:$C$13)*1%/9</f>
        <v>12079.157437208169</v>
      </c>
      <c r="AK71" s="54"/>
      <c r="AL71" s="51">
        <f>AH71*$AL$60</f>
        <v>0</v>
      </c>
      <c r="AM71" s="51">
        <f>AI71*$AM$60</f>
        <v>0</v>
      </c>
      <c r="AN71" s="51">
        <f>SUM('4. P&amp;L'!$C$11:$C$13)*1%/9</f>
        <v>12079.157437208169</v>
      </c>
      <c r="AO71" s="54"/>
      <c r="AP71" s="54"/>
      <c r="AQ71" s="54"/>
      <c r="AR71" s="54"/>
      <c r="AS71" s="80">
        <f t="shared" si="82"/>
        <v>107504.5011911527</v>
      </c>
      <c r="AU71" s="51">
        <f>AQ71*$AU$60</f>
        <v>0</v>
      </c>
      <c r="AV71" s="51">
        <f>AR71*$AV$60</f>
        <v>0</v>
      </c>
      <c r="AW71" s="51">
        <f>SUM('4. P&amp;L'!$D$11:$D$13)*0.76%</f>
        <v>276794.8066375357</v>
      </c>
      <c r="AY71" s="51">
        <f>AU71*$AY$60</f>
        <v>0</v>
      </c>
      <c r="AZ71" s="51">
        <f>AV71*$AZ$60</f>
        <v>0</v>
      </c>
      <c r="BA71" s="51">
        <f>SUM('4. P&amp;L'!$E$11:$E$13)*0.85%</f>
        <v>1578823.008912786</v>
      </c>
      <c r="BC71" s="51">
        <f>AY71*$BC$60</f>
        <v>0</v>
      </c>
      <c r="BD71" s="51">
        <f>AZ71*$BD$60</f>
        <v>0</v>
      </c>
      <c r="BE71" s="51">
        <f>SUM('4. P&amp;L'!$F$11:$F$13)*0.85%</f>
        <v>2447175.6638148194</v>
      </c>
      <c r="BG71" s="51">
        <f>BC71*$BG$60</f>
        <v>0</v>
      </c>
      <c r="BH71" s="51">
        <f>BD71*$BH$60</f>
        <v>0</v>
      </c>
      <c r="BI71" s="51">
        <f>SUM('4. P&amp;L'!$G$11:$G$13)*0.65%</f>
        <v>2713485.956641725</v>
      </c>
      <c r="BK71" s="51">
        <f>BG71*$BK$60</f>
        <v>0</v>
      </c>
      <c r="BL71" s="51">
        <f>BH71*$BL$60</f>
        <v>0</v>
      </c>
      <c r="BM71" s="51" t="e">
        <f>SUM('4. P&amp;L'!#REF!)*0.59%</f>
        <v>#REF!</v>
      </c>
    </row>
    <row r="72" ht="18.75" customHeight="1" spans="2:65" x14ac:dyDescent="0.25">
      <c r="B72" s="5" t="s">
        <v>149</v>
      </c>
      <c r="C72" s="27"/>
      <c r="D72" s="29" t="s">
        <v>143</v>
      </c>
      <c r="E72" s="30"/>
      <c r="F72" s="51"/>
      <c r="G72" s="51"/>
      <c r="H72" s="51">
        <f>SUM('4. P&amp;L'!$C$11:$C$13)*0.85%/9</f>
        <v>10267.283821626945</v>
      </c>
      <c r="I72" s="54"/>
      <c r="J72" s="51">
        <f>F72*$J$60</f>
        <v>0</v>
      </c>
      <c r="K72" s="51">
        <f>G72*$K$60</f>
        <v>0</v>
      </c>
      <c r="L72" s="51">
        <f>SUM('4. P&amp;L'!$C$11:$C$13)*0.89%/9</f>
        <v>10750.45011911527</v>
      </c>
      <c r="M72" s="54"/>
      <c r="N72" s="51">
        <f>J72*$N$60</f>
        <v>0</v>
      </c>
      <c r="O72" s="51">
        <f>K72*$O$60</f>
        <v>0</v>
      </c>
      <c r="P72" s="51">
        <f>SUM('4. P&amp;L'!$C$11:$C$13)*0.92%/9</f>
        <v>11112.824842231516</v>
      </c>
      <c r="Q72" s="54"/>
      <c r="R72" s="51">
        <f>N72*$R$60</f>
        <v>0</v>
      </c>
      <c r="S72" s="51">
        <f>O72*$S$60</f>
        <v>0</v>
      </c>
      <c r="T72" s="51">
        <f>SUM('4. P&amp;L'!$C$11:$C$13)*0.96%/9</f>
        <v>11595.991139719841</v>
      </c>
      <c r="U72" s="54"/>
      <c r="V72" s="51">
        <f>R72*$V$60</f>
        <v>0</v>
      </c>
      <c r="W72" s="51">
        <f>S72*$W$60</f>
        <v>0</v>
      </c>
      <c r="X72" s="51">
        <f>SUM('4. P&amp;L'!$C$11:$C$13)*1%/9</f>
        <v>12079.157437208169</v>
      </c>
      <c r="Y72" s="54"/>
      <c r="Z72" s="51">
        <f>V72*$Z$60</f>
        <v>0</v>
      </c>
      <c r="AA72" s="51">
        <f>W72*$AA$60</f>
        <v>0</v>
      </c>
      <c r="AB72" s="51">
        <f>SUM('4. P&amp;L'!$C$11:$C$13)*1%/9</f>
        <v>12079.157437208169</v>
      </c>
      <c r="AC72" s="54"/>
      <c r="AD72" s="51">
        <f>Z72*$AD$60</f>
        <v>0</v>
      </c>
      <c r="AE72" s="51">
        <f>AA72*$AE$60</f>
        <v>0</v>
      </c>
      <c r="AF72" s="51">
        <f>SUM('4. P&amp;L'!$C$11:$C$13)*1%/9</f>
        <v>12079.157437208169</v>
      </c>
      <c r="AG72" s="54"/>
      <c r="AH72" s="51">
        <f>AD72*$AH$60</f>
        <v>0</v>
      </c>
      <c r="AI72" s="51">
        <f>AE72*$AI$60</f>
        <v>0</v>
      </c>
      <c r="AJ72" s="51">
        <f>SUM('4. P&amp;L'!$C$11:$C$13)*1%/9</f>
        <v>12079.157437208169</v>
      </c>
      <c r="AK72" s="54"/>
      <c r="AL72" s="51">
        <f>AH72*$AL$60</f>
        <v>0</v>
      </c>
      <c r="AM72" s="51">
        <f>AI72*$AM$60</f>
        <v>0</v>
      </c>
      <c r="AN72" s="51">
        <f>SUM('4. P&amp;L'!$C$11:$C$13)*1%/9</f>
        <v>12079.157437208169</v>
      </c>
      <c r="AO72" s="54"/>
      <c r="AP72" s="54"/>
      <c r="AQ72" s="54"/>
      <c r="AR72" s="54"/>
      <c r="AS72" s="80">
        <f t="shared" si="82"/>
        <v>104122.33710873441</v>
      </c>
      <c r="AU72" s="51">
        <f>AQ72*$AU$60</f>
        <v>0</v>
      </c>
      <c r="AV72" s="51">
        <f>AR72*$AV$60</f>
        <v>0</v>
      </c>
      <c r="AW72" s="51">
        <f>SUM('4. P&amp;L'!$D$11:$D$13)*0.91%</f>
        <v>331425.36057915457</v>
      </c>
      <c r="AY72" s="51">
        <f>AU72*$AY$60</f>
        <v>0</v>
      </c>
      <c r="AZ72" s="51">
        <f>AV72*$AZ$60</f>
        <v>0</v>
      </c>
      <c r="BA72" s="51">
        <f>SUM('4. P&amp;L'!$E$11:$E$13)*0.93%</f>
        <v>1727418.1156339895</v>
      </c>
      <c r="BC72" s="51">
        <f>AY72*$BC$60</f>
        <v>0</v>
      </c>
      <c r="BD72" s="51">
        <f>AZ72*$BD$60</f>
        <v>0</v>
      </c>
      <c r="BE72" s="51">
        <f>SUM('4. P&amp;L'!$F$11:$F$13)*0.9%</f>
        <v>2591127.173450985</v>
      </c>
      <c r="BG72" s="51">
        <f>BC72*$BG$60</f>
        <v>0</v>
      </c>
      <c r="BH72" s="51">
        <f>BD72*$BH$60</f>
        <v>0</v>
      </c>
      <c r="BI72" s="51">
        <f>SUM('4. P&amp;L'!$G$11:$G$13)*0.72%</f>
        <v>3005707.521203141</v>
      </c>
      <c r="BK72" s="51">
        <f>BG72*$BK$60</f>
        <v>0</v>
      </c>
      <c r="BL72" s="51">
        <f>BH72*$BL$60</f>
        <v>0</v>
      </c>
      <c r="BM72" s="51" t="e">
        <f>SUM('4. P&amp;L'!#REF!)*0.72%</f>
        <v>#REF!</v>
      </c>
    </row>
    <row r="73" ht="18.75" customHeight="1" spans="2:65" x14ac:dyDescent="0.25">
      <c r="B73" s="5" t="s">
        <v>150</v>
      </c>
      <c r="C73" s="27"/>
      <c r="D73" s="29" t="s">
        <v>263</v>
      </c>
      <c r="F73" s="51"/>
      <c r="G73" s="51"/>
      <c r="H73" s="51">
        <f>SUM('4. P&amp;L'!$C$11:$C$13)*0.45%/9</f>
        <v>5435.620846743677</v>
      </c>
      <c r="I73" s="54"/>
      <c r="J73" s="51"/>
      <c r="K73" s="51"/>
      <c r="L73" s="51">
        <f>SUM('4. P&amp;L'!$C$11:$C$13)*0.5%/9</f>
        <v>6039.578718604084</v>
      </c>
      <c r="M73" s="54"/>
      <c r="N73" s="51"/>
      <c r="O73" s="51"/>
      <c r="P73" s="51">
        <f>SUM('4. P&amp;L'!$C$11:$C$13)*0.65%/9</f>
        <v>7851.45233418531</v>
      </c>
      <c r="Q73" s="54"/>
      <c r="R73" s="51"/>
      <c r="S73" s="51"/>
      <c r="T73" s="51">
        <f>SUM('4. P&amp;L'!$C$11:$C$13)*0.8%/9</f>
        <v>9663.325949766535</v>
      </c>
      <c r="U73" s="54"/>
      <c r="V73" s="51"/>
      <c r="W73" s="51"/>
      <c r="X73" s="51">
        <f>SUM('4. P&amp;L'!$C$11:$C$13)*1%/9</f>
        <v>12079.157437208169</v>
      </c>
      <c r="Y73" s="54"/>
      <c r="Z73" s="51"/>
      <c r="AA73" s="51"/>
      <c r="AB73" s="51">
        <f>SUM('4. P&amp;L'!$C$11:$C$13)*1%/9</f>
        <v>12079.157437208169</v>
      </c>
      <c r="AC73" s="54"/>
      <c r="AD73" s="51"/>
      <c r="AE73" s="51"/>
      <c r="AF73" s="51">
        <f>SUM('4. P&amp;L'!$C$11:$C$13)*1%/9</f>
        <v>12079.157437208169</v>
      </c>
      <c r="AG73" s="54"/>
      <c r="AH73" s="51"/>
      <c r="AI73" s="51"/>
      <c r="AJ73" s="51">
        <f>SUM('4. P&amp;L'!$C$11:$C$13)*1%/9</f>
        <v>12079.157437208169</v>
      </c>
      <c r="AK73" s="54"/>
      <c r="AL73" s="51"/>
      <c r="AM73" s="51"/>
      <c r="AN73" s="51">
        <f>SUM('4. P&amp;L'!$C$11:$C$13)*1%/9</f>
        <v>12079.157437208169</v>
      </c>
      <c r="AO73" s="54"/>
      <c r="AP73" s="54"/>
      <c r="AQ73" s="54"/>
      <c r="AR73" s="54"/>
      <c r="AS73" s="80">
        <f t="shared" si="82"/>
        <v>89385.76503534045</v>
      </c>
      <c r="AU73" s="51"/>
      <c r="AV73" s="51"/>
      <c r="AW73" s="51">
        <f>SUM('4. P&amp;L'!$D$11:$D$13)*1.1%</f>
        <v>400624.0622385385</v>
      </c>
      <c r="AY73" s="51"/>
      <c r="AZ73" s="51"/>
      <c r="BA73" s="51">
        <f>SUM('4. P&amp;L'!$E$11:$E$13)*0.79%</f>
        <v>1467376.6788718835</v>
      </c>
      <c r="BC73" s="51"/>
      <c r="BD73" s="51"/>
      <c r="BE73" s="51">
        <f>SUM('4. P&amp;L'!$F$11:$F$13)*0.79%</f>
        <v>2274433.8522514203</v>
      </c>
      <c r="BG73" s="51"/>
      <c r="BH73" s="51"/>
      <c r="BI73" s="51">
        <f>SUM('4. P&amp;L'!$G$11:$G$13)*0.8%</f>
        <v>3339675.023559046</v>
      </c>
      <c r="BK73" s="51"/>
      <c r="BL73" s="51"/>
      <c r="BM73" s="51" t="e">
        <f>SUM('4. P&amp;L'!#REF!)*0.65%</f>
        <v>#REF!</v>
      </c>
    </row>
    <row r="74" ht="18.75" customHeight="1" spans="2:65" x14ac:dyDescent="0.25">
      <c r="B74" s="5" t="s">
        <v>151</v>
      </c>
      <c r="C74" s="27"/>
      <c r="D74" s="29">
        <v>0</v>
      </c>
      <c r="F74" s="51"/>
      <c r="G74" s="51"/>
      <c r="H74" s="51"/>
      <c r="I74" s="54"/>
      <c r="J74" s="51"/>
      <c r="K74" s="51"/>
      <c r="L74" s="51"/>
      <c r="M74" s="54"/>
      <c r="N74" s="51"/>
      <c r="O74" s="51"/>
      <c r="P74" s="51"/>
      <c r="Q74" s="54"/>
      <c r="R74" s="51"/>
      <c r="S74" s="51"/>
      <c r="T74" s="51"/>
      <c r="U74" s="54"/>
      <c r="V74" s="51"/>
      <c r="W74" s="51"/>
      <c r="X74" s="51"/>
      <c r="Y74" s="54"/>
      <c r="Z74" s="51"/>
      <c r="AA74" s="51"/>
      <c r="AB74" s="51"/>
      <c r="AC74" s="54"/>
      <c r="AD74" s="51"/>
      <c r="AE74" s="51"/>
      <c r="AF74" s="51"/>
      <c r="AG74" s="54"/>
      <c r="AH74" s="51"/>
      <c r="AI74" s="51"/>
      <c r="AJ74" s="51"/>
      <c r="AK74" s="54"/>
      <c r="AL74" s="51"/>
      <c r="AM74" s="51"/>
      <c r="AN74" s="51"/>
      <c r="AO74" s="54"/>
      <c r="AP74" s="54"/>
      <c r="AQ74" s="54"/>
      <c r="AR74" s="54"/>
      <c r="AS74" s="80">
        <f t="shared" si="82"/>
        <v>0</v>
      </c>
      <c r="AU74" s="51"/>
      <c r="AV74" s="51"/>
      <c r="AW74" s="51"/>
      <c r="AY74" s="51"/>
      <c r="AZ74" s="51"/>
      <c r="BA74" s="51"/>
      <c r="BC74" s="51"/>
      <c r="BD74" s="51"/>
      <c r="BE74" s="51"/>
      <c r="BG74" s="51"/>
      <c r="BH74" s="51"/>
      <c r="BI74" s="51"/>
      <c r="BK74" s="51"/>
      <c r="BL74" s="51"/>
      <c r="BM74" s="51"/>
    </row>
    <row r="75" ht="15" customHeight="1" spans="2:65" x14ac:dyDescent="0.25">
      <c r="B75" s="34" t="s">
        <v>58</v>
      </c>
      <c r="C75" s="34"/>
      <c r="D75" s="34"/>
      <c r="E75" s="34"/>
      <c r="F75" s="81">
        <f>SUM(F70:F74)</f>
        <v>0</v>
      </c>
      <c r="G75" s="81"/>
      <c r="H75" s="81">
        <f>SUM(H70:H74)</f>
        <v>35995.88916288034</v>
      </c>
      <c r="I75" s="81"/>
      <c r="J75" s="81">
        <f>SUM(J70:J74)</f>
        <v>0</v>
      </c>
      <c r="K75" s="81"/>
      <c r="L75" s="81">
        <f>SUM(L70:L74)</f>
        <v>36962.221757857</v>
      </c>
      <c r="M75" s="81"/>
      <c r="N75" s="81">
        <f>SUM(N70:N74)</f>
        <v>0</v>
      </c>
      <c r="O75" s="81"/>
      <c r="P75" s="81">
        <f>SUM(P70:P74)</f>
        <v>40706.76056339153</v>
      </c>
      <c r="Q75" s="81"/>
      <c r="R75" s="81">
        <f>SUM(R70:R74)</f>
        <v>0</v>
      </c>
      <c r="S75" s="81"/>
      <c r="T75" s="81">
        <f>SUM(T70:T74)</f>
        <v>44813.6740920423</v>
      </c>
      <c r="U75" s="81"/>
      <c r="V75" s="81">
        <f>SUM(V70:V74)</f>
        <v>0</v>
      </c>
      <c r="W75" s="81"/>
      <c r="X75" s="81">
        <f>SUM(X70:X74)</f>
        <v>48316.629748832675</v>
      </c>
      <c r="Y75" s="81"/>
      <c r="Z75" s="81">
        <f>SUM(Z70:Z74)</f>
        <v>0</v>
      </c>
      <c r="AA75" s="81"/>
      <c r="AB75" s="81">
        <f>SUM(AB70:AB74)</f>
        <v>48316.629748832675</v>
      </c>
      <c r="AC75" s="81"/>
      <c r="AD75" s="81">
        <f>SUM(AD70:AD74)</f>
        <v>0</v>
      </c>
      <c r="AE75" s="81"/>
      <c r="AF75" s="81">
        <f>SUM(AF70:AF74)</f>
        <v>48316.629748832675</v>
      </c>
      <c r="AG75" s="81"/>
      <c r="AH75" s="81">
        <f>SUM(AH70:AH74)</f>
        <v>0</v>
      </c>
      <c r="AI75" s="81"/>
      <c r="AJ75" s="81">
        <f>SUM(AJ70:AJ74)</f>
        <v>48316.629748832675</v>
      </c>
      <c r="AK75" s="81"/>
      <c r="AL75" s="81">
        <f>SUM(AL70:AL74)</f>
        <v>0</v>
      </c>
      <c r="AM75" s="81"/>
      <c r="AN75" s="81">
        <f>SUM(AN70:AN74)</f>
        <v>48316.629748832675</v>
      </c>
      <c r="AO75" s="81"/>
      <c r="AP75" s="81"/>
      <c r="AQ75" s="81">
        <f>SUM(AQ70:AQ74)</f>
        <v>0</v>
      </c>
      <c r="AR75" s="81"/>
      <c r="AS75" s="81">
        <f>SUM(AS70:AS74)</f>
        <v>400061.6943203345</v>
      </c>
      <c r="AT75" s="9"/>
      <c r="AU75" s="81">
        <f>SUM(AU70:AU74)</f>
        <v>0</v>
      </c>
      <c r="AV75" s="81"/>
      <c r="AW75" s="81">
        <f>SUM(AW70:AW74)</f>
        <v>1464098.8456353862</v>
      </c>
      <c r="AX75" s="9"/>
      <c r="AY75" s="81">
        <f>SUM(AY70:AY74)</f>
        <v>0</v>
      </c>
      <c r="AZ75" s="81"/>
      <c r="BA75" s="81">
        <f>SUM(BA70:BA74)</f>
        <v>7188288.2876382135</v>
      </c>
      <c r="BB75" s="9"/>
      <c r="BC75" s="81">
        <f>SUM(BC70:BC74)</f>
        <v>0</v>
      </c>
      <c r="BD75" s="81"/>
      <c r="BE75" s="81">
        <f>SUM(BE70:BE74)</f>
        <v>9875073.561040977</v>
      </c>
      <c r="BF75" s="9"/>
      <c r="BG75" s="81">
        <f>SUM(BG70:BG74)</f>
        <v>0</v>
      </c>
      <c r="BH75" s="81"/>
      <c r="BI75" s="81">
        <f>SUM(BI70:BI74)</f>
        <v>12189813.835990518</v>
      </c>
      <c r="BJ75" s="9"/>
      <c r="BK75" s="81">
        <f>SUM(BK70:BK74)</f>
        <v>0</v>
      </c>
      <c r="BL75" s="81"/>
      <c r="BM75" s="81" t="e">
        <f>SUM(BM70:BM74)</f>
        <v>#REF!</v>
      </c>
    </row>
    <row r="76" ht="18.75" customHeight="1" spans="2:65" x14ac:dyDescent="0.25">
      <c r="B76" s="9"/>
      <c r="C76" s="28"/>
      <c r="D76" s="30"/>
      <c r="G76" s="54"/>
      <c r="H76" s="54"/>
      <c r="I76" s="54"/>
      <c r="K76" s="54"/>
      <c r="L76" s="54"/>
      <c r="M76" s="54"/>
      <c r="O76" s="54"/>
      <c r="P76" s="54"/>
      <c r="Q76" s="54"/>
      <c r="S76" s="54"/>
      <c r="T76" s="54"/>
      <c r="U76" s="54"/>
      <c r="W76" s="54"/>
      <c r="X76" s="54"/>
      <c r="Y76" s="54"/>
      <c r="AA76" s="54"/>
      <c r="AB76" s="54"/>
      <c r="AC76" s="54"/>
      <c r="AE76" s="54"/>
      <c r="AF76" s="54"/>
      <c r="AG76" s="54"/>
      <c r="AI76" s="54"/>
      <c r="AJ76" s="54"/>
      <c r="AK76" s="54"/>
      <c r="AM76" s="54"/>
      <c r="AN76" s="54"/>
      <c r="AO76" s="54"/>
      <c r="AP76" s="54"/>
      <c r="AQ76" s="54"/>
      <c r="AR76" s="54"/>
      <c r="AS76" s="54"/>
      <c r="AV76" s="54"/>
      <c r="AW76" s="54"/>
      <c r="AZ76" s="54"/>
      <c r="BA76" s="54"/>
      <c r="BD76" s="54"/>
      <c r="BE76" s="54"/>
      <c r="BH76" s="54"/>
      <c r="BI76" s="54"/>
      <c r="BL76" s="54"/>
      <c r="BM76" s="54"/>
    </row>
    <row r="77" ht="18.75" customHeight="1" spans="2:65" x14ac:dyDescent="0.25">
      <c r="B77" s="9"/>
      <c r="C77" s="28"/>
      <c r="D77" s="30"/>
      <c r="G77" s="54"/>
      <c r="H77" s="54"/>
      <c r="I77" s="54"/>
      <c r="K77" s="54"/>
      <c r="L77" s="54"/>
      <c r="M77" s="54"/>
      <c r="O77" s="54"/>
      <c r="P77" s="54"/>
      <c r="Q77" s="54"/>
      <c r="S77" s="54"/>
      <c r="T77" s="54"/>
      <c r="U77" s="54"/>
      <c r="W77" s="54"/>
      <c r="X77" s="54"/>
      <c r="Y77" s="54"/>
      <c r="AA77" s="54"/>
      <c r="AB77" s="54"/>
      <c r="AC77" s="54"/>
      <c r="AE77" s="54"/>
      <c r="AF77" s="54"/>
      <c r="AG77" s="54"/>
      <c r="AI77" s="54"/>
      <c r="AJ77" s="54"/>
      <c r="AK77" s="54"/>
      <c r="AM77" s="54"/>
      <c r="AN77" s="54"/>
      <c r="AO77" s="54"/>
      <c r="AP77" s="54"/>
      <c r="AQ77" s="54"/>
      <c r="AR77" s="54"/>
      <c r="AS77" s="54"/>
      <c r="AV77" s="54"/>
      <c r="AW77" s="54"/>
      <c r="AZ77" s="54"/>
      <c r="BA77" s="54"/>
      <c r="BD77" s="54"/>
      <c r="BE77" s="54"/>
      <c r="BH77" s="54"/>
      <c r="BI77" s="54"/>
      <c r="BL77" s="54"/>
      <c r="BM77" s="54"/>
    </row>
    <row r="78" ht="18.75" customHeight="1" spans="2:65" s="9" customFormat="1" x14ac:dyDescent="0.25">
      <c r="B78" s="34" t="s">
        <v>58</v>
      </c>
      <c r="C78" s="34"/>
      <c r="D78" s="34"/>
      <c r="F78" s="81">
        <f>F29+F38+F47+F58+F67</f>
        <v>40</v>
      </c>
      <c r="H78" s="81">
        <f>H29+H38+H47+H58+H67</f>
        <v>5591237.472311624</v>
      </c>
      <c r="J78" s="81">
        <f>J29+J38+J47+J58+J67</f>
        <v>60</v>
      </c>
      <c r="L78" s="81">
        <f>L29+L38+L47+L58+L67</f>
        <v>5651237.472311624</v>
      </c>
      <c r="N78" s="81">
        <f>N29+N38+N47+N58+N67</f>
        <v>60</v>
      </c>
      <c r="P78" s="81">
        <f>P29+P38+P47+P58+P67</f>
        <v>5723237.472311624</v>
      </c>
      <c r="R78" s="81">
        <f>R29+R38+R47+R58+R67</f>
        <v>60</v>
      </c>
      <c r="T78" s="81">
        <f>T29+T38+T47+T58+T67</f>
        <v>5909637.472311624</v>
      </c>
      <c r="V78" s="81">
        <f>V29+V38+V47+V58+V67</f>
        <v>60</v>
      </c>
      <c r="X78" s="81">
        <f>X29+X38+X47+X58+X67</f>
        <v>5909637.472311624</v>
      </c>
      <c r="Z78" s="81">
        <f>Z29+Z38+Z47+Z58+Z67</f>
        <v>60</v>
      </c>
      <c r="AB78" s="81">
        <f>AB29+AB38+AB47+AB58+AB67</f>
        <v>5909637.472311624</v>
      </c>
      <c r="AD78" s="81">
        <f>AD29+AD38+AD47+AD58+AD67</f>
        <v>61</v>
      </c>
      <c r="AF78" s="81">
        <f>AF29+AF38+AF47+AF58+AF67</f>
        <v>6135557.472311624</v>
      </c>
      <c r="AH78" s="81">
        <f>AH29+AH38+AH47+AH58+AH67</f>
        <v>62</v>
      </c>
      <c r="AJ78" s="81">
        <f>AJ29+AJ38+AJ47+AJ58+AJ67</f>
        <v>11681557.472311623</v>
      </c>
      <c r="AL78" s="81">
        <f>AL29+AL38+AL47+AL58+AL67</f>
        <v>62</v>
      </c>
      <c r="AN78" s="81">
        <f>AN29+AN38+AN47+AN58+AN67</f>
        <v>11681557.472311623</v>
      </c>
      <c r="AQ78" s="81">
        <f>AQ29+AQ38+AQ47+AQ58+AQ67</f>
        <v>203</v>
      </c>
      <c r="AS78" s="81">
        <f>AS29+AS38+AS47+AS58+AS67</f>
        <v>39163297.25080462</v>
      </c>
      <c r="AU78" s="81">
        <f>AU29+AU38+AU47+AU58+AU67</f>
        <v>341</v>
      </c>
      <c r="AW78" s="81" t="e">
        <f>AW29+AW38+AW47+AW58+AW67</f>
        <v>#REF!</v>
      </c>
      <c r="AY78" s="81">
        <f>AY29+AY38+AY47+AY58+AY67</f>
        <v>402</v>
      </c>
      <c r="BA78" s="81" t="e">
        <f>BA29+BA38+BA47+BA58+BA67</f>
        <v>#REF!</v>
      </c>
      <c r="BC78" s="81">
        <f>BC29+BC38+BC47+BC58+BC67</f>
        <v>475.20000000000005</v>
      </c>
      <c r="BE78" s="81" t="e">
        <f>BE29+BE38+BE47+BE58+BE67</f>
        <v>#REF!</v>
      </c>
      <c r="BG78" s="81">
        <f>BG29+BG38+BG47+BG58+BG67</f>
        <v>585</v>
      </c>
      <c r="BI78" s="81" t="e">
        <f>BI29+BI38+BI47+BI58+BI67</f>
        <v>#REF!</v>
      </c>
      <c r="BK78" s="81">
        <f>BK29+BK38+BK47+BK58+BK67</f>
        <v>667.3499999999999</v>
      </c>
      <c r="BM78" s="81" t="e">
        <f>BM29+BM38+BM47+BM58+BM67</f>
        <v>#REF!</v>
      </c>
    </row>
    <row r="79" spans="2:65" x14ac:dyDescent="0.25">
      <c r="B79" s="84" t="s">
        <v>219</v>
      </c>
      <c r="C79" s="84"/>
      <c r="D79" s="84"/>
      <c r="AS79" s="54">
        <f>AS78/19</f>
        <v>2061226.1710949799</v>
      </c>
      <c r="AW79" s="54" t="e">
        <f>AW78/12</f>
        <v>#REF!</v>
      </c>
      <c r="BA79" s="54" t="e">
        <f>BA78/12</f>
        <v>#REF!</v>
      </c>
      <c r="BE79" s="54" t="e">
        <f>BE78/12</f>
        <v>#REF!</v>
      </c>
      <c r="BI79" s="54" t="e">
        <f>BI78/12</f>
        <v>#REF!</v>
      </c>
      <c r="BM79" s="54" t="e">
        <f>BM78/12</f>
        <v>#REF!</v>
      </c>
    </row>
    <row r="83" spans="1:67" x14ac:dyDescent="0.25">
      <c r="A83" s="23"/>
      <c r="B83" s="21"/>
      <c r="C83" s="76" t="s">
        <v>264</v>
      </c>
      <c r="D83" s="76"/>
      <c r="E83" s="21"/>
      <c r="F83" s="73" t="s">
        <v>212</v>
      </c>
      <c r="G83" s="74" t="s">
        <v>213</v>
      </c>
      <c r="H83" s="74" t="s">
        <v>214</v>
      </c>
      <c r="I83" s="75"/>
      <c r="J83" s="73" t="s">
        <v>212</v>
      </c>
      <c r="K83" s="74" t="s">
        <v>213</v>
      </c>
      <c r="L83" s="74" t="s">
        <v>214</v>
      </c>
      <c r="M83" s="75"/>
      <c r="N83" s="73" t="s">
        <v>212</v>
      </c>
      <c r="O83" s="74" t="s">
        <v>213</v>
      </c>
      <c r="P83" s="74" t="s">
        <v>214</v>
      </c>
      <c r="Q83" s="75"/>
      <c r="R83" s="73" t="s">
        <v>212</v>
      </c>
      <c r="S83" s="74" t="s">
        <v>213</v>
      </c>
      <c r="T83" s="74" t="s">
        <v>214</v>
      </c>
      <c r="U83" s="75"/>
      <c r="V83" s="73" t="s">
        <v>212</v>
      </c>
      <c r="W83" s="74" t="s">
        <v>213</v>
      </c>
      <c r="X83" s="74" t="s">
        <v>214</v>
      </c>
      <c r="Y83" s="75"/>
      <c r="Z83" s="73" t="s">
        <v>212</v>
      </c>
      <c r="AA83" s="74" t="s">
        <v>213</v>
      </c>
      <c r="AB83" s="74" t="s">
        <v>214</v>
      </c>
      <c r="AC83" s="75"/>
      <c r="AD83" s="73" t="s">
        <v>212</v>
      </c>
      <c r="AE83" s="74" t="s">
        <v>213</v>
      </c>
      <c r="AF83" s="74" t="s">
        <v>214</v>
      </c>
      <c r="AG83" s="75"/>
      <c r="AH83" s="73" t="s">
        <v>212</v>
      </c>
      <c r="AI83" s="74" t="s">
        <v>213</v>
      </c>
      <c r="AJ83" s="74" t="s">
        <v>214</v>
      </c>
      <c r="AK83" s="75"/>
      <c r="AL83" s="73" t="s">
        <v>212</v>
      </c>
      <c r="AM83" s="74" t="s">
        <v>213</v>
      </c>
      <c r="AN83" s="74" t="s">
        <v>214</v>
      </c>
      <c r="AO83" s="75"/>
      <c r="AP83" s="75"/>
      <c r="AQ83" s="73" t="s">
        <v>212</v>
      </c>
      <c r="AR83" s="74" t="s">
        <v>213</v>
      </c>
      <c r="AS83" s="74" t="s">
        <v>214</v>
      </c>
      <c r="AT83" s="23"/>
      <c r="AU83" s="73" t="s">
        <v>212</v>
      </c>
      <c r="AV83" s="74" t="s">
        <v>213</v>
      </c>
      <c r="AW83" s="74" t="s">
        <v>214</v>
      </c>
      <c r="AX83" s="23"/>
      <c r="AY83" s="73" t="s">
        <v>212</v>
      </c>
      <c r="AZ83" s="74" t="s">
        <v>213</v>
      </c>
      <c r="BA83" s="74" t="s">
        <v>214</v>
      </c>
      <c r="BB83" s="23"/>
      <c r="BC83" s="73" t="s">
        <v>212</v>
      </c>
      <c r="BD83" s="74" t="s">
        <v>213</v>
      </c>
      <c r="BE83" s="74" t="s">
        <v>214</v>
      </c>
      <c r="BF83" s="23"/>
      <c r="BG83" s="73" t="s">
        <v>212</v>
      </c>
      <c r="BH83" s="74" t="s">
        <v>213</v>
      </c>
      <c r="BI83" s="74" t="s">
        <v>214</v>
      </c>
      <c r="BJ83" s="23"/>
      <c r="BK83" s="73" t="s">
        <v>212</v>
      </c>
      <c r="BL83" s="74" t="s">
        <v>213</v>
      </c>
      <c r="BM83" s="74" t="s">
        <v>214</v>
      </c>
      <c r="BN83" s="23"/>
      <c r="BO83" s="23"/>
    </row>
    <row r="84" spans="1:67" x14ac:dyDescent="0.25">
      <c r="A84" s="23"/>
      <c r="B84" s="21"/>
      <c r="C84" s="76"/>
      <c r="D84" s="76"/>
      <c r="E84" s="21"/>
      <c r="F84" s="76"/>
      <c r="G84" s="75"/>
      <c r="H84" s="75"/>
      <c r="I84" s="75"/>
      <c r="J84" s="76"/>
      <c r="K84" s="75"/>
      <c r="L84" s="75"/>
      <c r="M84" s="75"/>
      <c r="N84" s="76"/>
      <c r="O84" s="75"/>
      <c r="P84" s="75"/>
      <c r="Q84" s="75"/>
      <c r="R84" s="76"/>
      <c r="S84" s="75"/>
      <c r="T84" s="75"/>
      <c r="U84" s="75"/>
      <c r="V84" s="76"/>
      <c r="W84" s="75"/>
      <c r="X84" s="75"/>
      <c r="Y84" s="75"/>
      <c r="Z84" s="76"/>
      <c r="AA84" s="75"/>
      <c r="AB84" s="75"/>
      <c r="AC84" s="75"/>
      <c r="AD84" s="76"/>
      <c r="AE84" s="75"/>
      <c r="AF84" s="75"/>
      <c r="AG84" s="75"/>
      <c r="AH84" s="76"/>
      <c r="AI84" s="75"/>
      <c r="AJ84" s="75"/>
      <c r="AK84" s="75"/>
      <c r="AL84" s="76"/>
      <c r="AM84" s="75"/>
      <c r="AN84" s="75"/>
      <c r="AO84" s="75"/>
      <c r="AP84" s="75"/>
      <c r="AQ84" s="76"/>
      <c r="AR84" s="75"/>
      <c r="AS84" s="75"/>
      <c r="AT84" s="23"/>
      <c r="AU84" s="76"/>
      <c r="AV84" s="75"/>
      <c r="AW84" s="75"/>
      <c r="AX84" s="23"/>
      <c r="AY84" s="76"/>
      <c r="AZ84" s="75"/>
      <c r="BA84" s="75"/>
      <c r="BB84" s="23"/>
      <c r="BC84" s="76"/>
      <c r="BD84" s="75"/>
      <c r="BE84" s="75"/>
      <c r="BF84" s="23"/>
      <c r="BG84" s="76"/>
      <c r="BH84" s="75"/>
      <c r="BI84" s="75"/>
      <c r="BJ84" s="23"/>
      <c r="BK84" s="76"/>
      <c r="BL84" s="75"/>
      <c r="BM84" s="75"/>
      <c r="BN84" s="23"/>
      <c r="BO84" s="23"/>
    </row>
    <row r="85" ht="18.75" customHeight="1" spans="1:67" x14ac:dyDescent="0.25">
      <c r="A85" s="28"/>
      <c r="B85" s="17"/>
      <c r="C85" s="17" t="s">
        <v>41</v>
      </c>
      <c r="D85" s="17" t="s">
        <v>109</v>
      </c>
      <c r="E85" s="17"/>
      <c r="F85" s="17"/>
      <c r="G85" s="77" t="s">
        <v>217</v>
      </c>
      <c r="H85" s="77"/>
      <c r="I85" s="77"/>
      <c r="J85" s="78">
        <v>1</v>
      </c>
      <c r="K85" s="78">
        <v>1</v>
      </c>
      <c r="L85" s="77"/>
      <c r="M85" s="77"/>
      <c r="N85" s="78">
        <v>1</v>
      </c>
      <c r="O85" s="78">
        <v>1</v>
      </c>
      <c r="P85" s="77"/>
      <c r="Q85" s="77"/>
      <c r="R85" s="78">
        <v>1</v>
      </c>
      <c r="S85" s="78">
        <v>1</v>
      </c>
      <c r="T85" s="77"/>
      <c r="U85" s="77"/>
      <c r="V85" s="78">
        <v>1</v>
      </c>
      <c r="W85" s="78">
        <v>1</v>
      </c>
      <c r="X85" s="77"/>
      <c r="Y85" s="77"/>
      <c r="Z85" s="78">
        <v>1</v>
      </c>
      <c r="AA85" s="78">
        <v>1</v>
      </c>
      <c r="AB85" s="77"/>
      <c r="AC85" s="77"/>
      <c r="AD85" s="78">
        <v>1</v>
      </c>
      <c r="AE85" s="78">
        <v>1</v>
      </c>
      <c r="AF85" s="77"/>
      <c r="AG85" s="77"/>
      <c r="AH85" s="78">
        <v>1</v>
      </c>
      <c r="AI85" s="78">
        <v>1</v>
      </c>
      <c r="AJ85" s="77"/>
      <c r="AK85" s="77"/>
      <c r="AL85" s="78">
        <v>1</v>
      </c>
      <c r="AM85" s="78">
        <v>1</v>
      </c>
      <c r="AN85" s="77"/>
      <c r="AO85" s="77"/>
      <c r="AP85" s="77"/>
      <c r="AQ85" s="77"/>
      <c r="AR85" s="77">
        <v>9</v>
      </c>
      <c r="AS85" s="77"/>
      <c r="AT85" s="28"/>
      <c r="AU85" s="78">
        <v>1.25</v>
      </c>
      <c r="AV85" s="78">
        <v>1.2</v>
      </c>
      <c r="AW85" s="78">
        <v>1.5</v>
      </c>
      <c r="AX85" s="28"/>
      <c r="AY85" s="78">
        <v>1.2</v>
      </c>
      <c r="AZ85" s="78">
        <v>1.2</v>
      </c>
      <c r="BA85" s="78">
        <v>1.2</v>
      </c>
      <c r="BB85" s="28"/>
      <c r="BC85" s="78">
        <v>1.2</v>
      </c>
      <c r="BD85" s="78">
        <v>1.25</v>
      </c>
      <c r="BE85" s="78">
        <v>1.2</v>
      </c>
      <c r="BF85" s="28"/>
      <c r="BG85" s="78">
        <v>1.25</v>
      </c>
      <c r="BH85" s="78">
        <v>1.25</v>
      </c>
      <c r="BI85" s="78">
        <v>1.2</v>
      </c>
      <c r="BJ85" s="28"/>
      <c r="BK85" s="78">
        <v>1.15</v>
      </c>
      <c r="BL85" s="78">
        <v>1.2</v>
      </c>
      <c r="BM85" s="78">
        <v>1.2</v>
      </c>
      <c r="BN85" s="28"/>
      <c r="BO85" s="28"/>
    </row>
    <row r="86" ht="18.75" customHeight="1" spans="2:65" x14ac:dyDescent="0.25">
      <c r="B86" s="5">
        <v>1</v>
      </c>
      <c r="C86" s="43" t="s">
        <v>265</v>
      </c>
      <c r="D86" s="27"/>
      <c r="E86" s="28"/>
      <c r="F86" s="55"/>
      <c r="G86" s="55"/>
      <c r="H86" s="55"/>
      <c r="I86" s="55"/>
      <c r="J86" s="55"/>
      <c r="K86" s="55"/>
      <c r="L86" s="55"/>
      <c r="M86" s="55"/>
      <c r="N86" s="55"/>
      <c r="O86" s="55"/>
      <c r="P86" s="55"/>
      <c r="Q86" s="55"/>
      <c r="R86" s="55"/>
      <c r="S86" s="55"/>
      <c r="T86" s="55"/>
      <c r="U86" s="55"/>
      <c r="V86" s="55"/>
      <c r="W86" s="55"/>
      <c r="X86" s="55"/>
      <c r="Y86" s="55"/>
      <c r="Z86" s="55"/>
      <c r="AA86" s="55"/>
      <c r="AB86" s="55"/>
      <c r="AC86" s="55"/>
      <c r="AD86" s="55"/>
      <c r="AE86" s="55"/>
      <c r="AF86" s="55"/>
      <c r="AG86" s="55"/>
      <c r="AH86" s="55"/>
      <c r="AI86" s="55"/>
      <c r="AJ86" s="55"/>
      <c r="AK86" s="55"/>
      <c r="AL86" s="55"/>
      <c r="AM86" s="55"/>
      <c r="AN86" s="55"/>
      <c r="AO86" s="54"/>
      <c r="AP86" s="54"/>
      <c r="AQ86" s="54"/>
      <c r="AR86" s="54"/>
      <c r="AS86" s="54"/>
      <c r="AU86" s="51"/>
      <c r="AV86" s="51"/>
      <c r="AW86" s="51"/>
      <c r="AY86" s="51"/>
      <c r="AZ86" s="51"/>
      <c r="BA86" s="51"/>
      <c r="BC86" s="51"/>
      <c r="BD86" s="51"/>
      <c r="BE86" s="51"/>
      <c r="BG86" s="51"/>
      <c r="BH86" s="51"/>
      <c r="BI86" s="51"/>
      <c r="BK86" s="51"/>
      <c r="BL86" s="51"/>
      <c r="BM86" s="51"/>
    </row>
    <row r="87" ht="18.75" customHeight="1" spans="2:66" x14ac:dyDescent="0.25">
      <c r="B87" s="5" t="s">
        <v>52</v>
      </c>
      <c r="C87" s="29"/>
      <c r="D87" s="29" t="s">
        <v>266</v>
      </c>
      <c r="E87" s="30"/>
      <c r="F87" s="55"/>
      <c r="G87" s="55"/>
      <c r="H87" s="55">
        <f t="shared" ref="H87:H99" si="83">F87*G87</f>
        <v>0</v>
      </c>
      <c r="I87" s="55"/>
      <c r="J87" s="55">
        <f t="shared" ref="J87:J99" si="84">F87*$J$8</f>
        <v>0</v>
      </c>
      <c r="K87" s="55">
        <f t="shared" ref="K87:K99" si="85">G87*$K$8</f>
        <v>0</v>
      </c>
      <c r="L87" s="55">
        <f t="shared" ref="L87:L99" si="86">J87*K87</f>
        <v>0</v>
      </c>
      <c r="M87" s="55"/>
      <c r="N87" s="55">
        <f t="shared" ref="N87:N99" si="87">J87*$N$8</f>
        <v>0</v>
      </c>
      <c r="O87" s="55">
        <f t="shared" ref="O87:O99" si="88">K87*$O$8</f>
        <v>0</v>
      </c>
      <c r="P87" s="55">
        <f t="shared" ref="P87:P99" si="89">N87*O87</f>
        <v>0</v>
      </c>
      <c r="Q87" s="55"/>
      <c r="R87" s="55">
        <f t="shared" ref="R87:R99" si="90">N87*$R$8</f>
        <v>0</v>
      </c>
      <c r="S87" s="55">
        <f t="shared" ref="S87:S99" si="91">O87*$S$8</f>
        <v>0</v>
      </c>
      <c r="T87" s="55">
        <f t="shared" ref="T87:T99" si="92">R87*S87</f>
        <v>0</v>
      </c>
      <c r="U87" s="55"/>
      <c r="V87" s="55">
        <f t="shared" ref="V87:V99" si="93">R87*$V$8</f>
        <v>0</v>
      </c>
      <c r="W87" s="55">
        <f t="shared" ref="W87:W99" si="94">S87*$W$8</f>
        <v>0</v>
      </c>
      <c r="X87" s="55">
        <f t="shared" ref="X87:X99" si="95">V87*W87</f>
        <v>0</v>
      </c>
      <c r="Y87" s="55"/>
      <c r="Z87" s="55">
        <f t="shared" ref="Z87:Z99" si="96">V87*$Z$8</f>
        <v>0</v>
      </c>
      <c r="AA87" s="55">
        <f t="shared" ref="AA87:AA99" si="97">W87*$AA$8</f>
        <v>0</v>
      </c>
      <c r="AB87" s="55">
        <f t="shared" ref="AB87:AB99" si="98">Z87*AA87</f>
        <v>0</v>
      </c>
      <c r="AC87" s="55"/>
      <c r="AD87" s="55">
        <f t="shared" ref="AD87:AD98" si="99">Z87*$AD$8</f>
        <v>0</v>
      </c>
      <c r="AE87" s="55">
        <f t="shared" ref="AE87:AE98" si="100">AA87*$AE$8</f>
        <v>0</v>
      </c>
      <c r="AF87" s="55">
        <f t="shared" ref="AF87:AF99" si="101">AD87*AE87</f>
        <v>0</v>
      </c>
      <c r="AG87" s="55"/>
      <c r="AH87" s="55">
        <f t="shared" ref="AH87:AH99" si="102">AD87*$AH$8</f>
        <v>0</v>
      </c>
      <c r="AI87" s="55">
        <f t="shared" ref="AI87:AI99" si="103">AE87*$AI$8</f>
        <v>0</v>
      </c>
      <c r="AJ87" s="55">
        <f t="shared" ref="AJ87:AJ99" si="104">AH87*AI87</f>
        <v>0</v>
      </c>
      <c r="AK87" s="55"/>
      <c r="AL87" s="55">
        <f t="shared" ref="AL87:AL99" si="105">AH87*$AL$8</f>
        <v>0</v>
      </c>
      <c r="AM87" s="55">
        <f t="shared" ref="AM87:AM99" si="106">AI87*$AM$8</f>
        <v>0</v>
      </c>
      <c r="AN87" s="55">
        <f t="shared" ref="AN87:AN99" si="107">AL87*AM87</f>
        <v>0</v>
      </c>
      <c r="AO87" s="54"/>
      <c r="AP87" s="54"/>
      <c r="AQ87" s="85">
        <f t="shared" ref="AQ87:AQ99" si="108">SUMIF($F$6:$AN$6,AQ$6,F87:AN87)</f>
        <v>0</v>
      </c>
      <c r="AR87" s="85">
        <f t="shared" ref="AR87:AR98" si="109">SUMIF($F$6:$AN$6,AR$6,F87:AN87)/$AR$8</f>
        <v>0</v>
      </c>
      <c r="AS87" s="80">
        <f>AQ87*AR87</f>
        <v>0</v>
      </c>
      <c r="AT87" t="b">
        <f t="shared" ref="AT87:AT99" si="110">(AQ87*AR87)=AS87</f>
        <v>1</v>
      </c>
      <c r="AU87" s="51">
        <f>5*3</f>
        <v>15</v>
      </c>
      <c r="AV87" s="51">
        <v>350000</v>
      </c>
      <c r="AW87" s="51">
        <f t="shared" ref="AW87:AW99" si="111">AU87*AV87</f>
        <v>5250000</v>
      </c>
      <c r="AX87" t="b">
        <f t="shared" ref="AX87:AX99" si="112">(AU87*AV87)=AW87</f>
        <v>1</v>
      </c>
      <c r="AY87" s="51">
        <f t="shared" ref="AY87:AY99" si="113">AU87*$AY$8</f>
        <v>18</v>
      </c>
      <c r="AZ87" s="51">
        <f t="shared" ref="AZ87:AZ99" si="114">AV87*$AZ$8</f>
        <v>420000</v>
      </c>
      <c r="BA87" s="51">
        <f t="shared" ref="BA87:BA99" si="115">AY87*AZ87</f>
        <v>7560000</v>
      </c>
      <c r="BB87" t="b">
        <f t="shared" ref="BB87:BB99" si="116">(AY87*AZ87)=BA87</f>
        <v>1</v>
      </c>
      <c r="BC87" s="51">
        <f t="shared" ref="BC87:BC99" si="117">AY87*$BC$8</f>
        <v>21.599999999999998</v>
      </c>
      <c r="BD87" s="51">
        <f t="shared" ref="BD87:BD99" si="118">AZ87*$BD$8</f>
        <v>525000</v>
      </c>
      <c r="BE87" s="51">
        <f t="shared" ref="BE87:BE99" si="119">BC87*BD87</f>
        <v>11339999.999999998</v>
      </c>
      <c r="BF87" t="b">
        <f t="shared" ref="BF87:BF99" si="120">(BC87*BD87)=BE87</f>
        <v>1</v>
      </c>
      <c r="BG87" s="51">
        <f t="shared" ref="BG87:BG99" si="121">BC87*$BG$8</f>
        <v>26.999999999999996</v>
      </c>
      <c r="BH87" s="51">
        <f t="shared" ref="BH87:BH99" si="122">BD87*$BH$8</f>
        <v>656250</v>
      </c>
      <c r="BI87" s="51">
        <f>BG87*BH87</f>
        <v>17718749.999999996</v>
      </c>
      <c r="BJ87" t="b">
        <f t="shared" ref="BJ87:BJ99" si="123">(BG87*BH87)=BI87</f>
        <v>1</v>
      </c>
      <c r="BK87" s="51">
        <f t="shared" ref="BK87:BK99" si="124">BG87*$BK$8</f>
        <v>31.049999999999994</v>
      </c>
      <c r="BL87" s="51">
        <f t="shared" ref="BL87:BL99" si="125">BH87*$BL$8</f>
        <v>787500</v>
      </c>
      <c r="BM87" s="51">
        <f t="shared" ref="BM87:BM99" si="126">BK87*BL87</f>
        <v>24451874.999999996</v>
      </c>
      <c r="BN87" t="b">
        <f t="shared" ref="BN87:BN99" si="127">(BK87*BL87)=BM87</f>
        <v>1</v>
      </c>
    </row>
    <row r="88" ht="18.75" customHeight="1" spans="2:66" x14ac:dyDescent="0.25">
      <c r="B88" s="5" t="s">
        <v>54</v>
      </c>
      <c r="C88" s="29"/>
      <c r="D88" s="29" t="s">
        <v>267</v>
      </c>
      <c r="E88" s="30"/>
      <c r="F88" s="55"/>
      <c r="G88" s="55"/>
      <c r="H88" s="55">
        <f t="shared" si="83"/>
        <v>0</v>
      </c>
      <c r="I88" s="55"/>
      <c r="J88" s="55">
        <f t="shared" si="84"/>
        <v>0</v>
      </c>
      <c r="K88" s="55">
        <f t="shared" si="85"/>
        <v>0</v>
      </c>
      <c r="L88" s="55">
        <f t="shared" si="86"/>
        <v>0</v>
      </c>
      <c r="M88" s="55"/>
      <c r="N88" s="55">
        <f t="shared" si="87"/>
        <v>0</v>
      </c>
      <c r="O88" s="55">
        <f t="shared" si="88"/>
        <v>0</v>
      </c>
      <c r="P88" s="55">
        <f t="shared" si="89"/>
        <v>0</v>
      </c>
      <c r="Q88" s="55"/>
      <c r="R88" s="55">
        <f t="shared" si="90"/>
        <v>0</v>
      </c>
      <c r="S88" s="55">
        <f t="shared" si="91"/>
        <v>0</v>
      </c>
      <c r="T88" s="55">
        <f t="shared" si="92"/>
        <v>0</v>
      </c>
      <c r="U88" s="55"/>
      <c r="V88" s="55">
        <f t="shared" si="93"/>
        <v>0</v>
      </c>
      <c r="W88" s="55">
        <f t="shared" si="94"/>
        <v>0</v>
      </c>
      <c r="X88" s="55">
        <f t="shared" si="95"/>
        <v>0</v>
      </c>
      <c r="Y88" s="55"/>
      <c r="Z88" s="55">
        <f t="shared" si="96"/>
        <v>0</v>
      </c>
      <c r="AA88" s="55">
        <f t="shared" si="97"/>
        <v>0</v>
      </c>
      <c r="AB88" s="55">
        <f t="shared" si="98"/>
        <v>0</v>
      </c>
      <c r="AC88" s="55"/>
      <c r="AD88" s="55">
        <f t="shared" si="99"/>
        <v>0</v>
      </c>
      <c r="AE88" s="55">
        <f t="shared" si="100"/>
        <v>0</v>
      </c>
      <c r="AF88" s="55">
        <f t="shared" si="101"/>
        <v>0</v>
      </c>
      <c r="AG88" s="55"/>
      <c r="AH88" s="55">
        <f t="shared" si="102"/>
        <v>0</v>
      </c>
      <c r="AI88" s="55">
        <f t="shared" si="103"/>
        <v>0</v>
      </c>
      <c r="AJ88" s="55">
        <f t="shared" si="104"/>
        <v>0</v>
      </c>
      <c r="AK88" s="55"/>
      <c r="AL88" s="55">
        <f t="shared" si="105"/>
        <v>0</v>
      </c>
      <c r="AM88" s="55">
        <f t="shared" si="106"/>
        <v>0</v>
      </c>
      <c r="AN88" s="55">
        <f t="shared" si="107"/>
        <v>0</v>
      </c>
      <c r="AO88" s="54"/>
      <c r="AP88" s="54"/>
      <c r="AQ88" s="85">
        <f t="shared" si="108"/>
        <v>0</v>
      </c>
      <c r="AR88" s="85">
        <f t="shared" si="109"/>
        <v>0</v>
      </c>
      <c r="AS88" s="80">
        <f t="shared" ref="AS88:AS99" si="128">H88+L88+P88+T88+X88+AB88+AF88+AJ88+AN88</f>
        <v>0</v>
      </c>
      <c r="AT88" t="b">
        <f t="shared" si="110"/>
        <v>1</v>
      </c>
      <c r="AU88" s="51">
        <f t="shared" ref="AU88:AU99" si="129">(AQ88/$AR$8*12)*$AU$8</f>
        <v>0</v>
      </c>
      <c r="AV88" s="51">
        <f t="shared" ref="AV88:AV99" si="130">AR88*$AV$8</f>
        <v>0</v>
      </c>
      <c r="AW88" s="51" t="e">
        <f>'B.I Sales - P1'!#REF!*30%</f>
        <v>#REF!</v>
      </c>
      <c r="AX88" t="e">
        <f t="shared" si="112"/>
        <v>#REF!</v>
      </c>
      <c r="AY88" s="51">
        <f t="shared" si="113"/>
        <v>0</v>
      </c>
      <c r="AZ88" s="51">
        <f t="shared" si="114"/>
        <v>0</v>
      </c>
      <c r="BA88" s="51" t="e">
        <f>'B.I Sales - P1'!#REF!*30%</f>
        <v>#REF!</v>
      </c>
      <c r="BB88" t="e">
        <f t="shared" si="116"/>
        <v>#REF!</v>
      </c>
      <c r="BC88" s="51">
        <f t="shared" si="117"/>
        <v>0</v>
      </c>
      <c r="BD88" s="51">
        <f t="shared" si="118"/>
        <v>0</v>
      </c>
      <c r="BE88" s="51" t="e">
        <f>'B.I Sales - P1'!#REF!*30%</f>
        <v>#REF!</v>
      </c>
      <c r="BF88" t="e">
        <f t="shared" si="120"/>
        <v>#REF!</v>
      </c>
      <c r="BG88" s="51">
        <f t="shared" si="121"/>
        <v>0</v>
      </c>
      <c r="BH88" s="51">
        <f t="shared" si="122"/>
        <v>0</v>
      </c>
      <c r="BI88" s="51" t="e">
        <f>'B.I Sales - P1'!#REF!*30%</f>
        <v>#REF!</v>
      </c>
      <c r="BJ88" t="e">
        <f t="shared" si="123"/>
        <v>#REF!</v>
      </c>
      <c r="BK88" s="51">
        <f t="shared" si="124"/>
        <v>0</v>
      </c>
      <c r="BL88" s="51">
        <f t="shared" si="125"/>
        <v>0</v>
      </c>
      <c r="BM88" s="51" t="e">
        <f>'B.I Sales - P1'!#REF!*30%</f>
        <v>#REF!</v>
      </c>
      <c r="BN88" t="e">
        <f t="shared" si="127"/>
        <v>#REF!</v>
      </c>
    </row>
    <row r="89" ht="18.75" customHeight="1" spans="2:66" x14ac:dyDescent="0.25">
      <c r="B89" s="5" t="s">
        <v>56</v>
      </c>
      <c r="C89" s="29"/>
      <c r="D89" s="29" t="s">
        <v>268</v>
      </c>
      <c r="E89" s="30"/>
      <c r="F89" s="55"/>
      <c r="G89" s="55"/>
      <c r="H89" s="55">
        <f t="shared" si="83"/>
        <v>0</v>
      </c>
      <c r="I89" s="55"/>
      <c r="J89" s="55">
        <f t="shared" si="84"/>
        <v>0</v>
      </c>
      <c r="K89" s="55">
        <f t="shared" si="85"/>
        <v>0</v>
      </c>
      <c r="L89" s="55">
        <f t="shared" si="86"/>
        <v>0</v>
      </c>
      <c r="M89" s="55"/>
      <c r="N89" s="55">
        <f t="shared" si="87"/>
        <v>0</v>
      </c>
      <c r="O89" s="55">
        <f t="shared" si="88"/>
        <v>0</v>
      </c>
      <c r="P89" s="55">
        <f t="shared" si="89"/>
        <v>0</v>
      </c>
      <c r="Q89" s="55"/>
      <c r="R89" s="55">
        <f t="shared" si="90"/>
        <v>0</v>
      </c>
      <c r="S89" s="55">
        <f t="shared" si="91"/>
        <v>0</v>
      </c>
      <c r="T89" s="55">
        <f t="shared" si="92"/>
        <v>0</v>
      </c>
      <c r="U89" s="55"/>
      <c r="V89" s="55">
        <f t="shared" si="93"/>
        <v>0</v>
      </c>
      <c r="W89" s="55">
        <f t="shared" si="94"/>
        <v>0</v>
      </c>
      <c r="X89" s="55">
        <f t="shared" si="95"/>
        <v>0</v>
      </c>
      <c r="Y89" s="55"/>
      <c r="Z89" s="55">
        <f t="shared" si="96"/>
        <v>0</v>
      </c>
      <c r="AA89" s="55">
        <f t="shared" si="97"/>
        <v>0</v>
      </c>
      <c r="AB89" s="55">
        <f t="shared" si="98"/>
        <v>0</v>
      </c>
      <c r="AC89" s="55"/>
      <c r="AD89" s="55">
        <f t="shared" si="99"/>
        <v>0</v>
      </c>
      <c r="AE89" s="55">
        <f t="shared" si="100"/>
        <v>0</v>
      </c>
      <c r="AF89" s="55">
        <f t="shared" si="101"/>
        <v>0</v>
      </c>
      <c r="AG89" s="55"/>
      <c r="AH89" s="55">
        <f t="shared" si="102"/>
        <v>0</v>
      </c>
      <c r="AI89" s="55">
        <f t="shared" si="103"/>
        <v>0</v>
      </c>
      <c r="AJ89" s="55">
        <f t="shared" si="104"/>
        <v>0</v>
      </c>
      <c r="AK89" s="55"/>
      <c r="AL89" s="55">
        <f t="shared" si="105"/>
        <v>0</v>
      </c>
      <c r="AM89" s="55">
        <f t="shared" si="106"/>
        <v>0</v>
      </c>
      <c r="AN89" s="55">
        <f t="shared" si="107"/>
        <v>0</v>
      </c>
      <c r="AO89" s="54"/>
      <c r="AP89" s="54"/>
      <c r="AQ89" s="85">
        <f t="shared" si="108"/>
        <v>0</v>
      </c>
      <c r="AR89" s="85">
        <f t="shared" si="109"/>
        <v>0</v>
      </c>
      <c r="AS89" s="80">
        <f t="shared" si="128"/>
        <v>0</v>
      </c>
      <c r="AT89" t="b">
        <f t="shared" si="110"/>
        <v>1</v>
      </c>
      <c r="AU89" s="51">
        <f t="shared" si="129"/>
        <v>0</v>
      </c>
      <c r="AV89" s="51">
        <f t="shared" si="130"/>
        <v>0</v>
      </c>
      <c r="AW89" s="51" t="e">
        <f>'B.I Sales - P1'!#REF!*30%</f>
        <v>#REF!</v>
      </c>
      <c r="AX89" t="e">
        <f t="shared" si="112"/>
        <v>#REF!</v>
      </c>
      <c r="AY89" s="51">
        <f t="shared" si="113"/>
        <v>0</v>
      </c>
      <c r="AZ89" s="51">
        <f t="shared" si="114"/>
        <v>0</v>
      </c>
      <c r="BA89" s="51" t="e">
        <f>'B.I Sales - P1'!#REF!*30%</f>
        <v>#REF!</v>
      </c>
      <c r="BB89" t="e">
        <f t="shared" si="116"/>
        <v>#REF!</v>
      </c>
      <c r="BC89" s="51">
        <f t="shared" si="117"/>
        <v>0</v>
      </c>
      <c r="BD89" s="51">
        <f t="shared" si="118"/>
        <v>0</v>
      </c>
      <c r="BE89" s="51" t="e">
        <f>'B.I Sales - P1'!#REF!*30%</f>
        <v>#REF!</v>
      </c>
      <c r="BF89" t="e">
        <f t="shared" si="120"/>
        <v>#REF!</v>
      </c>
      <c r="BG89" s="51">
        <f t="shared" si="121"/>
        <v>0</v>
      </c>
      <c r="BH89" s="51">
        <f t="shared" si="122"/>
        <v>0</v>
      </c>
      <c r="BI89" s="51" t="e">
        <f>'B.I Sales - P1'!#REF!*30%</f>
        <v>#REF!</v>
      </c>
      <c r="BJ89" t="e">
        <f t="shared" si="123"/>
        <v>#REF!</v>
      </c>
      <c r="BK89" s="51">
        <f t="shared" si="124"/>
        <v>0</v>
      </c>
      <c r="BL89" s="51">
        <f t="shared" si="125"/>
        <v>0</v>
      </c>
      <c r="BM89" s="51" t="e">
        <f>'B.I Sales - P1'!#REF!*30%</f>
        <v>#REF!</v>
      </c>
      <c r="BN89" t="e">
        <f t="shared" si="127"/>
        <v>#REF!</v>
      </c>
    </row>
    <row r="90" ht="18.75" customHeight="1" spans="2:66" x14ac:dyDescent="0.25">
      <c r="B90" s="5" t="s">
        <v>57</v>
      </c>
      <c r="C90" s="29"/>
      <c r="D90" s="29" t="s">
        <v>269</v>
      </c>
      <c r="E90" s="30"/>
      <c r="F90" s="55"/>
      <c r="G90" s="55"/>
      <c r="H90" s="55">
        <f t="shared" si="83"/>
        <v>0</v>
      </c>
      <c r="I90" s="55"/>
      <c r="J90" s="55">
        <f t="shared" si="84"/>
        <v>0</v>
      </c>
      <c r="K90" s="55">
        <f t="shared" si="85"/>
        <v>0</v>
      </c>
      <c r="L90" s="55">
        <f t="shared" si="86"/>
        <v>0</v>
      </c>
      <c r="M90" s="55"/>
      <c r="N90" s="55">
        <f t="shared" si="87"/>
        <v>0</v>
      </c>
      <c r="O90" s="55">
        <f t="shared" si="88"/>
        <v>0</v>
      </c>
      <c r="P90" s="55">
        <f t="shared" si="89"/>
        <v>0</v>
      </c>
      <c r="Q90" s="55"/>
      <c r="R90" s="55">
        <f t="shared" si="90"/>
        <v>0</v>
      </c>
      <c r="S90" s="55">
        <f t="shared" si="91"/>
        <v>0</v>
      </c>
      <c r="T90" s="55">
        <f t="shared" si="92"/>
        <v>0</v>
      </c>
      <c r="U90" s="55"/>
      <c r="V90" s="55">
        <f t="shared" si="93"/>
        <v>0</v>
      </c>
      <c r="W90" s="55">
        <f t="shared" si="94"/>
        <v>0</v>
      </c>
      <c r="X90" s="55">
        <f t="shared" si="95"/>
        <v>0</v>
      </c>
      <c r="Y90" s="55"/>
      <c r="Z90" s="55">
        <f t="shared" si="96"/>
        <v>0</v>
      </c>
      <c r="AA90" s="55">
        <f t="shared" si="97"/>
        <v>0</v>
      </c>
      <c r="AB90" s="55">
        <f t="shared" si="98"/>
        <v>0</v>
      </c>
      <c r="AC90" s="55"/>
      <c r="AD90" s="55">
        <f t="shared" si="99"/>
        <v>0</v>
      </c>
      <c r="AE90" s="55">
        <f t="shared" si="100"/>
        <v>0</v>
      </c>
      <c r="AF90" s="55">
        <f t="shared" si="101"/>
        <v>0</v>
      </c>
      <c r="AG90" s="55"/>
      <c r="AH90" s="55">
        <f t="shared" si="102"/>
        <v>0</v>
      </c>
      <c r="AI90" s="55">
        <f t="shared" si="103"/>
        <v>0</v>
      </c>
      <c r="AJ90" s="55">
        <f t="shared" si="104"/>
        <v>0</v>
      </c>
      <c r="AK90" s="55"/>
      <c r="AL90" s="55">
        <f t="shared" si="105"/>
        <v>0</v>
      </c>
      <c r="AM90" s="55">
        <f t="shared" si="106"/>
        <v>0</v>
      </c>
      <c r="AN90" s="55">
        <f t="shared" si="107"/>
        <v>0</v>
      </c>
      <c r="AO90" s="54"/>
      <c r="AP90" s="54"/>
      <c r="AQ90" s="85">
        <f t="shared" si="108"/>
        <v>0</v>
      </c>
      <c r="AR90" s="85">
        <f t="shared" si="109"/>
        <v>0</v>
      </c>
      <c r="AS90" s="80">
        <f t="shared" si="128"/>
        <v>0</v>
      </c>
      <c r="AT90" t="b">
        <f t="shared" si="110"/>
        <v>1</v>
      </c>
      <c r="AU90" s="51">
        <f t="shared" si="129"/>
        <v>0</v>
      </c>
      <c r="AV90" s="51">
        <f t="shared" si="130"/>
        <v>0</v>
      </c>
      <c r="AW90" s="51" t="e">
        <f>'B.I Sales - P1'!#REF!*30%</f>
        <v>#REF!</v>
      </c>
      <c r="AX90" t="e">
        <f t="shared" si="112"/>
        <v>#REF!</v>
      </c>
      <c r="AY90" s="51">
        <f t="shared" si="113"/>
        <v>0</v>
      </c>
      <c r="AZ90" s="51">
        <f t="shared" si="114"/>
        <v>0</v>
      </c>
      <c r="BA90" s="51" t="e">
        <f>'B.I Sales - P1'!#REF!*30%</f>
        <v>#REF!</v>
      </c>
      <c r="BB90" t="e">
        <f t="shared" si="116"/>
        <v>#REF!</v>
      </c>
      <c r="BC90" s="51">
        <f t="shared" si="117"/>
        <v>0</v>
      </c>
      <c r="BD90" s="51">
        <f t="shared" si="118"/>
        <v>0</v>
      </c>
      <c r="BE90" s="51" t="e">
        <f>'B.I Sales - P1'!#REF!*30%</f>
        <v>#REF!</v>
      </c>
      <c r="BF90" t="e">
        <f t="shared" si="120"/>
        <v>#REF!</v>
      </c>
      <c r="BG90" s="51">
        <f t="shared" si="121"/>
        <v>0</v>
      </c>
      <c r="BH90" s="51">
        <f t="shared" si="122"/>
        <v>0</v>
      </c>
      <c r="BI90" s="51" t="e">
        <f>'B.I Sales - P1'!#REF!*30%</f>
        <v>#REF!</v>
      </c>
      <c r="BJ90" t="e">
        <f t="shared" si="123"/>
        <v>#REF!</v>
      </c>
      <c r="BK90" s="51">
        <f t="shared" si="124"/>
        <v>0</v>
      </c>
      <c r="BL90" s="51">
        <f t="shared" si="125"/>
        <v>0</v>
      </c>
      <c r="BM90" s="51" t="e">
        <f>'B.I Sales - P1'!#REF!*30%</f>
        <v>#REF!</v>
      </c>
      <c r="BN90" t="e">
        <f t="shared" si="127"/>
        <v>#REF!</v>
      </c>
    </row>
    <row r="91" ht="18.75" customHeight="1" spans="2:66" x14ac:dyDescent="0.25">
      <c r="B91" s="5" t="s">
        <v>115</v>
      </c>
      <c r="C91" s="29"/>
      <c r="D91" s="29" t="s">
        <v>270</v>
      </c>
      <c r="E91" s="30"/>
      <c r="F91" s="55"/>
      <c r="G91" s="55"/>
      <c r="H91" s="55">
        <f t="shared" si="83"/>
        <v>0</v>
      </c>
      <c r="I91" s="55"/>
      <c r="J91" s="55">
        <f t="shared" si="84"/>
        <v>0</v>
      </c>
      <c r="K91" s="55">
        <f t="shared" si="85"/>
        <v>0</v>
      </c>
      <c r="L91" s="55">
        <f t="shared" si="86"/>
        <v>0</v>
      </c>
      <c r="M91" s="55"/>
      <c r="N91" s="55">
        <f t="shared" si="87"/>
        <v>0</v>
      </c>
      <c r="O91" s="55">
        <f t="shared" si="88"/>
        <v>0</v>
      </c>
      <c r="P91" s="55">
        <f t="shared" si="89"/>
        <v>0</v>
      </c>
      <c r="Q91" s="55"/>
      <c r="R91" s="55">
        <f t="shared" si="90"/>
        <v>0</v>
      </c>
      <c r="S91" s="55">
        <f t="shared" si="91"/>
        <v>0</v>
      </c>
      <c r="T91" s="55">
        <f t="shared" si="92"/>
        <v>0</v>
      </c>
      <c r="U91" s="55"/>
      <c r="V91" s="55">
        <f t="shared" si="93"/>
        <v>0</v>
      </c>
      <c r="W91" s="55">
        <f t="shared" si="94"/>
        <v>0</v>
      </c>
      <c r="X91" s="55">
        <f t="shared" si="95"/>
        <v>0</v>
      </c>
      <c r="Y91" s="55"/>
      <c r="Z91" s="55">
        <f t="shared" si="96"/>
        <v>0</v>
      </c>
      <c r="AA91" s="55">
        <f t="shared" si="97"/>
        <v>0</v>
      </c>
      <c r="AB91" s="55">
        <f t="shared" si="98"/>
        <v>0</v>
      </c>
      <c r="AC91" s="55"/>
      <c r="AD91" s="55">
        <f t="shared" si="99"/>
        <v>0</v>
      </c>
      <c r="AE91" s="55">
        <f t="shared" si="100"/>
        <v>0</v>
      </c>
      <c r="AF91" s="55">
        <f t="shared" si="101"/>
        <v>0</v>
      </c>
      <c r="AG91" s="55"/>
      <c r="AH91" s="55">
        <f t="shared" si="102"/>
        <v>0</v>
      </c>
      <c r="AI91" s="55">
        <f t="shared" si="103"/>
        <v>0</v>
      </c>
      <c r="AJ91" s="55">
        <f t="shared" si="104"/>
        <v>0</v>
      </c>
      <c r="AK91" s="55"/>
      <c r="AL91" s="55">
        <f t="shared" si="105"/>
        <v>0</v>
      </c>
      <c r="AM91" s="55">
        <f t="shared" si="106"/>
        <v>0</v>
      </c>
      <c r="AN91" s="55">
        <f t="shared" si="107"/>
        <v>0</v>
      </c>
      <c r="AO91" s="54"/>
      <c r="AP91" s="54"/>
      <c r="AQ91" s="85">
        <f t="shared" si="108"/>
        <v>0</v>
      </c>
      <c r="AR91" s="85">
        <f t="shared" si="109"/>
        <v>0</v>
      </c>
      <c r="AS91" s="80">
        <f t="shared" si="128"/>
        <v>0</v>
      </c>
      <c r="AT91" t="b">
        <f t="shared" si="110"/>
        <v>1</v>
      </c>
      <c r="AU91" s="51">
        <f t="shared" si="129"/>
        <v>0</v>
      </c>
      <c r="AV91" s="51">
        <f t="shared" si="130"/>
        <v>0</v>
      </c>
      <c r="AW91" s="51" t="e">
        <f>'B.I Sales - P1'!#REF!*30%</f>
        <v>#REF!</v>
      </c>
      <c r="AX91" t="e">
        <f t="shared" si="112"/>
        <v>#REF!</v>
      </c>
      <c r="AY91" s="51">
        <f t="shared" si="113"/>
        <v>0</v>
      </c>
      <c r="AZ91" s="51">
        <f t="shared" si="114"/>
        <v>0</v>
      </c>
      <c r="BA91" s="51" t="e">
        <f>'B.I Sales - P1'!#REF!*30%</f>
        <v>#REF!</v>
      </c>
      <c r="BB91" t="e">
        <f t="shared" si="116"/>
        <v>#REF!</v>
      </c>
      <c r="BC91" s="51">
        <f t="shared" si="117"/>
        <v>0</v>
      </c>
      <c r="BD91" s="51">
        <f t="shared" si="118"/>
        <v>0</v>
      </c>
      <c r="BE91" s="51" t="e">
        <f>'B.I Sales - P1'!#REF!*30%</f>
        <v>#REF!</v>
      </c>
      <c r="BF91" t="e">
        <f t="shared" si="120"/>
        <v>#REF!</v>
      </c>
      <c r="BG91" s="51">
        <f t="shared" si="121"/>
        <v>0</v>
      </c>
      <c r="BH91" s="51">
        <f t="shared" si="122"/>
        <v>0</v>
      </c>
      <c r="BI91" s="51" t="e">
        <f>'B.I Sales - P1'!#REF!*30%</f>
        <v>#REF!</v>
      </c>
      <c r="BJ91" t="e">
        <f t="shared" si="123"/>
        <v>#REF!</v>
      </c>
      <c r="BK91" s="51">
        <f t="shared" si="124"/>
        <v>0</v>
      </c>
      <c r="BL91" s="51">
        <f t="shared" si="125"/>
        <v>0</v>
      </c>
      <c r="BM91" s="51" t="e">
        <f>'B.I Sales - P1'!#REF!*30%</f>
        <v>#REF!</v>
      </c>
      <c r="BN91" t="e">
        <f t="shared" si="127"/>
        <v>#REF!</v>
      </c>
    </row>
    <row r="92" ht="18.75" customHeight="1" spans="2:66" x14ac:dyDescent="0.25">
      <c r="B92" s="5"/>
      <c r="C92" s="29"/>
      <c r="D92" s="29"/>
      <c r="E92" s="30"/>
      <c r="F92" s="55"/>
      <c r="G92" s="55"/>
      <c r="H92" s="55">
        <f t="shared" si="83"/>
        <v>0</v>
      </c>
      <c r="I92" s="55"/>
      <c r="J92" s="55">
        <f t="shared" si="84"/>
        <v>0</v>
      </c>
      <c r="K92" s="55">
        <f t="shared" si="85"/>
        <v>0</v>
      </c>
      <c r="L92" s="55">
        <f t="shared" si="86"/>
        <v>0</v>
      </c>
      <c r="M92" s="55"/>
      <c r="N92" s="55">
        <f t="shared" si="87"/>
        <v>0</v>
      </c>
      <c r="O92" s="55">
        <f t="shared" si="88"/>
        <v>0</v>
      </c>
      <c r="P92" s="55">
        <f t="shared" si="89"/>
        <v>0</v>
      </c>
      <c r="Q92" s="55"/>
      <c r="R92" s="55">
        <f t="shared" si="90"/>
        <v>0</v>
      </c>
      <c r="S92" s="55">
        <f t="shared" si="91"/>
        <v>0</v>
      </c>
      <c r="T92" s="55">
        <f t="shared" si="92"/>
        <v>0</v>
      </c>
      <c r="U92" s="55"/>
      <c r="V92" s="55">
        <f t="shared" si="93"/>
        <v>0</v>
      </c>
      <c r="W92" s="55">
        <f t="shared" si="94"/>
        <v>0</v>
      </c>
      <c r="X92" s="55">
        <f t="shared" si="95"/>
        <v>0</v>
      </c>
      <c r="Y92" s="55"/>
      <c r="Z92" s="55">
        <f t="shared" si="96"/>
        <v>0</v>
      </c>
      <c r="AA92" s="55">
        <f t="shared" si="97"/>
        <v>0</v>
      </c>
      <c r="AB92" s="55">
        <f t="shared" si="98"/>
        <v>0</v>
      </c>
      <c r="AC92" s="55"/>
      <c r="AD92" s="55">
        <f t="shared" si="99"/>
        <v>0</v>
      </c>
      <c r="AE92" s="55">
        <f t="shared" si="100"/>
        <v>0</v>
      </c>
      <c r="AF92" s="55">
        <f t="shared" si="101"/>
        <v>0</v>
      </c>
      <c r="AG92" s="55"/>
      <c r="AH92" s="55">
        <f t="shared" si="102"/>
        <v>0</v>
      </c>
      <c r="AI92" s="55">
        <f t="shared" si="103"/>
        <v>0</v>
      </c>
      <c r="AJ92" s="55">
        <f t="shared" si="104"/>
        <v>0</v>
      </c>
      <c r="AK92" s="55"/>
      <c r="AL92" s="55">
        <f t="shared" si="105"/>
        <v>0</v>
      </c>
      <c r="AM92" s="55">
        <f t="shared" si="106"/>
        <v>0</v>
      </c>
      <c r="AN92" s="55">
        <f t="shared" si="107"/>
        <v>0</v>
      </c>
      <c r="AO92" s="54"/>
      <c r="AP92" s="54"/>
      <c r="AQ92" s="85">
        <f t="shared" si="108"/>
        <v>0</v>
      </c>
      <c r="AR92" s="85">
        <f t="shared" si="109"/>
        <v>0</v>
      </c>
      <c r="AS92" s="80">
        <f t="shared" si="128"/>
        <v>0</v>
      </c>
      <c r="AT92" t="b">
        <f t="shared" si="110"/>
        <v>1</v>
      </c>
      <c r="AU92" s="51">
        <f t="shared" si="129"/>
        <v>0</v>
      </c>
      <c r="AV92" s="51">
        <f t="shared" si="130"/>
        <v>0</v>
      </c>
      <c r="AW92" s="51">
        <f t="shared" si="111"/>
        <v>0</v>
      </c>
      <c r="AX92" t="b">
        <f t="shared" si="112"/>
        <v>1</v>
      </c>
      <c r="AY92" s="51">
        <f t="shared" si="113"/>
        <v>0</v>
      </c>
      <c r="AZ92" s="51">
        <f t="shared" si="114"/>
        <v>0</v>
      </c>
      <c r="BA92" s="51">
        <f t="shared" si="115"/>
        <v>0</v>
      </c>
      <c r="BB92" t="b">
        <f t="shared" si="116"/>
        <v>1</v>
      </c>
      <c r="BC92" s="51">
        <f t="shared" si="117"/>
        <v>0</v>
      </c>
      <c r="BD92" s="51">
        <f t="shared" si="118"/>
        <v>0</v>
      </c>
      <c r="BE92" s="51">
        <f t="shared" si="119"/>
        <v>0</v>
      </c>
      <c r="BF92" t="b">
        <f t="shared" si="120"/>
        <v>1</v>
      </c>
      <c r="BG92" s="51">
        <f t="shared" si="121"/>
        <v>0</v>
      </c>
      <c r="BH92" s="51">
        <f t="shared" si="122"/>
        <v>0</v>
      </c>
      <c r="BI92" s="51">
        <f t="shared" ref="BI92" si="131">BG92*BH92</f>
        <v>0</v>
      </c>
      <c r="BJ92" t="b">
        <f t="shared" si="123"/>
        <v>1</v>
      </c>
      <c r="BK92" s="51">
        <f t="shared" si="124"/>
        <v>0</v>
      </c>
      <c r="BL92" s="51">
        <f t="shared" si="125"/>
        <v>0</v>
      </c>
      <c r="BM92" s="51">
        <f t="shared" si="126"/>
        <v>0</v>
      </c>
      <c r="BN92" t="b">
        <f t="shared" si="127"/>
        <v>1</v>
      </c>
    </row>
    <row r="93" ht="18.75" customHeight="1" spans="2:66" x14ac:dyDescent="0.25">
      <c r="B93" s="5"/>
      <c r="C93" s="29"/>
      <c r="D93" s="29"/>
      <c r="E93" s="30"/>
      <c r="F93" s="55"/>
      <c r="G93" s="55"/>
      <c r="H93" s="55">
        <f t="shared" si="83"/>
        <v>0</v>
      </c>
      <c r="I93" s="55"/>
      <c r="J93" s="55">
        <f t="shared" si="84"/>
        <v>0</v>
      </c>
      <c r="K93" s="55">
        <f t="shared" si="85"/>
        <v>0</v>
      </c>
      <c r="L93" s="55">
        <f t="shared" si="86"/>
        <v>0</v>
      </c>
      <c r="M93" s="55"/>
      <c r="N93" s="55">
        <f t="shared" si="87"/>
        <v>0</v>
      </c>
      <c r="O93" s="55">
        <f t="shared" si="88"/>
        <v>0</v>
      </c>
      <c r="P93" s="55">
        <f t="shared" si="89"/>
        <v>0</v>
      </c>
      <c r="Q93" s="55"/>
      <c r="R93" s="55">
        <f t="shared" si="90"/>
        <v>0</v>
      </c>
      <c r="S93" s="55">
        <f t="shared" si="91"/>
        <v>0</v>
      </c>
      <c r="T93" s="55">
        <f t="shared" si="92"/>
        <v>0</v>
      </c>
      <c r="U93" s="55"/>
      <c r="V93" s="55">
        <f t="shared" si="93"/>
        <v>0</v>
      </c>
      <c r="W93" s="55">
        <f t="shared" si="94"/>
        <v>0</v>
      </c>
      <c r="X93" s="55">
        <f t="shared" si="95"/>
        <v>0</v>
      </c>
      <c r="Y93" s="55"/>
      <c r="Z93" s="55">
        <f t="shared" si="96"/>
        <v>0</v>
      </c>
      <c r="AA93" s="55">
        <f t="shared" si="97"/>
        <v>0</v>
      </c>
      <c r="AB93" s="55">
        <f t="shared" si="98"/>
        <v>0</v>
      </c>
      <c r="AC93" s="55"/>
      <c r="AD93" s="55">
        <f t="shared" si="99"/>
        <v>0</v>
      </c>
      <c r="AE93" s="55">
        <f t="shared" si="100"/>
        <v>0</v>
      </c>
      <c r="AF93" s="55">
        <f t="shared" si="101"/>
        <v>0</v>
      </c>
      <c r="AG93" s="55"/>
      <c r="AH93" s="55">
        <f t="shared" si="102"/>
        <v>0</v>
      </c>
      <c r="AI93" s="55">
        <f t="shared" si="103"/>
        <v>0</v>
      </c>
      <c r="AJ93" s="55">
        <f t="shared" si="104"/>
        <v>0</v>
      </c>
      <c r="AK93" s="55"/>
      <c r="AL93" s="55">
        <f t="shared" si="105"/>
        <v>0</v>
      </c>
      <c r="AM93" s="55">
        <f t="shared" si="106"/>
        <v>0</v>
      </c>
      <c r="AN93" s="55">
        <f t="shared" si="107"/>
        <v>0</v>
      </c>
      <c r="AO93" s="54"/>
      <c r="AP93" s="54"/>
      <c r="AQ93" s="85">
        <f t="shared" si="108"/>
        <v>0</v>
      </c>
      <c r="AR93" s="85">
        <f t="shared" si="109"/>
        <v>0</v>
      </c>
      <c r="AS93" s="80">
        <f t="shared" si="128"/>
        <v>0</v>
      </c>
      <c r="AT93" t="b">
        <f t="shared" si="110"/>
        <v>1</v>
      </c>
      <c r="AU93" s="51">
        <f t="shared" si="129"/>
        <v>0</v>
      </c>
      <c r="AV93" s="51">
        <f t="shared" si="130"/>
        <v>0</v>
      </c>
      <c r="AW93" s="51">
        <f t="shared" si="111"/>
        <v>0</v>
      </c>
      <c r="AX93" t="b">
        <f t="shared" si="112"/>
        <v>1</v>
      </c>
      <c r="AY93" s="51">
        <f t="shared" si="113"/>
        <v>0</v>
      </c>
      <c r="AZ93" s="51">
        <f t="shared" si="114"/>
        <v>0</v>
      </c>
      <c r="BA93" s="51">
        <f t="shared" si="115"/>
        <v>0</v>
      </c>
      <c r="BB93" t="b">
        <f t="shared" si="116"/>
        <v>1</v>
      </c>
      <c r="BC93" s="51">
        <f t="shared" si="117"/>
        <v>0</v>
      </c>
      <c r="BD93" s="51">
        <f t="shared" si="118"/>
        <v>0</v>
      </c>
      <c r="BE93" s="51">
        <f t="shared" si="119"/>
        <v>0</v>
      </c>
      <c r="BF93" t="b">
        <f t="shared" si="120"/>
        <v>1</v>
      </c>
      <c r="BG93" s="51">
        <f t="shared" si="121"/>
        <v>0</v>
      </c>
      <c r="BH93" s="51">
        <f t="shared" si="122"/>
        <v>0</v>
      </c>
      <c r="BI93" s="51">
        <f>BG93*BH93</f>
        <v>0</v>
      </c>
      <c r="BJ93" t="b">
        <f t="shared" si="123"/>
        <v>1</v>
      </c>
      <c r="BK93" s="51">
        <f t="shared" si="124"/>
        <v>0</v>
      </c>
      <c r="BL93" s="51">
        <f t="shared" si="125"/>
        <v>0</v>
      </c>
      <c r="BM93" s="51">
        <f t="shared" si="126"/>
        <v>0</v>
      </c>
      <c r="BN93" t="b">
        <f t="shared" si="127"/>
        <v>1</v>
      </c>
    </row>
    <row r="94" ht="18.75" customHeight="1" spans="2:66" x14ac:dyDescent="0.25">
      <c r="B94" s="5"/>
      <c r="C94" s="29"/>
      <c r="D94" s="29"/>
      <c r="E94" s="30"/>
      <c r="F94" s="55"/>
      <c r="G94" s="55"/>
      <c r="H94" s="55">
        <f t="shared" si="83"/>
        <v>0</v>
      </c>
      <c r="I94" s="55"/>
      <c r="J94" s="55">
        <f t="shared" si="84"/>
        <v>0</v>
      </c>
      <c r="K94" s="55">
        <f t="shared" si="85"/>
        <v>0</v>
      </c>
      <c r="L94" s="55">
        <f t="shared" si="86"/>
        <v>0</v>
      </c>
      <c r="M94" s="55"/>
      <c r="N94" s="55">
        <f t="shared" si="87"/>
        <v>0</v>
      </c>
      <c r="O94" s="55">
        <f t="shared" si="88"/>
        <v>0</v>
      </c>
      <c r="P94" s="55">
        <f t="shared" si="89"/>
        <v>0</v>
      </c>
      <c r="Q94" s="55"/>
      <c r="R94" s="55">
        <f t="shared" si="90"/>
        <v>0</v>
      </c>
      <c r="S94" s="55">
        <f t="shared" si="91"/>
        <v>0</v>
      </c>
      <c r="T94" s="55">
        <f t="shared" si="92"/>
        <v>0</v>
      </c>
      <c r="U94" s="55"/>
      <c r="V94" s="55">
        <f t="shared" si="93"/>
        <v>0</v>
      </c>
      <c r="W94" s="55">
        <f t="shared" si="94"/>
        <v>0</v>
      </c>
      <c r="X94" s="55">
        <f t="shared" si="95"/>
        <v>0</v>
      </c>
      <c r="Y94" s="55"/>
      <c r="Z94" s="55">
        <f t="shared" si="96"/>
        <v>0</v>
      </c>
      <c r="AA94" s="55">
        <f t="shared" si="97"/>
        <v>0</v>
      </c>
      <c r="AB94" s="55">
        <f t="shared" si="98"/>
        <v>0</v>
      </c>
      <c r="AC94" s="55"/>
      <c r="AD94" s="55">
        <f t="shared" si="99"/>
        <v>0</v>
      </c>
      <c r="AE94" s="55">
        <f t="shared" si="100"/>
        <v>0</v>
      </c>
      <c r="AF94" s="55">
        <f t="shared" si="101"/>
        <v>0</v>
      </c>
      <c r="AG94" s="55"/>
      <c r="AH94" s="55">
        <f t="shared" si="102"/>
        <v>0</v>
      </c>
      <c r="AI94" s="55">
        <f t="shared" si="103"/>
        <v>0</v>
      </c>
      <c r="AJ94" s="55">
        <f t="shared" si="104"/>
        <v>0</v>
      </c>
      <c r="AK94" s="55"/>
      <c r="AL94" s="55">
        <f t="shared" si="105"/>
        <v>0</v>
      </c>
      <c r="AM94" s="55">
        <f t="shared" si="106"/>
        <v>0</v>
      </c>
      <c r="AN94" s="55">
        <f t="shared" si="107"/>
        <v>0</v>
      </c>
      <c r="AO94" s="54"/>
      <c r="AP94" s="54"/>
      <c r="AQ94" s="85">
        <f t="shared" si="108"/>
        <v>0</v>
      </c>
      <c r="AR94" s="85">
        <f t="shared" si="109"/>
        <v>0</v>
      </c>
      <c r="AS94" s="80">
        <f t="shared" si="128"/>
        <v>0</v>
      </c>
      <c r="AT94" t="b">
        <f t="shared" si="110"/>
        <v>1</v>
      </c>
      <c r="AU94" s="51">
        <f t="shared" si="129"/>
        <v>0</v>
      </c>
      <c r="AV94" s="51">
        <f t="shared" si="130"/>
        <v>0</v>
      </c>
      <c r="AW94" s="51">
        <f t="shared" si="111"/>
        <v>0</v>
      </c>
      <c r="AX94" t="b">
        <f t="shared" si="112"/>
        <v>1</v>
      </c>
      <c r="AY94" s="51">
        <f t="shared" si="113"/>
        <v>0</v>
      </c>
      <c r="AZ94" s="51">
        <f t="shared" si="114"/>
        <v>0</v>
      </c>
      <c r="BA94" s="51">
        <f t="shared" si="115"/>
        <v>0</v>
      </c>
      <c r="BB94" t="b">
        <f t="shared" si="116"/>
        <v>1</v>
      </c>
      <c r="BC94" s="51">
        <f t="shared" si="117"/>
        <v>0</v>
      </c>
      <c r="BD94" s="51">
        <f t="shared" si="118"/>
        <v>0</v>
      </c>
      <c r="BE94" s="51">
        <f t="shared" si="119"/>
        <v>0</v>
      </c>
      <c r="BF94" t="b">
        <f t="shared" si="120"/>
        <v>1</v>
      </c>
      <c r="BG94" s="51">
        <f t="shared" si="121"/>
        <v>0</v>
      </c>
      <c r="BH94" s="51">
        <f t="shared" si="122"/>
        <v>0</v>
      </c>
      <c r="BI94" s="51">
        <f t="shared" ref="BI94:BI95" si="132">BG94*BH94</f>
        <v>0</v>
      </c>
      <c r="BJ94" t="b">
        <f t="shared" si="123"/>
        <v>1</v>
      </c>
      <c r="BK94" s="51">
        <f t="shared" si="124"/>
        <v>0</v>
      </c>
      <c r="BL94" s="51">
        <f t="shared" si="125"/>
        <v>0</v>
      </c>
      <c r="BM94" s="51">
        <f t="shared" si="126"/>
        <v>0</v>
      </c>
      <c r="BN94" t="b">
        <f t="shared" si="127"/>
        <v>1</v>
      </c>
    </row>
    <row r="95" ht="18.75" customHeight="1" spans="2:66" x14ac:dyDescent="0.25">
      <c r="B95" s="5"/>
      <c r="C95" s="29"/>
      <c r="D95" s="29"/>
      <c r="E95" s="30"/>
      <c r="F95" s="55"/>
      <c r="G95" s="55"/>
      <c r="H95" s="55">
        <f t="shared" si="83"/>
        <v>0</v>
      </c>
      <c r="I95" s="55"/>
      <c r="J95" s="55">
        <f t="shared" si="84"/>
        <v>0</v>
      </c>
      <c r="K95" s="55">
        <f t="shared" si="85"/>
        <v>0</v>
      </c>
      <c r="L95" s="55">
        <f t="shared" si="86"/>
        <v>0</v>
      </c>
      <c r="M95" s="55"/>
      <c r="N95" s="55">
        <f t="shared" si="87"/>
        <v>0</v>
      </c>
      <c r="O95" s="55">
        <f t="shared" si="88"/>
        <v>0</v>
      </c>
      <c r="P95" s="55">
        <f t="shared" si="89"/>
        <v>0</v>
      </c>
      <c r="Q95" s="55"/>
      <c r="R95" s="55">
        <f t="shared" si="90"/>
        <v>0</v>
      </c>
      <c r="S95" s="55">
        <f t="shared" si="91"/>
        <v>0</v>
      </c>
      <c r="T95" s="55">
        <f t="shared" si="92"/>
        <v>0</v>
      </c>
      <c r="U95" s="55"/>
      <c r="V95" s="55">
        <f t="shared" si="93"/>
        <v>0</v>
      </c>
      <c r="W95" s="55">
        <f t="shared" si="94"/>
        <v>0</v>
      </c>
      <c r="X95" s="55">
        <f t="shared" si="95"/>
        <v>0</v>
      </c>
      <c r="Y95" s="55"/>
      <c r="Z95" s="55">
        <f t="shared" si="96"/>
        <v>0</v>
      </c>
      <c r="AA95" s="55">
        <f t="shared" si="97"/>
        <v>0</v>
      </c>
      <c r="AB95" s="55">
        <f t="shared" si="98"/>
        <v>0</v>
      </c>
      <c r="AC95" s="55"/>
      <c r="AD95" s="55">
        <f t="shared" si="99"/>
        <v>0</v>
      </c>
      <c r="AE95" s="55">
        <f t="shared" si="100"/>
        <v>0</v>
      </c>
      <c r="AF95" s="55">
        <f t="shared" si="101"/>
        <v>0</v>
      </c>
      <c r="AG95" s="55"/>
      <c r="AH95" s="55">
        <f t="shared" si="102"/>
        <v>0</v>
      </c>
      <c r="AI95" s="55">
        <f t="shared" si="103"/>
        <v>0</v>
      </c>
      <c r="AJ95" s="55">
        <f t="shared" si="104"/>
        <v>0</v>
      </c>
      <c r="AK95" s="55"/>
      <c r="AL95" s="55">
        <f t="shared" si="105"/>
        <v>0</v>
      </c>
      <c r="AM95" s="55">
        <f t="shared" si="106"/>
        <v>0</v>
      </c>
      <c r="AN95" s="55">
        <f t="shared" si="107"/>
        <v>0</v>
      </c>
      <c r="AO95" s="54"/>
      <c r="AP95" s="54"/>
      <c r="AQ95" s="85">
        <f t="shared" si="108"/>
        <v>0</v>
      </c>
      <c r="AR95" s="85">
        <f t="shared" si="109"/>
        <v>0</v>
      </c>
      <c r="AS95" s="80">
        <f t="shared" si="128"/>
        <v>0</v>
      </c>
      <c r="AT95" t="b">
        <f t="shared" si="110"/>
        <v>1</v>
      </c>
      <c r="AU95" s="51">
        <f t="shared" si="129"/>
        <v>0</v>
      </c>
      <c r="AV95" s="51">
        <f t="shared" si="130"/>
        <v>0</v>
      </c>
      <c r="AW95" s="51">
        <f t="shared" si="111"/>
        <v>0</v>
      </c>
      <c r="AX95" t="b">
        <f t="shared" si="112"/>
        <v>1</v>
      </c>
      <c r="AY95" s="51">
        <f t="shared" si="113"/>
        <v>0</v>
      </c>
      <c r="AZ95" s="51">
        <f t="shared" si="114"/>
        <v>0</v>
      </c>
      <c r="BA95" s="51">
        <f t="shared" si="115"/>
        <v>0</v>
      </c>
      <c r="BB95" t="b">
        <f t="shared" si="116"/>
        <v>1</v>
      </c>
      <c r="BC95" s="51">
        <f t="shared" si="117"/>
        <v>0</v>
      </c>
      <c r="BD95" s="51">
        <f t="shared" si="118"/>
        <v>0</v>
      </c>
      <c r="BE95" s="51">
        <f t="shared" si="119"/>
        <v>0</v>
      </c>
      <c r="BF95" t="b">
        <f t="shared" si="120"/>
        <v>1</v>
      </c>
      <c r="BG95" s="51">
        <f t="shared" si="121"/>
        <v>0</v>
      </c>
      <c r="BH95" s="51">
        <f t="shared" si="122"/>
        <v>0</v>
      </c>
      <c r="BI95" s="51">
        <f t="shared" si="132"/>
        <v>0</v>
      </c>
      <c r="BJ95" t="b">
        <f t="shared" si="123"/>
        <v>1</v>
      </c>
      <c r="BK95" s="51">
        <f t="shared" si="124"/>
        <v>0</v>
      </c>
      <c r="BL95" s="51">
        <f t="shared" si="125"/>
        <v>0</v>
      </c>
      <c r="BM95" s="51">
        <f t="shared" si="126"/>
        <v>0</v>
      </c>
      <c r="BN95" t="b">
        <f t="shared" si="127"/>
        <v>1</v>
      </c>
    </row>
    <row r="96" ht="18.75" customHeight="1" spans="2:66" x14ac:dyDescent="0.25">
      <c r="B96" s="5"/>
      <c r="C96" s="29"/>
      <c r="D96" s="29"/>
      <c r="E96" s="30"/>
      <c r="F96" s="55"/>
      <c r="G96" s="55"/>
      <c r="H96" s="55">
        <f t="shared" si="83"/>
        <v>0</v>
      </c>
      <c r="I96" s="55"/>
      <c r="J96" s="55">
        <f t="shared" si="84"/>
        <v>0</v>
      </c>
      <c r="K96" s="55">
        <f t="shared" si="85"/>
        <v>0</v>
      </c>
      <c r="L96" s="55">
        <f t="shared" si="86"/>
        <v>0</v>
      </c>
      <c r="M96" s="55"/>
      <c r="N96" s="55">
        <f t="shared" si="87"/>
        <v>0</v>
      </c>
      <c r="O96" s="55">
        <f t="shared" si="88"/>
        <v>0</v>
      </c>
      <c r="P96" s="55">
        <f t="shared" si="89"/>
        <v>0</v>
      </c>
      <c r="Q96" s="55"/>
      <c r="R96" s="55">
        <f t="shared" si="90"/>
        <v>0</v>
      </c>
      <c r="S96" s="55">
        <f t="shared" si="91"/>
        <v>0</v>
      </c>
      <c r="T96" s="55">
        <f t="shared" si="92"/>
        <v>0</v>
      </c>
      <c r="U96" s="55"/>
      <c r="V96" s="55">
        <f t="shared" si="93"/>
        <v>0</v>
      </c>
      <c r="W96" s="55">
        <f t="shared" si="94"/>
        <v>0</v>
      </c>
      <c r="X96" s="55">
        <f t="shared" si="95"/>
        <v>0</v>
      </c>
      <c r="Y96" s="55"/>
      <c r="Z96" s="55">
        <f t="shared" si="96"/>
        <v>0</v>
      </c>
      <c r="AA96" s="55">
        <f t="shared" si="97"/>
        <v>0</v>
      </c>
      <c r="AB96" s="55">
        <f t="shared" si="98"/>
        <v>0</v>
      </c>
      <c r="AC96" s="55"/>
      <c r="AD96" s="55">
        <f t="shared" si="99"/>
        <v>0</v>
      </c>
      <c r="AE96" s="55">
        <f t="shared" si="100"/>
        <v>0</v>
      </c>
      <c r="AF96" s="55">
        <f t="shared" si="101"/>
        <v>0</v>
      </c>
      <c r="AG96" s="55"/>
      <c r="AH96" s="55">
        <f t="shared" si="102"/>
        <v>0</v>
      </c>
      <c r="AI96" s="55">
        <f t="shared" si="103"/>
        <v>0</v>
      </c>
      <c r="AJ96" s="55">
        <f t="shared" si="104"/>
        <v>0</v>
      </c>
      <c r="AK96" s="55"/>
      <c r="AL96" s="55">
        <f t="shared" si="105"/>
        <v>0</v>
      </c>
      <c r="AM96" s="55">
        <f t="shared" si="106"/>
        <v>0</v>
      </c>
      <c r="AN96" s="55">
        <f t="shared" si="107"/>
        <v>0</v>
      </c>
      <c r="AO96" s="54"/>
      <c r="AP96" s="54"/>
      <c r="AQ96" s="85">
        <f t="shared" si="108"/>
        <v>0</v>
      </c>
      <c r="AR96" s="85">
        <f t="shared" si="109"/>
        <v>0</v>
      </c>
      <c r="AS96" s="80">
        <f t="shared" si="128"/>
        <v>0</v>
      </c>
      <c r="AT96" t="b">
        <f t="shared" si="110"/>
        <v>1</v>
      </c>
      <c r="AU96" s="51">
        <f t="shared" si="129"/>
        <v>0</v>
      </c>
      <c r="AV96" s="51">
        <f t="shared" si="130"/>
        <v>0</v>
      </c>
      <c r="AW96" s="51">
        <f t="shared" si="111"/>
        <v>0</v>
      </c>
      <c r="AX96" t="b">
        <f t="shared" si="112"/>
        <v>1</v>
      </c>
      <c r="AY96" s="51">
        <f t="shared" si="113"/>
        <v>0</v>
      </c>
      <c r="AZ96" s="51">
        <f t="shared" si="114"/>
        <v>0</v>
      </c>
      <c r="BA96" s="51">
        <f t="shared" si="115"/>
        <v>0</v>
      </c>
      <c r="BB96" t="b">
        <f t="shared" si="116"/>
        <v>1</v>
      </c>
      <c r="BC96" s="51">
        <f t="shared" si="117"/>
        <v>0</v>
      </c>
      <c r="BD96" s="51">
        <f t="shared" si="118"/>
        <v>0</v>
      </c>
      <c r="BE96" s="51">
        <f t="shared" si="119"/>
        <v>0</v>
      </c>
      <c r="BF96" t="b">
        <f t="shared" si="120"/>
        <v>1</v>
      </c>
      <c r="BG96" s="51">
        <f t="shared" si="121"/>
        <v>0</v>
      </c>
      <c r="BH96" s="51">
        <f t="shared" si="122"/>
        <v>0</v>
      </c>
      <c r="BI96" s="51">
        <f>BG96*BH96</f>
        <v>0</v>
      </c>
      <c r="BJ96" t="b">
        <f t="shared" si="123"/>
        <v>1</v>
      </c>
      <c r="BK96" s="51">
        <f t="shared" si="124"/>
        <v>0</v>
      </c>
      <c r="BL96" s="51">
        <f t="shared" si="125"/>
        <v>0</v>
      </c>
      <c r="BM96" s="51">
        <f t="shared" si="126"/>
        <v>0</v>
      </c>
      <c r="BN96" t="b">
        <f t="shared" si="127"/>
        <v>1</v>
      </c>
    </row>
    <row r="97" ht="18.75" customHeight="1" spans="2:66" x14ac:dyDescent="0.25">
      <c r="B97" s="5"/>
      <c r="C97" s="29"/>
      <c r="D97" s="29"/>
      <c r="E97" s="30"/>
      <c r="F97" s="55"/>
      <c r="G97" s="55"/>
      <c r="H97" s="55">
        <f t="shared" si="83"/>
        <v>0</v>
      </c>
      <c r="I97" s="55"/>
      <c r="J97" s="55">
        <f t="shared" si="84"/>
        <v>0</v>
      </c>
      <c r="K97" s="55">
        <f t="shared" si="85"/>
        <v>0</v>
      </c>
      <c r="L97" s="55">
        <f t="shared" si="86"/>
        <v>0</v>
      </c>
      <c r="M97" s="55"/>
      <c r="N97" s="55">
        <f t="shared" si="87"/>
        <v>0</v>
      </c>
      <c r="O97" s="55">
        <f t="shared" si="88"/>
        <v>0</v>
      </c>
      <c r="P97" s="55">
        <f t="shared" si="89"/>
        <v>0</v>
      </c>
      <c r="Q97" s="55"/>
      <c r="R97" s="55">
        <f t="shared" si="90"/>
        <v>0</v>
      </c>
      <c r="S97" s="55">
        <f t="shared" si="91"/>
        <v>0</v>
      </c>
      <c r="T97" s="55">
        <f t="shared" si="92"/>
        <v>0</v>
      </c>
      <c r="U97" s="55"/>
      <c r="V97" s="55">
        <f t="shared" si="93"/>
        <v>0</v>
      </c>
      <c r="W97" s="55">
        <f t="shared" si="94"/>
        <v>0</v>
      </c>
      <c r="X97" s="55">
        <f t="shared" si="95"/>
        <v>0</v>
      </c>
      <c r="Y97" s="55"/>
      <c r="Z97" s="55">
        <f t="shared" si="96"/>
        <v>0</v>
      </c>
      <c r="AA97" s="55">
        <f t="shared" si="97"/>
        <v>0</v>
      </c>
      <c r="AB97" s="55">
        <f t="shared" si="98"/>
        <v>0</v>
      </c>
      <c r="AC97" s="55"/>
      <c r="AD97" s="55">
        <f t="shared" si="99"/>
        <v>0</v>
      </c>
      <c r="AE97" s="55">
        <f t="shared" si="100"/>
        <v>0</v>
      </c>
      <c r="AF97" s="55">
        <f t="shared" si="101"/>
        <v>0</v>
      </c>
      <c r="AG97" s="55"/>
      <c r="AH97" s="55">
        <f t="shared" si="102"/>
        <v>0</v>
      </c>
      <c r="AI97" s="55">
        <f t="shared" si="103"/>
        <v>0</v>
      </c>
      <c r="AJ97" s="55">
        <f t="shared" si="104"/>
        <v>0</v>
      </c>
      <c r="AK97" s="55"/>
      <c r="AL97" s="55">
        <f t="shared" si="105"/>
        <v>0</v>
      </c>
      <c r="AM97" s="55">
        <f t="shared" si="106"/>
        <v>0</v>
      </c>
      <c r="AN97" s="55">
        <f t="shared" si="107"/>
        <v>0</v>
      </c>
      <c r="AO97" s="54"/>
      <c r="AP97" s="54"/>
      <c r="AQ97" s="85">
        <f t="shared" si="108"/>
        <v>0</v>
      </c>
      <c r="AR97" s="85">
        <f t="shared" si="109"/>
        <v>0</v>
      </c>
      <c r="AS97" s="80">
        <f t="shared" si="128"/>
        <v>0</v>
      </c>
      <c r="AT97" t="b">
        <f t="shared" si="110"/>
        <v>1</v>
      </c>
      <c r="AU97" s="51">
        <f t="shared" si="129"/>
        <v>0</v>
      </c>
      <c r="AV97" s="51">
        <f t="shared" si="130"/>
        <v>0</v>
      </c>
      <c r="AW97" s="51">
        <f t="shared" si="111"/>
        <v>0</v>
      </c>
      <c r="AX97" t="b">
        <f t="shared" si="112"/>
        <v>1</v>
      </c>
      <c r="AY97" s="51">
        <f t="shared" si="113"/>
        <v>0</v>
      </c>
      <c r="AZ97" s="51">
        <f t="shared" si="114"/>
        <v>0</v>
      </c>
      <c r="BA97" s="51">
        <f t="shared" si="115"/>
        <v>0</v>
      </c>
      <c r="BB97" t="b">
        <f t="shared" si="116"/>
        <v>1</v>
      </c>
      <c r="BC97" s="51">
        <f t="shared" si="117"/>
        <v>0</v>
      </c>
      <c r="BD97" s="51">
        <f t="shared" si="118"/>
        <v>0</v>
      </c>
      <c r="BE97" s="51">
        <f t="shared" si="119"/>
        <v>0</v>
      </c>
      <c r="BF97" t="b">
        <f t="shared" si="120"/>
        <v>1</v>
      </c>
      <c r="BG97" s="51">
        <f t="shared" si="121"/>
        <v>0</v>
      </c>
      <c r="BH97" s="51">
        <f t="shared" si="122"/>
        <v>0</v>
      </c>
      <c r="BI97" s="51">
        <f t="shared" ref="BI97:BI99" si="133">BG97*BH97</f>
        <v>0</v>
      </c>
      <c r="BJ97" t="b">
        <f t="shared" si="123"/>
        <v>1</v>
      </c>
      <c r="BK97" s="51">
        <f t="shared" si="124"/>
        <v>0</v>
      </c>
      <c r="BL97" s="51">
        <f t="shared" si="125"/>
        <v>0</v>
      </c>
      <c r="BM97" s="51">
        <f t="shared" si="126"/>
        <v>0</v>
      </c>
      <c r="BN97" t="b">
        <f t="shared" si="127"/>
        <v>1</v>
      </c>
    </row>
    <row r="98" ht="18.75" customHeight="1" spans="2:66" x14ac:dyDescent="0.25">
      <c r="B98" s="5"/>
      <c r="C98" s="29"/>
      <c r="D98" s="29"/>
      <c r="E98" s="30"/>
      <c r="F98" s="55"/>
      <c r="G98" s="55"/>
      <c r="H98" s="55">
        <f t="shared" si="83"/>
        <v>0</v>
      </c>
      <c r="I98" s="55"/>
      <c r="J98" s="55">
        <f t="shared" si="84"/>
        <v>0</v>
      </c>
      <c r="K98" s="55">
        <f t="shared" si="85"/>
        <v>0</v>
      </c>
      <c r="L98" s="55">
        <f t="shared" si="86"/>
        <v>0</v>
      </c>
      <c r="M98" s="55"/>
      <c r="N98" s="55">
        <f t="shared" si="87"/>
        <v>0</v>
      </c>
      <c r="O98" s="55">
        <f t="shared" si="88"/>
        <v>0</v>
      </c>
      <c r="P98" s="55">
        <f t="shared" si="89"/>
        <v>0</v>
      </c>
      <c r="Q98" s="55"/>
      <c r="R98" s="55">
        <f t="shared" si="90"/>
        <v>0</v>
      </c>
      <c r="S98" s="55">
        <f t="shared" si="91"/>
        <v>0</v>
      </c>
      <c r="T98" s="55">
        <f t="shared" si="92"/>
        <v>0</v>
      </c>
      <c r="U98" s="55"/>
      <c r="V98" s="55">
        <f t="shared" si="93"/>
        <v>0</v>
      </c>
      <c r="W98" s="55">
        <f t="shared" si="94"/>
        <v>0</v>
      </c>
      <c r="X98" s="55">
        <f t="shared" si="95"/>
        <v>0</v>
      </c>
      <c r="Y98" s="55"/>
      <c r="Z98" s="55">
        <f t="shared" si="96"/>
        <v>0</v>
      </c>
      <c r="AA98" s="55">
        <f t="shared" si="97"/>
        <v>0</v>
      </c>
      <c r="AB98" s="55">
        <f t="shared" si="98"/>
        <v>0</v>
      </c>
      <c r="AC98" s="55"/>
      <c r="AD98" s="55">
        <f t="shared" si="99"/>
        <v>0</v>
      </c>
      <c r="AE98" s="55">
        <f t="shared" si="100"/>
        <v>0</v>
      </c>
      <c r="AF98" s="55">
        <f t="shared" si="101"/>
        <v>0</v>
      </c>
      <c r="AG98" s="55"/>
      <c r="AH98" s="55">
        <f t="shared" si="102"/>
        <v>0</v>
      </c>
      <c r="AI98" s="55">
        <f t="shared" si="103"/>
        <v>0</v>
      </c>
      <c r="AJ98" s="55">
        <f t="shared" si="104"/>
        <v>0</v>
      </c>
      <c r="AK98" s="55"/>
      <c r="AL98" s="55">
        <f t="shared" si="105"/>
        <v>0</v>
      </c>
      <c r="AM98" s="55">
        <f t="shared" si="106"/>
        <v>0</v>
      </c>
      <c r="AN98" s="55">
        <f t="shared" si="107"/>
        <v>0</v>
      </c>
      <c r="AO98" s="54"/>
      <c r="AP98" s="54"/>
      <c r="AQ98" s="85">
        <f t="shared" si="108"/>
        <v>0</v>
      </c>
      <c r="AR98" s="85">
        <f t="shared" si="109"/>
        <v>0</v>
      </c>
      <c r="AS98" s="80">
        <f t="shared" si="128"/>
        <v>0</v>
      </c>
      <c r="AT98" t="b">
        <f t="shared" si="110"/>
        <v>1</v>
      </c>
      <c r="AU98" s="51">
        <f t="shared" si="129"/>
        <v>0</v>
      </c>
      <c r="AV98" s="51">
        <f t="shared" si="130"/>
        <v>0</v>
      </c>
      <c r="AW98" s="51">
        <f t="shared" si="111"/>
        <v>0</v>
      </c>
      <c r="AX98" t="b">
        <f t="shared" si="112"/>
        <v>1</v>
      </c>
      <c r="AY98" s="51">
        <f t="shared" si="113"/>
        <v>0</v>
      </c>
      <c r="AZ98" s="51">
        <f t="shared" si="114"/>
        <v>0</v>
      </c>
      <c r="BA98" s="51">
        <f t="shared" si="115"/>
        <v>0</v>
      </c>
      <c r="BB98" t="b">
        <f t="shared" si="116"/>
        <v>1</v>
      </c>
      <c r="BC98" s="51">
        <f t="shared" si="117"/>
        <v>0</v>
      </c>
      <c r="BD98" s="51">
        <f t="shared" si="118"/>
        <v>0</v>
      </c>
      <c r="BE98" s="51">
        <f t="shared" si="119"/>
        <v>0</v>
      </c>
      <c r="BF98" t="b">
        <f t="shared" si="120"/>
        <v>1</v>
      </c>
      <c r="BG98" s="51">
        <f t="shared" si="121"/>
        <v>0</v>
      </c>
      <c r="BH98" s="51">
        <f t="shared" si="122"/>
        <v>0</v>
      </c>
      <c r="BI98" s="51">
        <f t="shared" si="133"/>
        <v>0</v>
      </c>
      <c r="BJ98" t="b">
        <f t="shared" si="123"/>
        <v>1</v>
      </c>
      <c r="BK98" s="51">
        <f t="shared" si="124"/>
        <v>0</v>
      </c>
      <c r="BL98" s="51">
        <f t="shared" si="125"/>
        <v>0</v>
      </c>
      <c r="BM98" s="51">
        <f t="shared" si="126"/>
        <v>0</v>
      </c>
      <c r="BN98" t="b">
        <f t="shared" si="127"/>
        <v>1</v>
      </c>
    </row>
    <row r="99" ht="18.75" customHeight="1" spans="2:66" x14ac:dyDescent="0.25">
      <c r="B99" s="5"/>
      <c r="C99" s="29"/>
      <c r="D99" s="29"/>
      <c r="E99" s="30"/>
      <c r="F99" s="55">
        <v>0</v>
      </c>
      <c r="G99" s="55">
        <v>0</v>
      </c>
      <c r="H99" s="55">
        <f t="shared" si="83"/>
        <v>0</v>
      </c>
      <c r="I99" s="55"/>
      <c r="J99" s="55">
        <f t="shared" si="84"/>
        <v>0</v>
      </c>
      <c r="K99" s="55">
        <f t="shared" si="85"/>
        <v>0</v>
      </c>
      <c r="L99" s="55">
        <f t="shared" si="86"/>
        <v>0</v>
      </c>
      <c r="M99" s="55"/>
      <c r="N99" s="55">
        <f t="shared" si="87"/>
        <v>0</v>
      </c>
      <c r="O99" s="55">
        <f t="shared" si="88"/>
        <v>0</v>
      </c>
      <c r="P99" s="55">
        <f t="shared" si="89"/>
        <v>0</v>
      </c>
      <c r="Q99" s="55"/>
      <c r="R99" s="55">
        <f t="shared" si="90"/>
        <v>0</v>
      </c>
      <c r="S99" s="55">
        <f t="shared" si="91"/>
        <v>0</v>
      </c>
      <c r="T99" s="55">
        <f t="shared" si="92"/>
        <v>0</v>
      </c>
      <c r="U99" s="55"/>
      <c r="V99" s="55">
        <f t="shared" si="93"/>
        <v>0</v>
      </c>
      <c r="W99" s="55">
        <f t="shared" si="94"/>
        <v>0</v>
      </c>
      <c r="X99" s="55">
        <f t="shared" si="95"/>
        <v>0</v>
      </c>
      <c r="Y99" s="55"/>
      <c r="Z99" s="55">
        <f t="shared" si="96"/>
        <v>0</v>
      </c>
      <c r="AA99" s="55">
        <f t="shared" si="97"/>
        <v>0</v>
      </c>
      <c r="AB99" s="55">
        <f t="shared" si="98"/>
        <v>0</v>
      </c>
      <c r="AC99" s="55"/>
      <c r="AD99" s="55"/>
      <c r="AE99" s="55"/>
      <c r="AF99" s="55">
        <f t="shared" si="101"/>
        <v>0</v>
      </c>
      <c r="AG99" s="55"/>
      <c r="AH99" s="55">
        <f t="shared" si="102"/>
        <v>0</v>
      </c>
      <c r="AI99" s="55">
        <f t="shared" si="103"/>
        <v>0</v>
      </c>
      <c r="AJ99" s="55">
        <f t="shared" si="104"/>
        <v>0</v>
      </c>
      <c r="AK99" s="55"/>
      <c r="AL99" s="55">
        <f t="shared" si="105"/>
        <v>0</v>
      </c>
      <c r="AM99" s="55">
        <f t="shared" si="106"/>
        <v>0</v>
      </c>
      <c r="AN99" s="55">
        <f t="shared" si="107"/>
        <v>0</v>
      </c>
      <c r="AO99" s="54"/>
      <c r="AP99" s="54"/>
      <c r="AQ99" s="85">
        <f t="shared" si="108"/>
        <v>0</v>
      </c>
      <c r="AR99" s="85">
        <f>SUMIF($F$6:$AN$6,AR$6,F99:AN99)/$AQ$22</f>
        <v>0</v>
      </c>
      <c r="AS99" s="80">
        <f t="shared" si="128"/>
        <v>0</v>
      </c>
      <c r="AT99" t="b">
        <f t="shared" si="110"/>
        <v>1</v>
      </c>
      <c r="AU99" s="51">
        <f t="shared" si="129"/>
        <v>0</v>
      </c>
      <c r="AV99" s="51">
        <f t="shared" si="130"/>
        <v>0</v>
      </c>
      <c r="AW99" s="51">
        <f t="shared" si="111"/>
        <v>0</v>
      </c>
      <c r="AX99" t="b">
        <f t="shared" si="112"/>
        <v>1</v>
      </c>
      <c r="AY99" s="51">
        <f t="shared" si="113"/>
        <v>0</v>
      </c>
      <c r="AZ99" s="51">
        <f t="shared" si="114"/>
        <v>0</v>
      </c>
      <c r="BA99" s="51">
        <f t="shared" si="115"/>
        <v>0</v>
      </c>
      <c r="BB99" t="b">
        <f t="shared" si="116"/>
        <v>1</v>
      </c>
      <c r="BC99" s="51">
        <f t="shared" si="117"/>
        <v>0</v>
      </c>
      <c r="BD99" s="51">
        <f t="shared" si="118"/>
        <v>0</v>
      </c>
      <c r="BE99" s="51">
        <f t="shared" si="119"/>
        <v>0</v>
      </c>
      <c r="BF99" t="b">
        <f t="shared" si="120"/>
        <v>1</v>
      </c>
      <c r="BG99" s="51">
        <f t="shared" si="121"/>
        <v>0</v>
      </c>
      <c r="BH99" s="51">
        <f t="shared" si="122"/>
        <v>0</v>
      </c>
      <c r="BI99" s="51">
        <f t="shared" si="133"/>
        <v>0</v>
      </c>
      <c r="BJ99" t="b">
        <f t="shared" si="123"/>
        <v>1</v>
      </c>
      <c r="BK99" s="51">
        <f t="shared" si="124"/>
        <v>0</v>
      </c>
      <c r="BL99" s="51">
        <f t="shared" si="125"/>
        <v>0</v>
      </c>
      <c r="BM99" s="51">
        <f t="shared" si="126"/>
        <v>0</v>
      </c>
      <c r="BN99" t="b">
        <f t="shared" si="127"/>
        <v>1</v>
      </c>
    </row>
    <row r="100" ht="18.75" customHeight="1" spans="1:67" x14ac:dyDescent="0.25">
      <c r="A100" s="9"/>
      <c r="B100" s="34" t="s">
        <v>58</v>
      </c>
      <c r="C100" s="34"/>
      <c r="D100" s="34"/>
      <c r="E100" s="35"/>
      <c r="F100" s="81"/>
      <c r="G100" s="81"/>
      <c r="H100" s="81">
        <f>SUM(H87:H99)</f>
        <v>0</v>
      </c>
      <c r="I100" s="81"/>
      <c r="J100" s="81">
        <f>SUM(J87:J99)</f>
        <v>0</v>
      </c>
      <c r="K100" s="81"/>
      <c r="L100" s="81">
        <f>SUM(L87:L99)</f>
        <v>0</v>
      </c>
      <c r="M100" s="81"/>
      <c r="N100" s="81">
        <f>SUM(N87:N99)</f>
        <v>0</v>
      </c>
      <c r="O100" s="81"/>
      <c r="P100" s="81">
        <f>SUM(P87:P99)</f>
        <v>0</v>
      </c>
      <c r="Q100" s="81"/>
      <c r="R100" s="81">
        <f>SUM(R87:R99)</f>
        <v>0</v>
      </c>
      <c r="S100" s="81"/>
      <c r="T100" s="81">
        <f>SUM(T87:T99)</f>
        <v>0</v>
      </c>
      <c r="U100" s="81"/>
      <c r="V100" s="81">
        <f>SUM(V87:V99)</f>
        <v>0</v>
      </c>
      <c r="W100" s="81"/>
      <c r="X100" s="81">
        <f>SUM(X87:X99)</f>
        <v>0</v>
      </c>
      <c r="Y100" s="81"/>
      <c r="Z100" s="81">
        <f>SUM(Z87:Z99)</f>
        <v>0</v>
      </c>
      <c r="AA100" s="81"/>
      <c r="AB100" s="81">
        <f>SUM(AB87:AB99)</f>
        <v>0</v>
      </c>
      <c r="AC100" s="81"/>
      <c r="AD100" s="81">
        <f>SUM(AD87:AD99)</f>
        <v>0</v>
      </c>
      <c r="AE100" s="81"/>
      <c r="AF100" s="81">
        <f>SUM(AF87:AF99)</f>
        <v>0</v>
      </c>
      <c r="AG100" s="81"/>
      <c r="AH100" s="81">
        <f>SUM(AH87:AH99)</f>
        <v>0</v>
      </c>
      <c r="AI100" s="81"/>
      <c r="AJ100" s="81">
        <f>SUM(AJ87:AJ99)</f>
        <v>0</v>
      </c>
      <c r="AK100" s="81"/>
      <c r="AL100" s="81">
        <f>SUM(AL87:AL99)</f>
        <v>0</v>
      </c>
      <c r="AM100" s="81"/>
      <c r="AN100" s="81">
        <f>SUM(AN87:AN99)</f>
        <v>0</v>
      </c>
      <c r="AO100" s="81"/>
      <c r="AP100" s="81"/>
      <c r="AQ100" s="81">
        <f>SUM(AQ87:AQ99)</f>
        <v>0</v>
      </c>
      <c r="AR100" s="81"/>
      <c r="AS100" s="81">
        <f>SUM(AS87:AS99)/3</f>
        <v>0</v>
      </c>
      <c r="AT100" s="81"/>
      <c r="AU100" s="81">
        <f>SUM(AU87:AU99)</f>
        <v>15</v>
      </c>
      <c r="AV100" s="81"/>
      <c r="AW100" s="81" t="e">
        <f>SUM(AW87:AW99)</f>
        <v>#REF!</v>
      </c>
      <c r="AX100" s="9"/>
      <c r="AY100" s="81">
        <f>SUM(AY87:AY99)</f>
        <v>18</v>
      </c>
      <c r="AZ100" s="81"/>
      <c r="BA100" s="81" t="e">
        <f>SUM(BA87:BA99)</f>
        <v>#REF!</v>
      </c>
      <c r="BB100" s="9"/>
      <c r="BC100" s="81">
        <f>SUM(BC87:BC99)</f>
        <v>21.599999999999998</v>
      </c>
      <c r="BD100" s="81"/>
      <c r="BE100" s="81" t="e">
        <f>SUM(BE87:BE99)</f>
        <v>#REF!</v>
      </c>
      <c r="BF100" s="9"/>
      <c r="BG100" s="81">
        <f>SUM(BG87:BG99)</f>
        <v>26.999999999999996</v>
      </c>
      <c r="BH100" s="81"/>
      <c r="BI100" s="81" t="e">
        <f>SUM(BI87:BI99)</f>
        <v>#REF!</v>
      </c>
      <c r="BJ100" s="9"/>
      <c r="BK100" s="81">
        <f>SUM(BK87:BK99)</f>
        <v>31.049999999999994</v>
      </c>
      <c r="BL100" s="81"/>
      <c r="BM100" s="81" t="e">
        <f>SUM(BM87:BM99)</f>
        <v>#REF!</v>
      </c>
      <c r="BN100" s="9"/>
      <c r="BO100" s="9"/>
    </row>
    <row r="101" ht="18.75" customHeight="1" spans="2:65" x14ac:dyDescent="0.25">
      <c r="B101" s="9"/>
      <c r="C101" s="30"/>
      <c r="D101" s="30"/>
      <c r="E101" s="30"/>
      <c r="F101" s="54"/>
      <c r="G101" s="54"/>
      <c r="H101" s="54"/>
      <c r="I101" s="54"/>
      <c r="J101" s="54"/>
      <c r="K101" s="54"/>
      <c r="L101" s="54"/>
      <c r="M101" s="54"/>
      <c r="N101" s="54"/>
      <c r="O101" s="54"/>
      <c r="P101" s="54"/>
      <c r="Q101" s="54"/>
      <c r="R101" s="54"/>
      <c r="S101" s="54"/>
      <c r="T101" s="54"/>
      <c r="U101" s="54"/>
      <c r="V101" s="54"/>
      <c r="W101" s="54"/>
      <c r="X101" s="54"/>
      <c r="Y101" s="54"/>
      <c r="Z101" s="54"/>
      <c r="AA101" s="54"/>
      <c r="AB101" s="54"/>
      <c r="AC101" s="54"/>
      <c r="AD101" s="54"/>
      <c r="AE101" s="54"/>
      <c r="AF101" s="54"/>
      <c r="AG101" s="54"/>
      <c r="AH101" s="54"/>
      <c r="AI101" s="54"/>
      <c r="AJ101" s="54"/>
      <c r="AK101" s="54"/>
      <c r="AL101" s="54"/>
      <c r="AM101" s="54"/>
      <c r="AN101" s="54"/>
      <c r="AO101" s="54"/>
      <c r="AP101" s="54"/>
      <c r="AQ101" s="54"/>
      <c r="AR101" s="54"/>
      <c r="AS101" s="54"/>
      <c r="AU101" s="54"/>
      <c r="AV101" s="54"/>
      <c r="AW101" s="54"/>
      <c r="AY101" s="54"/>
      <c r="AZ101" s="54"/>
      <c r="BA101" s="54"/>
      <c r="BC101" s="54"/>
      <c r="BD101" s="54"/>
      <c r="BE101" s="54"/>
      <c r="BG101" s="54"/>
      <c r="BH101" s="54"/>
      <c r="BI101" s="54"/>
      <c r="BK101" s="54"/>
      <c r="BL101" s="54"/>
      <c r="BM101" s="54"/>
    </row>
    <row r="102" ht="18.75" customHeight="1" spans="2:65" x14ac:dyDescent="0.25">
      <c r="B102" s="9"/>
      <c r="C102" s="30"/>
      <c r="D102" s="28"/>
      <c r="E102" s="28"/>
      <c r="F102" s="28"/>
      <c r="G102" s="54"/>
      <c r="H102" s="54"/>
      <c r="I102" s="54"/>
      <c r="J102" s="78">
        <f>$J$8</f>
        <v>1</v>
      </c>
      <c r="K102" s="78">
        <f>$K$8</f>
        <v>1</v>
      </c>
      <c r="L102" s="77"/>
      <c r="M102" s="77"/>
      <c r="N102" s="78">
        <f>$N$8</f>
        <v>1</v>
      </c>
      <c r="O102" s="78">
        <f>$O$8</f>
        <v>1</v>
      </c>
      <c r="P102" s="77"/>
      <c r="Q102" s="77"/>
      <c r="R102" s="78">
        <f>$R$8</f>
        <v>1</v>
      </c>
      <c r="S102" s="78">
        <f>$S$8</f>
        <v>1</v>
      </c>
      <c r="T102" s="77"/>
      <c r="U102" s="77"/>
      <c r="V102" s="78">
        <f>$V$8</f>
        <v>1</v>
      </c>
      <c r="W102" s="78">
        <f>$W$8</f>
        <v>1</v>
      </c>
      <c r="X102" s="77"/>
      <c r="Y102" s="77"/>
      <c r="Z102" s="78">
        <f>$Z$8</f>
        <v>1</v>
      </c>
      <c r="AA102" s="78">
        <f>$AA$8</f>
        <v>1</v>
      </c>
      <c r="AB102" s="77"/>
      <c r="AC102" s="77"/>
      <c r="AD102" s="78">
        <f>$AD$8</f>
        <v>1</v>
      </c>
      <c r="AE102" s="78">
        <f>$AE$8</f>
        <v>1</v>
      </c>
      <c r="AF102" s="77"/>
      <c r="AG102" s="77"/>
      <c r="AH102" s="78">
        <f>$AH$8</f>
        <v>1</v>
      </c>
      <c r="AI102" s="78">
        <f>$AI$8</f>
        <v>1</v>
      </c>
      <c r="AJ102" s="77"/>
      <c r="AK102" s="77"/>
      <c r="AL102" s="78">
        <f>$AL$8</f>
        <v>1</v>
      </c>
      <c r="AM102" s="78">
        <f>$AM$8</f>
        <v>1</v>
      </c>
      <c r="AN102" s="77"/>
      <c r="AO102" s="77"/>
      <c r="AP102" s="54"/>
      <c r="AQ102" s="54"/>
      <c r="AR102" s="54"/>
      <c r="AS102" s="54"/>
      <c r="AU102" s="78">
        <f>$AU$8</f>
        <v>1.25</v>
      </c>
      <c r="AV102" s="78">
        <f>$AV$8</f>
        <v>1.2</v>
      </c>
      <c r="AW102" s="54"/>
      <c r="AY102" s="78">
        <f>$AY$8</f>
        <v>1.2</v>
      </c>
      <c r="AZ102" s="78">
        <f>$AZ$8</f>
        <v>1.2</v>
      </c>
      <c r="BA102" s="77"/>
      <c r="BB102" s="28"/>
      <c r="BC102" s="78">
        <f>$BC$8</f>
        <v>1.2</v>
      </c>
      <c r="BD102" s="78">
        <f>$BD$8</f>
        <v>1.25</v>
      </c>
      <c r="BE102" s="77"/>
      <c r="BF102" s="28"/>
      <c r="BG102" s="78">
        <f>$BG$8</f>
        <v>1.25</v>
      </c>
      <c r="BH102" s="78">
        <f>$BH$8</f>
        <v>1.25</v>
      </c>
      <c r="BI102" s="77"/>
      <c r="BJ102" s="28"/>
      <c r="BK102" s="78">
        <f>$BK$8</f>
        <v>1.15</v>
      </c>
      <c r="BL102" s="78">
        <f>$BL$8</f>
        <v>1.2</v>
      </c>
      <c r="BM102" s="77"/>
    </row>
    <row r="103" ht="18.75" customHeight="1" spans="2:65" x14ac:dyDescent="0.25">
      <c r="B103" s="5">
        <v>2</v>
      </c>
      <c r="C103" s="29" t="s">
        <v>247</v>
      </c>
      <c r="D103" s="27"/>
      <c r="E103" s="28"/>
      <c r="F103" s="55"/>
      <c r="G103" s="55"/>
      <c r="H103" s="55"/>
      <c r="I103" s="55"/>
      <c r="J103" s="55"/>
      <c r="K103" s="55"/>
      <c r="L103" s="55"/>
      <c r="M103" s="55"/>
      <c r="N103" s="55"/>
      <c r="O103" s="55"/>
      <c r="P103" s="55"/>
      <c r="Q103" s="55"/>
      <c r="R103" s="55"/>
      <c r="S103" s="55"/>
      <c r="T103" s="55"/>
      <c r="U103" s="55"/>
      <c r="V103" s="55"/>
      <c r="W103" s="55"/>
      <c r="X103" s="55"/>
      <c r="Y103" s="55"/>
      <c r="Z103" s="55"/>
      <c r="AA103" s="55"/>
      <c r="AB103" s="55"/>
      <c r="AC103" s="55"/>
      <c r="AD103" s="55"/>
      <c r="AE103" s="55"/>
      <c r="AF103" s="55"/>
      <c r="AG103" s="55"/>
      <c r="AH103" s="55"/>
      <c r="AI103" s="55"/>
      <c r="AJ103" s="55"/>
      <c r="AK103" s="55"/>
      <c r="AL103" s="55"/>
      <c r="AM103" s="55"/>
      <c r="AN103" s="55"/>
      <c r="AO103" s="54"/>
      <c r="AP103" s="54"/>
      <c r="AQ103" s="54"/>
      <c r="AR103" s="54"/>
      <c r="AS103" s="54"/>
      <c r="AU103" s="51"/>
      <c r="AV103" s="51"/>
      <c r="AW103" s="51"/>
      <c r="AY103" s="51"/>
      <c r="AZ103" s="51"/>
      <c r="BA103" s="51"/>
      <c r="BC103" s="51"/>
      <c r="BD103" s="51"/>
      <c r="BE103" s="51"/>
      <c r="BG103" s="51"/>
      <c r="BH103" s="51"/>
      <c r="BI103" s="51"/>
      <c r="BK103" s="51"/>
      <c r="BL103" s="51"/>
      <c r="BM103" s="51"/>
    </row>
    <row r="104" ht="18.75" customHeight="1" spans="2:65" x14ac:dyDescent="0.25">
      <c r="B104" s="5" t="s">
        <v>60</v>
      </c>
      <c r="C104" s="29"/>
      <c r="D104" s="29" t="s">
        <v>248</v>
      </c>
      <c r="E104" s="30"/>
      <c r="F104" s="55"/>
      <c r="G104" s="55"/>
      <c r="H104" s="55">
        <f>'B.I Sales - P1'!H61*85%</f>
        <v>0</v>
      </c>
      <c r="I104" s="55"/>
      <c r="J104" s="55">
        <f>F104*$J$31</f>
        <v>0</v>
      </c>
      <c r="K104" s="55">
        <f>G104*$K$31</f>
        <v>0</v>
      </c>
      <c r="L104" s="55">
        <f>'B.I Sales - P1'!L61*85%</f>
        <v>0</v>
      </c>
      <c r="M104" s="55"/>
      <c r="N104" s="55">
        <f>J104*$N$31</f>
        <v>0</v>
      </c>
      <c r="O104" s="55">
        <f>K104*$O$31</f>
        <v>0</v>
      </c>
      <c r="P104" s="55">
        <f>'B.I Sales - P1'!P61*85%</f>
        <v>0</v>
      </c>
      <c r="Q104" s="55"/>
      <c r="R104" s="55">
        <f>N104*$R$31</f>
        <v>0</v>
      </c>
      <c r="S104" s="55">
        <f>O104*$S$31</f>
        <v>0</v>
      </c>
      <c r="T104" s="55">
        <f>'B.I Sales - P1'!T61*85%</f>
        <v>0</v>
      </c>
      <c r="U104" s="55"/>
      <c r="V104" s="55">
        <f>R104*$V$31</f>
        <v>0</v>
      </c>
      <c r="W104" s="55">
        <f>S104*$W$31</f>
        <v>0</v>
      </c>
      <c r="X104" s="55">
        <f>'B.I Sales - P1'!X61*85%</f>
        <v>0</v>
      </c>
      <c r="Y104" s="55"/>
      <c r="Z104" s="55">
        <f>V104*$Z$31</f>
        <v>0</v>
      </c>
      <c r="AA104" s="55">
        <f>W104*$AA$31</f>
        <v>0</v>
      </c>
      <c r="AB104" s="55">
        <f>'B.I Sales - P1'!AB61*85%</f>
        <v>0</v>
      </c>
      <c r="AC104" s="55"/>
      <c r="AD104" s="55">
        <f>Z104*$AD$31</f>
        <v>0</v>
      </c>
      <c r="AE104" s="55">
        <f>AA104*$AE$31</f>
        <v>0</v>
      </c>
      <c r="AF104" s="55">
        <f>'B.I Sales - P1'!AF61*85%</f>
        <v>0</v>
      </c>
      <c r="AG104" s="55"/>
      <c r="AH104" s="55">
        <f>AD104*$AH$31</f>
        <v>0</v>
      </c>
      <c r="AI104" s="55">
        <f>AE104*$AI$31</f>
        <v>0</v>
      </c>
      <c r="AJ104" s="55">
        <f>'B.I Sales - P1'!AJ61*85%</f>
        <v>0</v>
      </c>
      <c r="AK104" s="55"/>
      <c r="AL104" s="55">
        <f>AH104*$AL$31</f>
        <v>0</v>
      </c>
      <c r="AM104" s="55">
        <f>AI104*$AM$31</f>
        <v>0</v>
      </c>
      <c r="AN104" s="55">
        <f>'B.I Sales - P1'!AN61*85%</f>
        <v>0</v>
      </c>
      <c r="AO104" s="54"/>
      <c r="AP104" s="54"/>
      <c r="AQ104" s="85">
        <f>SUMIF($F$6:$AO$6,$AQ$6,F104:AO104)</f>
        <v>0</v>
      </c>
      <c r="AR104" s="85">
        <f>SUMIF($F$6:$AO$6,$AR$6,F104:AO104)/AR85</f>
        <v>0</v>
      </c>
      <c r="AS104" s="80">
        <f>H104+L104+P104+T104+X104+AB104+AF104+AJ104+AN104</f>
        <v>0</v>
      </c>
      <c r="AT104" t="b">
        <f>(AQ104*AR104)=AS104</f>
        <v>1</v>
      </c>
      <c r="AU104" s="51">
        <f>(AQ104/$AR$8*12)*$AU$31</f>
        <v>0</v>
      </c>
      <c r="AV104" s="51">
        <f>AR104*$AV$31</f>
        <v>0</v>
      </c>
      <c r="AW104" s="51" t="e">
        <f>'B.I Sales - P1'!#REF!*85%</f>
        <v>#REF!</v>
      </c>
      <c r="AY104" s="51">
        <f>AU104*$AY$31</f>
        <v>0</v>
      </c>
      <c r="AZ104" s="51">
        <f>AV104*$AZ$31</f>
        <v>0</v>
      </c>
      <c r="BA104" s="51" t="e">
        <f>'B.I Sales - P1'!#REF!*85%</f>
        <v>#REF!</v>
      </c>
      <c r="BC104" s="51">
        <f>AY104*$BC$31</f>
        <v>0</v>
      </c>
      <c r="BD104" s="51">
        <f>AZ104*$BD$31</f>
        <v>0</v>
      </c>
      <c r="BE104" s="51" t="e">
        <f>'B.I Sales - P1'!#REF!*85%</f>
        <v>#REF!</v>
      </c>
      <c r="BG104" s="51">
        <f>BC104*$BG$31</f>
        <v>0</v>
      </c>
      <c r="BH104" s="51">
        <f>BD104*$BH$31</f>
        <v>0</v>
      </c>
      <c r="BI104" s="51" t="e">
        <f>'B.I Sales - P1'!#REF!*85%</f>
        <v>#REF!</v>
      </c>
      <c r="BK104" s="51">
        <f>BG104*$BK$31</f>
        <v>0</v>
      </c>
      <c r="BL104" s="51">
        <f>BH104*$BL$31</f>
        <v>0</v>
      </c>
      <c r="BM104" s="51" t="e">
        <f>'B.I Sales - P1'!#REF!*85%</f>
        <v>#REF!</v>
      </c>
    </row>
    <row r="105" ht="18.75" customHeight="1" spans="2:66" x14ac:dyDescent="0.25">
      <c r="B105" s="5" t="s">
        <v>61</v>
      </c>
      <c r="C105" s="29"/>
      <c r="D105" s="29" t="s">
        <v>249</v>
      </c>
      <c r="E105" s="30"/>
      <c r="F105" s="55"/>
      <c r="G105" s="55"/>
      <c r="H105" s="55">
        <f>SUM('4. P&amp;L'!C93:C95)*3%/9</f>
        <v>0</v>
      </c>
      <c r="I105" s="55"/>
      <c r="J105" s="55">
        <f>F105*$J$31</f>
        <v>0</v>
      </c>
      <c r="K105" s="55">
        <f>G105*$K$31</f>
        <v>0</v>
      </c>
      <c r="L105" s="55">
        <f>H105</f>
        <v>0</v>
      </c>
      <c r="M105" s="55"/>
      <c r="N105" s="55">
        <f>J105*$N$31</f>
        <v>0</v>
      </c>
      <c r="O105" s="55">
        <f>K105*$O$31</f>
        <v>0</v>
      </c>
      <c r="P105" s="55">
        <f>L105</f>
        <v>0</v>
      </c>
      <c r="Q105" s="55"/>
      <c r="R105" s="55">
        <f>N105*$R$31</f>
        <v>0</v>
      </c>
      <c r="S105" s="55">
        <f>O105*$S$31</f>
        <v>0</v>
      </c>
      <c r="T105" s="55">
        <f>P105</f>
        <v>0</v>
      </c>
      <c r="U105" s="55"/>
      <c r="V105" s="55">
        <f>R105*$V$31</f>
        <v>0</v>
      </c>
      <c r="W105" s="55">
        <f>S105*$W$31</f>
        <v>0</v>
      </c>
      <c r="X105" s="55">
        <f>T105</f>
        <v>0</v>
      </c>
      <c r="Y105" s="55"/>
      <c r="Z105" s="55">
        <f>V105*$Z$31</f>
        <v>0</v>
      </c>
      <c r="AA105" s="55">
        <f>W105*$AA$31</f>
        <v>0</v>
      </c>
      <c r="AB105" s="55">
        <f>X105</f>
        <v>0</v>
      </c>
      <c r="AC105" s="55"/>
      <c r="AD105" s="55">
        <f>Z105*$AD$31</f>
        <v>0</v>
      </c>
      <c r="AE105" s="55">
        <f>AA105*$AE$31</f>
        <v>0</v>
      </c>
      <c r="AF105" s="55">
        <f>AB105</f>
        <v>0</v>
      </c>
      <c r="AG105" s="55"/>
      <c r="AH105" s="55">
        <f>AD105*$AH$31</f>
        <v>0</v>
      </c>
      <c r="AI105" s="55">
        <f>AE105*$AI$31</f>
        <v>0</v>
      </c>
      <c r="AJ105" s="55">
        <f>AF105</f>
        <v>0</v>
      </c>
      <c r="AK105" s="55"/>
      <c r="AL105" s="55">
        <f>AH105*$AL$31</f>
        <v>0</v>
      </c>
      <c r="AM105" s="55">
        <f>AI105*$AM$31</f>
        <v>0</v>
      </c>
      <c r="AN105" s="55">
        <f>AJ105</f>
        <v>0</v>
      </c>
      <c r="AO105" s="54"/>
      <c r="AP105" s="54"/>
      <c r="AQ105" s="85">
        <f>SUMIF($F$6:$AO$6,$AQ$6,F105:AO105)</f>
        <v>0</v>
      </c>
      <c r="AR105" s="85">
        <f>SUMIF($F$6:$AO$6,$AR$6,F105:AO105)/AR85</f>
        <v>0</v>
      </c>
      <c r="AS105" s="80">
        <f>H105+L105+P105+T105+X105+AB105+AF105+AJ105+AN105</f>
        <v>0</v>
      </c>
      <c r="AT105" t="b">
        <f>(AQ105*AR105)=AS105</f>
        <v>1</v>
      </c>
      <c r="AU105" s="51">
        <f>(AQ105/$AR$8*12)*$AU$31</f>
        <v>0</v>
      </c>
      <c r="AV105" s="51">
        <f>AR105*$AV$31</f>
        <v>0</v>
      </c>
      <c r="AW105" s="51" t="e">
        <f>('B.I Sales - P1'!#REF!+'B.I Sales - P1'!#REF!+'B.I Sales - P1'!#REF!)*AX105</f>
        <v>#REF!</v>
      </c>
      <c r="AX105" s="37">
        <v>0.25</v>
      </c>
      <c r="AY105" s="51">
        <f>AU105*$AY$31</f>
        <v>0</v>
      </c>
      <c r="AZ105" s="51">
        <f>AV105*$AZ$31</f>
        <v>0</v>
      </c>
      <c r="BA105" s="51" t="e">
        <f>('B.I Sales - P1'!#REF!+'B.I Sales - P1'!#REF!+'B.I Sales - P1'!#REF!)*BB105</f>
        <v>#REF!</v>
      </c>
      <c r="BB105" s="37">
        <v>0.25</v>
      </c>
      <c r="BC105" s="51">
        <f>AY105*$BC$31</f>
        <v>0</v>
      </c>
      <c r="BD105" s="51">
        <f>AZ105*$BD$31</f>
        <v>0</v>
      </c>
      <c r="BE105" s="51" t="e">
        <f>('B.I Sales - P1'!#REF!+'B.I Sales - P1'!#REF!+'B.I Sales - P1'!#REF!)*BF105</f>
        <v>#REF!</v>
      </c>
      <c r="BF105" s="37">
        <v>0.25</v>
      </c>
      <c r="BG105" s="51">
        <f>BC105*$BG$31</f>
        <v>0</v>
      </c>
      <c r="BH105" s="51">
        <f>BD105*$BH$31</f>
        <v>0</v>
      </c>
      <c r="BI105" s="51" t="e">
        <f>('B.I Sales - P1'!#REF!+'B.I Sales - P1'!#REF!+'B.I Sales - P1'!#REF!)*BJ105</f>
        <v>#REF!</v>
      </c>
      <c r="BJ105" s="37">
        <v>0.25</v>
      </c>
      <c r="BK105" s="51">
        <f>BG105*$BK$31</f>
        <v>0</v>
      </c>
      <c r="BL105" s="51">
        <f>BH105*$BL$31</f>
        <v>0</v>
      </c>
      <c r="BM105" s="51" t="e">
        <f>('B.I Sales - P1'!#REF!+'B.I Sales - P1'!#REF!+'B.I Sales - P1'!#REF!)*BN105</f>
        <v>#REF!</v>
      </c>
      <c r="BN105" s="37">
        <v>0.25</v>
      </c>
    </row>
    <row r="106" ht="18.75" customHeight="1" spans="2:65" x14ac:dyDescent="0.25">
      <c r="B106" s="5" t="s">
        <v>62</v>
      </c>
      <c r="C106" s="29"/>
      <c r="D106" s="29"/>
      <c r="E106" s="30"/>
      <c r="F106" s="55"/>
      <c r="G106" s="55"/>
      <c r="H106" s="55">
        <f t="shared" ref="H106:H107" si="134">F106*G106</f>
        <v>0</v>
      </c>
      <c r="I106" s="55"/>
      <c r="J106" s="55">
        <f>F106*$J$31</f>
        <v>0</v>
      </c>
      <c r="K106" s="55">
        <f>G106*$K$31</f>
        <v>0</v>
      </c>
      <c r="L106" s="55">
        <f>J106*K106</f>
        <v>0</v>
      </c>
      <c r="M106" s="55"/>
      <c r="N106" s="55">
        <f>J106*$N$31</f>
        <v>0</v>
      </c>
      <c r="O106" s="55">
        <f>K106*$O$31</f>
        <v>0</v>
      </c>
      <c r="P106" s="55">
        <f>N106*O106</f>
        <v>0</v>
      </c>
      <c r="Q106" s="55"/>
      <c r="R106" s="55">
        <f>N106*$R$31</f>
        <v>0</v>
      </c>
      <c r="S106" s="55">
        <f>O106*$S$31</f>
        <v>0</v>
      </c>
      <c r="T106" s="55">
        <f>R106*S106</f>
        <v>0</v>
      </c>
      <c r="U106" s="55"/>
      <c r="V106" s="55">
        <f>R106*$V$31</f>
        <v>0</v>
      </c>
      <c r="W106" s="55">
        <f>S106*$W$31</f>
        <v>0</v>
      </c>
      <c r="X106" s="55">
        <f>V106*W106</f>
        <v>0</v>
      </c>
      <c r="Y106" s="55"/>
      <c r="Z106" s="55">
        <f>V106*$Z$31</f>
        <v>0</v>
      </c>
      <c r="AA106" s="55">
        <f>W106*$AA$31</f>
        <v>0</v>
      </c>
      <c r="AB106" s="55">
        <f>Z106*AA106</f>
        <v>0</v>
      </c>
      <c r="AC106" s="55"/>
      <c r="AD106" s="55">
        <f>Z106*$AD$31</f>
        <v>0</v>
      </c>
      <c r="AE106" s="55">
        <f>AA106*$AE$31</f>
        <v>0</v>
      </c>
      <c r="AF106" s="55">
        <f>AD106*AE106</f>
        <v>0</v>
      </c>
      <c r="AG106" s="55"/>
      <c r="AH106" s="55">
        <f>AD106*$AH$31</f>
        <v>0</v>
      </c>
      <c r="AI106" s="55">
        <f>AE106*$AI$31</f>
        <v>0</v>
      </c>
      <c r="AJ106" s="55">
        <f>AH106*AI106</f>
        <v>0</v>
      </c>
      <c r="AK106" s="55"/>
      <c r="AL106" s="55">
        <f>AH106*$AL$31</f>
        <v>0</v>
      </c>
      <c r="AM106" s="55">
        <f>AI106*$AM$31</f>
        <v>0</v>
      </c>
      <c r="AN106" s="55">
        <f>AL106*AM106</f>
        <v>0</v>
      </c>
      <c r="AO106" s="54"/>
      <c r="AP106" s="54"/>
      <c r="AQ106" s="85">
        <f>SUMIF($F$6:$AO$6,$AQ$6,F106:AO106)</f>
        <v>0</v>
      </c>
      <c r="AR106" s="85">
        <f>SUMIF($F$6:$AO$6,$AR$6,F106:AO106)/AR85</f>
        <v>0</v>
      </c>
      <c r="AS106" s="80">
        <f>H106+L106+P106+T106+X106+AB106+AF106+AJ106+AN106</f>
        <v>0</v>
      </c>
      <c r="AT106" t="b">
        <f>(AQ106*AR106)=AS106</f>
        <v>1</v>
      </c>
      <c r="AU106" s="51">
        <f>(AQ106/$AR$8*12)*$AU$31</f>
        <v>0</v>
      </c>
      <c r="AV106" s="51">
        <f>AR106*$AV$31</f>
        <v>0</v>
      </c>
      <c r="AW106" s="51">
        <f>AU106*AV106</f>
        <v>0</v>
      </c>
      <c r="AY106" s="51">
        <f>AU106*$AY$31</f>
        <v>0</v>
      </c>
      <c r="AZ106" s="51">
        <f>AV106*$AZ$31</f>
        <v>0</v>
      </c>
      <c r="BA106" s="51">
        <f>AY106*AZ106</f>
        <v>0</v>
      </c>
      <c r="BC106" s="51">
        <f>AY106*$BC$31</f>
        <v>0</v>
      </c>
      <c r="BD106" s="51">
        <f>AZ106*$BD$31</f>
        <v>0</v>
      </c>
      <c r="BE106" s="51">
        <f>BC106*BD106</f>
        <v>0</v>
      </c>
      <c r="BG106" s="51">
        <f>BC106*$BG$31</f>
        <v>0</v>
      </c>
      <c r="BH106" s="51">
        <f>BD106*$BH$31</f>
        <v>0</v>
      </c>
      <c r="BI106" s="51">
        <f>BG106*BH106</f>
        <v>0</v>
      </c>
      <c r="BK106" s="51">
        <f>BG106*$BK$31</f>
        <v>0</v>
      </c>
      <c r="BL106" s="51">
        <f>BH106*$BL$31</f>
        <v>0</v>
      </c>
      <c r="BM106" s="51">
        <f>BK106*BL106</f>
        <v>0</v>
      </c>
    </row>
    <row r="107" ht="18.75" customHeight="1" spans="2:65" x14ac:dyDescent="0.25">
      <c r="B107" s="5" t="s">
        <v>63</v>
      </c>
      <c r="C107" s="29"/>
      <c r="D107" s="29"/>
      <c r="E107" s="30"/>
      <c r="F107" s="55"/>
      <c r="G107" s="55"/>
      <c r="H107" s="55">
        <f t="shared" si="134"/>
        <v>0</v>
      </c>
      <c r="I107" s="55"/>
      <c r="J107" s="55">
        <f>F107*$J$31</f>
        <v>0</v>
      </c>
      <c r="K107" s="55">
        <f>G107*$K$31</f>
        <v>0</v>
      </c>
      <c r="L107" s="55">
        <f>J107*K107</f>
        <v>0</v>
      </c>
      <c r="M107" s="55"/>
      <c r="N107" s="55">
        <f>J107*$N$31</f>
        <v>0</v>
      </c>
      <c r="O107" s="55">
        <f>K107*$O$31</f>
        <v>0</v>
      </c>
      <c r="P107" s="55">
        <f>N107*O107</f>
        <v>0</v>
      </c>
      <c r="Q107" s="55"/>
      <c r="R107" s="55">
        <f>N107*$R$31</f>
        <v>0</v>
      </c>
      <c r="S107" s="55">
        <f>O107*$S$31</f>
        <v>0</v>
      </c>
      <c r="T107" s="55">
        <f>R107*S107</f>
        <v>0</v>
      </c>
      <c r="U107" s="55"/>
      <c r="V107" s="55">
        <f>R107*$V$31</f>
        <v>0</v>
      </c>
      <c r="W107" s="55">
        <f>S107*$W$31</f>
        <v>0</v>
      </c>
      <c r="X107" s="55">
        <f>V107*W107</f>
        <v>0</v>
      </c>
      <c r="Y107" s="55"/>
      <c r="Z107" s="55">
        <f>V107*$Z$31</f>
        <v>0</v>
      </c>
      <c r="AA107" s="55">
        <f>W107*$AA$31</f>
        <v>0</v>
      </c>
      <c r="AB107" s="55">
        <f>Z107*AA107</f>
        <v>0</v>
      </c>
      <c r="AC107" s="55"/>
      <c r="AD107" s="55">
        <f>Z107*$AD$31</f>
        <v>0</v>
      </c>
      <c r="AE107" s="55">
        <f>AA107*$AE$31</f>
        <v>0</v>
      </c>
      <c r="AF107" s="55">
        <f>AD107*AE107</f>
        <v>0</v>
      </c>
      <c r="AG107" s="55"/>
      <c r="AH107" s="55">
        <f>AD107*$AH$31</f>
        <v>0</v>
      </c>
      <c r="AI107" s="55">
        <f>AE107*$AI$31</f>
        <v>0</v>
      </c>
      <c r="AJ107" s="55">
        <f>AH107*AI107</f>
        <v>0</v>
      </c>
      <c r="AK107" s="55"/>
      <c r="AL107" s="55">
        <f>AH107*$AL$31</f>
        <v>0</v>
      </c>
      <c r="AM107" s="55">
        <f>AI107*$AM$31</f>
        <v>0</v>
      </c>
      <c r="AN107" s="55">
        <f>AL107*AM107</f>
        <v>0</v>
      </c>
      <c r="AO107" s="54"/>
      <c r="AP107" s="54"/>
      <c r="AQ107" s="85">
        <f>SUMIF($F$6:$AO$6,$AQ$6,F107:AO107)</f>
        <v>0</v>
      </c>
      <c r="AR107" s="85">
        <f>SUMIF($F$6:$AO$6,$AR$6,F107:AO107)/AR85</f>
        <v>0</v>
      </c>
      <c r="AS107" s="80">
        <f>H107+L107+P107+T107+X107+AB107+AF107+AJ107+AN107</f>
        <v>0</v>
      </c>
      <c r="AT107" t="b">
        <f>(AQ107*AR107)=AS107</f>
        <v>1</v>
      </c>
      <c r="AU107" s="51">
        <f>(AQ107/$AR$8*12)*$AU$31</f>
        <v>0</v>
      </c>
      <c r="AV107" s="51">
        <f>AR107*$AV$31</f>
        <v>0</v>
      </c>
      <c r="AW107" s="51">
        <f>AU107*AV107</f>
        <v>0</v>
      </c>
      <c r="AY107" s="51">
        <f>AU107*$AY$31</f>
        <v>0</v>
      </c>
      <c r="AZ107" s="51">
        <f>AV107*$AZ$31</f>
        <v>0</v>
      </c>
      <c r="BA107" s="51">
        <f>AY107*AZ107</f>
        <v>0</v>
      </c>
      <c r="BC107" s="51">
        <f>AY107*$BC$31</f>
        <v>0</v>
      </c>
      <c r="BD107" s="51">
        <f>AZ107*$BD$31</f>
        <v>0</v>
      </c>
      <c r="BE107" s="51">
        <f>BC107*BD107</f>
        <v>0</v>
      </c>
      <c r="BG107" s="51">
        <f>BC107*$BG$31</f>
        <v>0</v>
      </c>
      <c r="BH107" s="51">
        <f>BD107*$BH$31</f>
        <v>0</v>
      </c>
      <c r="BI107" s="51">
        <f>BG107*BH107</f>
        <v>0</v>
      </c>
      <c r="BK107" s="51">
        <f>BG107*$BK$31</f>
        <v>0</v>
      </c>
      <c r="BL107" s="51">
        <f>BH107*$BL$31</f>
        <v>0</v>
      </c>
      <c r="BM107" s="51">
        <f>BK107*BL107</f>
        <v>0</v>
      </c>
    </row>
    <row r="108" ht="18.75" customHeight="1" spans="2:65" x14ac:dyDescent="0.25">
      <c r="B108" s="5" t="s">
        <v>64</v>
      </c>
      <c r="C108" s="29"/>
      <c r="D108" s="29">
        <v>0</v>
      </c>
      <c r="E108" s="30"/>
      <c r="F108" s="55"/>
      <c r="G108" s="55"/>
      <c r="H108" s="55"/>
      <c r="I108" s="55"/>
      <c r="J108" s="55"/>
      <c r="K108" s="55"/>
      <c r="L108" s="55"/>
      <c r="M108" s="55"/>
      <c r="N108" s="55"/>
      <c r="O108" s="55"/>
      <c r="P108" s="55"/>
      <c r="Q108" s="55"/>
      <c r="R108" s="55"/>
      <c r="S108" s="55"/>
      <c r="T108" s="55"/>
      <c r="U108" s="55"/>
      <c r="V108" s="55"/>
      <c r="W108" s="55"/>
      <c r="X108" s="55"/>
      <c r="Y108" s="55"/>
      <c r="Z108" s="55"/>
      <c r="AA108" s="55"/>
      <c r="AB108" s="55"/>
      <c r="AC108" s="55"/>
      <c r="AD108" s="55"/>
      <c r="AE108" s="55"/>
      <c r="AF108" s="55"/>
      <c r="AG108" s="55"/>
      <c r="AH108" s="55"/>
      <c r="AI108" s="55"/>
      <c r="AJ108" s="55"/>
      <c r="AK108" s="55"/>
      <c r="AL108" s="55"/>
      <c r="AM108" s="55"/>
      <c r="AN108" s="55"/>
      <c r="AO108" s="54"/>
      <c r="AP108" s="54"/>
      <c r="AQ108" s="54"/>
      <c r="AR108" s="54"/>
      <c r="AS108" s="80">
        <f t="shared" ref="AS108" si="135">G108*12</f>
        <v>0</v>
      </c>
      <c r="AU108" s="51"/>
      <c r="AV108" s="51"/>
      <c r="AW108" s="51"/>
      <c r="AY108" s="51"/>
      <c r="AZ108" s="51"/>
      <c r="BA108" s="51"/>
      <c r="BC108" s="51"/>
      <c r="BD108" s="51"/>
      <c r="BE108" s="51"/>
      <c r="BG108" s="51"/>
      <c r="BH108" s="51"/>
      <c r="BI108" s="51"/>
      <c r="BK108" s="51"/>
      <c r="BL108" s="51"/>
      <c r="BM108" s="51"/>
    </row>
    <row r="109" ht="18.75" customHeight="1" spans="2:65" x14ac:dyDescent="0.25">
      <c r="B109" s="34" t="s">
        <v>58</v>
      </c>
      <c r="C109" s="34"/>
      <c r="D109" s="34"/>
      <c r="E109" s="30"/>
      <c r="F109" s="81">
        <f>SUM(F104:F108)</f>
        <v>0</v>
      </c>
      <c r="G109" s="81"/>
      <c r="H109" s="81">
        <f>SUM(H104:H108)</f>
        <v>0</v>
      </c>
      <c r="I109" s="81"/>
      <c r="J109" s="81">
        <f>SUM(J104:J108)</f>
        <v>0</v>
      </c>
      <c r="K109" s="81"/>
      <c r="L109" s="81">
        <f>SUM(L104:L108)</f>
        <v>0</v>
      </c>
      <c r="M109" s="81"/>
      <c r="N109" s="81">
        <f>SUM(N104:N108)</f>
        <v>0</v>
      </c>
      <c r="O109" s="81"/>
      <c r="P109" s="81">
        <f>SUM(P104:P108)</f>
        <v>0</v>
      </c>
      <c r="Q109" s="81"/>
      <c r="R109" s="81">
        <f>SUM(R104:R108)</f>
        <v>0</v>
      </c>
      <c r="S109" s="81"/>
      <c r="T109" s="81">
        <f>SUM(T104:T108)</f>
        <v>0</v>
      </c>
      <c r="U109" s="81"/>
      <c r="V109" s="81">
        <f>SUM(V104:V108)</f>
        <v>0</v>
      </c>
      <c r="W109" s="81"/>
      <c r="X109" s="81">
        <f>SUM(X104:X108)</f>
        <v>0</v>
      </c>
      <c r="Y109" s="81"/>
      <c r="Z109" s="81">
        <f>SUM(Z104:Z108)</f>
        <v>0</v>
      </c>
      <c r="AA109" s="81"/>
      <c r="AB109" s="81">
        <f>SUM(AB104:AB108)</f>
        <v>0</v>
      </c>
      <c r="AC109" s="81"/>
      <c r="AD109" s="81">
        <f>SUM(AD104:AD108)</f>
        <v>0</v>
      </c>
      <c r="AE109" s="81"/>
      <c r="AF109" s="81">
        <f>SUM(AF104:AF108)</f>
        <v>0</v>
      </c>
      <c r="AG109" s="81"/>
      <c r="AH109" s="81">
        <f>SUM(AH104:AH108)</f>
        <v>0</v>
      </c>
      <c r="AI109" s="81"/>
      <c r="AJ109" s="81">
        <f>SUM(AJ104:AJ108)</f>
        <v>0</v>
      </c>
      <c r="AK109" s="81"/>
      <c r="AL109" s="81">
        <f>SUM(AL104:AL108)</f>
        <v>0</v>
      </c>
      <c r="AM109" s="81"/>
      <c r="AN109" s="81">
        <f>SUM(AN104:AN108)</f>
        <v>0</v>
      </c>
      <c r="AO109" s="81"/>
      <c r="AP109" s="81"/>
      <c r="AQ109" s="81">
        <f>SUM(AQ104:AQ108)</f>
        <v>0</v>
      </c>
      <c r="AR109" s="81"/>
      <c r="AS109" s="81">
        <f>SUM(AS104:AS108)</f>
        <v>0</v>
      </c>
      <c r="AT109" s="9"/>
      <c r="AU109" s="81">
        <f>SUM(AU104:AU108)</f>
        <v>0</v>
      </c>
      <c r="AV109" s="81"/>
      <c r="AW109" s="81" t="e">
        <f>SUM(AW104:AW108)</f>
        <v>#REF!</v>
      </c>
      <c r="AX109" s="9"/>
      <c r="AY109" s="81">
        <f>SUM(AY104:AY108)</f>
        <v>0</v>
      </c>
      <c r="AZ109" s="81"/>
      <c r="BA109" s="81" t="e">
        <f>SUM(BA104:BA108)</f>
        <v>#REF!</v>
      </c>
      <c r="BB109" s="9"/>
      <c r="BC109" s="81">
        <f>SUM(BC104:BC108)</f>
        <v>0</v>
      </c>
      <c r="BD109" s="81"/>
      <c r="BE109" s="81" t="e">
        <f>SUM(BE104:BE108)</f>
        <v>#REF!</v>
      </c>
      <c r="BF109" s="9"/>
      <c r="BG109" s="81">
        <f>SUM(BG104:BG108)</f>
        <v>0</v>
      </c>
      <c r="BH109" s="81"/>
      <c r="BI109" s="81" t="e">
        <f>SUM(BI104:BI108)</f>
        <v>#REF!</v>
      </c>
      <c r="BJ109" s="9"/>
      <c r="BK109" s="81">
        <f>SUM(BK104:BK108)</f>
        <v>0</v>
      </c>
      <c r="BL109" s="81"/>
      <c r="BM109" s="81" t="e">
        <f>SUM(BM104:BM108)</f>
        <v>#REF!</v>
      </c>
    </row>
    <row r="110" ht="18.75" customHeight="1" spans="2:65" x14ac:dyDescent="0.25">
      <c r="B110" s="9"/>
      <c r="C110" s="30"/>
      <c r="D110" s="30"/>
      <c r="E110" s="30"/>
      <c r="F110" s="54"/>
      <c r="G110" s="54"/>
      <c r="H110" s="54"/>
      <c r="I110" s="54"/>
      <c r="J110" s="54"/>
      <c r="K110" s="54"/>
      <c r="L110" s="54"/>
      <c r="M110" s="54"/>
      <c r="N110" s="54"/>
      <c r="O110" s="54"/>
      <c r="P110" s="54"/>
      <c r="Q110" s="54"/>
      <c r="R110" s="54"/>
      <c r="S110" s="54"/>
      <c r="T110" s="54"/>
      <c r="U110" s="54"/>
      <c r="V110" s="54"/>
      <c r="W110" s="54"/>
      <c r="X110" s="54"/>
      <c r="Y110" s="54"/>
      <c r="Z110" s="54"/>
      <c r="AA110" s="54"/>
      <c r="AB110" s="54"/>
      <c r="AC110" s="54"/>
      <c r="AD110" s="54"/>
      <c r="AE110" s="54"/>
      <c r="AF110" s="54"/>
      <c r="AG110" s="54"/>
      <c r="AH110" s="54"/>
      <c r="AI110" s="54"/>
      <c r="AJ110" s="54"/>
      <c r="AK110" s="54"/>
      <c r="AL110" s="54"/>
      <c r="AM110" s="54"/>
      <c r="AN110" s="54"/>
      <c r="AO110" s="54"/>
      <c r="AP110" s="54"/>
      <c r="AQ110" s="54"/>
      <c r="AR110" s="54"/>
      <c r="AS110" s="54"/>
      <c r="AU110" s="54"/>
      <c r="AV110" s="54"/>
      <c r="AW110" s="54"/>
      <c r="AY110" s="54"/>
      <c r="AZ110" s="54"/>
      <c r="BA110" s="54"/>
      <c r="BC110" s="54"/>
      <c r="BD110" s="54"/>
      <c r="BE110" s="54"/>
      <c r="BG110" s="54"/>
      <c r="BH110" s="54"/>
      <c r="BI110" s="54"/>
      <c r="BK110" s="54"/>
      <c r="BL110" s="54"/>
      <c r="BM110" s="54"/>
    </row>
    <row r="111" ht="18.75" customHeight="1" spans="2:65" x14ac:dyDescent="0.25">
      <c r="B111" s="9"/>
      <c r="C111" s="30"/>
      <c r="D111" s="28"/>
      <c r="E111" s="28"/>
      <c r="F111" s="28"/>
      <c r="G111" s="54"/>
      <c r="H111" s="54"/>
      <c r="I111" s="54"/>
      <c r="J111" s="78">
        <f>$J$8</f>
        <v>1</v>
      </c>
      <c r="K111" s="78">
        <v>1.2</v>
      </c>
      <c r="L111" s="77"/>
      <c r="M111" s="77"/>
      <c r="N111" s="78">
        <f>$N$8</f>
        <v>1</v>
      </c>
      <c r="O111" s="78">
        <v>1.2</v>
      </c>
      <c r="P111" s="77"/>
      <c r="Q111" s="77"/>
      <c r="R111" s="78">
        <f>$R$8</f>
        <v>1</v>
      </c>
      <c r="S111" s="78">
        <v>1.2</v>
      </c>
      <c r="T111" s="77"/>
      <c r="U111" s="77"/>
      <c r="V111" s="78">
        <f>$V$8</f>
        <v>1</v>
      </c>
      <c r="W111" s="78">
        <f>$W$8</f>
        <v>1</v>
      </c>
      <c r="X111" s="77"/>
      <c r="Y111" s="77"/>
      <c r="Z111" s="78">
        <f>$Z$8</f>
        <v>1</v>
      </c>
      <c r="AA111" s="78">
        <f>$AA$8</f>
        <v>1</v>
      </c>
      <c r="AB111" s="77"/>
      <c r="AC111" s="77"/>
      <c r="AD111" s="78">
        <f>$AD$8</f>
        <v>1</v>
      </c>
      <c r="AE111" s="78">
        <f>$AE$8</f>
        <v>1</v>
      </c>
      <c r="AF111" s="77"/>
      <c r="AG111" s="77"/>
      <c r="AH111" s="78">
        <f>$AH$8</f>
        <v>1</v>
      </c>
      <c r="AI111" s="78">
        <f>$AI$8</f>
        <v>1</v>
      </c>
      <c r="AJ111" s="77"/>
      <c r="AK111" s="77"/>
      <c r="AL111" s="78">
        <f>$AL$8</f>
        <v>1</v>
      </c>
      <c r="AM111" s="78">
        <f>$AM$8</f>
        <v>1</v>
      </c>
      <c r="AN111" s="77"/>
      <c r="AO111" s="77"/>
      <c r="AP111" s="54"/>
      <c r="AQ111" s="54"/>
      <c r="AR111" s="54"/>
      <c r="AS111" s="54"/>
      <c r="AU111" s="78">
        <v>1</v>
      </c>
      <c r="AV111" s="78">
        <v>1.05</v>
      </c>
      <c r="AW111" s="54"/>
      <c r="AY111" s="78">
        <v>1</v>
      </c>
      <c r="AZ111" s="78">
        <v>1.2</v>
      </c>
      <c r="BA111" s="77"/>
      <c r="BB111" s="28"/>
      <c r="BC111" s="78">
        <v>1</v>
      </c>
      <c r="BD111" s="78">
        <v>1.25</v>
      </c>
      <c r="BE111" s="77"/>
      <c r="BF111" s="28"/>
      <c r="BG111" s="78">
        <v>1</v>
      </c>
      <c r="BH111" s="78">
        <v>1.15</v>
      </c>
      <c r="BI111" s="77"/>
      <c r="BJ111" s="28"/>
      <c r="BK111" s="78">
        <v>1</v>
      </c>
      <c r="BL111" s="78">
        <v>1.2</v>
      </c>
      <c r="BM111" s="77"/>
    </row>
    <row r="112" ht="18.75" customHeight="1" spans="2:65" x14ac:dyDescent="0.25">
      <c r="B112" s="5">
        <v>3</v>
      </c>
      <c r="C112" s="29" t="s">
        <v>121</v>
      </c>
      <c r="D112" s="27"/>
      <c r="E112" s="28"/>
      <c r="F112" s="55"/>
      <c r="G112" s="55"/>
      <c r="H112" s="55"/>
      <c r="I112" s="55"/>
      <c r="J112" s="55"/>
      <c r="K112" s="55"/>
      <c r="L112" s="55"/>
      <c r="M112" s="55"/>
      <c r="N112" s="55"/>
      <c r="O112" s="55"/>
      <c r="P112" s="55"/>
      <c r="Q112" s="55"/>
      <c r="R112" s="55"/>
      <c r="S112" s="55"/>
      <c r="T112" s="55"/>
      <c r="U112" s="55"/>
      <c r="V112" s="55"/>
      <c r="W112" s="55"/>
      <c r="X112" s="55"/>
      <c r="Y112" s="55"/>
      <c r="Z112" s="55"/>
      <c r="AA112" s="55"/>
      <c r="AB112" s="55"/>
      <c r="AC112" s="55"/>
      <c r="AD112" s="55"/>
      <c r="AE112" s="55"/>
      <c r="AF112" s="55"/>
      <c r="AG112" s="55"/>
      <c r="AH112" s="55"/>
      <c r="AI112" s="55"/>
      <c r="AJ112" s="55"/>
      <c r="AK112" s="55"/>
      <c r="AL112" s="55"/>
      <c r="AM112" s="55"/>
      <c r="AN112" s="55"/>
      <c r="AO112" s="54"/>
      <c r="AP112" s="54"/>
      <c r="AQ112" s="54"/>
      <c r="AR112" s="54"/>
      <c r="AS112" s="54"/>
      <c r="AU112" s="51"/>
      <c r="AV112" s="51"/>
      <c r="AW112" s="51">
        <f>AU112*AV112</f>
        <v>0</v>
      </c>
      <c r="AY112" s="51"/>
      <c r="AZ112" s="51"/>
      <c r="BA112" s="51"/>
      <c r="BC112" s="51"/>
      <c r="BD112" s="51"/>
      <c r="BE112" s="51"/>
      <c r="BG112" s="51"/>
      <c r="BH112" s="51"/>
      <c r="BI112" s="51"/>
      <c r="BK112" s="51"/>
      <c r="BL112" s="51"/>
      <c r="BM112" s="51"/>
    </row>
    <row r="113" ht="18.75" customHeight="1" spans="2:65" x14ac:dyDescent="0.25">
      <c r="B113" s="5" t="s">
        <v>65</v>
      </c>
      <c r="C113" s="29"/>
      <c r="D113" s="29" t="s">
        <v>123</v>
      </c>
      <c r="E113" s="30"/>
      <c r="F113" s="87"/>
      <c r="G113" s="87"/>
      <c r="H113" s="55">
        <v>0</v>
      </c>
      <c r="I113" s="55"/>
      <c r="J113" s="87"/>
      <c r="K113" s="87"/>
      <c r="L113" s="55">
        <v>0</v>
      </c>
      <c r="M113" s="55"/>
      <c r="N113" s="87"/>
      <c r="O113" s="87"/>
      <c r="P113" s="55"/>
      <c r="Q113" s="55"/>
      <c r="R113" s="87"/>
      <c r="S113" s="87"/>
      <c r="T113" s="55"/>
      <c r="U113" s="55"/>
      <c r="V113" s="87"/>
      <c r="W113" s="87"/>
      <c r="X113" s="55"/>
      <c r="Y113" s="55"/>
      <c r="Z113" s="87"/>
      <c r="AA113" s="87"/>
      <c r="AB113" s="55"/>
      <c r="AC113" s="55"/>
      <c r="AD113" s="87"/>
      <c r="AE113" s="87"/>
      <c r="AF113" s="55"/>
      <c r="AG113" s="55"/>
      <c r="AH113" s="55"/>
      <c r="AI113" s="55"/>
      <c r="AJ113" s="55">
        <f>AH113*AI113</f>
        <v>0</v>
      </c>
      <c r="AK113" s="55"/>
      <c r="AL113" s="55">
        <f>AH113*$AL$40</f>
        <v>0</v>
      </c>
      <c r="AM113" s="55">
        <f>AI113*$AM$40</f>
        <v>0</v>
      </c>
      <c r="AN113" s="55">
        <f>AL113*AM113</f>
        <v>0</v>
      </c>
      <c r="AO113" s="54"/>
      <c r="AP113" s="54"/>
      <c r="AQ113" s="85">
        <v>2</v>
      </c>
      <c r="AR113" s="85">
        <f>4700000*118%</f>
        <v>5546000</v>
      </c>
      <c r="AS113" s="80">
        <f>H113+L113+P113+T113+X113+AB113+AF113+AJ113+AN113</f>
        <v>0</v>
      </c>
      <c r="AT113" t="b">
        <f>(AQ113*AR113)=AS113</f>
        <v>0</v>
      </c>
      <c r="AU113" s="51"/>
      <c r="AV113" s="51"/>
      <c r="AW113" s="51">
        <f>AU113*AV113</f>
        <v>0</v>
      </c>
      <c r="AY113" s="51">
        <v>12</v>
      </c>
      <c r="AZ113" s="51">
        <f>AV113*$AZ$40</f>
        <v>0</v>
      </c>
      <c r="BA113" s="51">
        <f>AY113*AZ113</f>
        <v>0</v>
      </c>
      <c r="BC113" s="51">
        <v>12</v>
      </c>
      <c r="BD113" s="51">
        <f>AZ113*$BD$40</f>
        <v>0</v>
      </c>
      <c r="BE113" s="51">
        <f>BC113*BD113</f>
        <v>0</v>
      </c>
      <c r="BG113" s="51">
        <v>12</v>
      </c>
      <c r="BH113" s="51">
        <f>BD113*$BH$40</f>
        <v>0</v>
      </c>
      <c r="BI113" s="51">
        <f>BG113*BH113</f>
        <v>0</v>
      </c>
      <c r="BK113" s="51">
        <v>12</v>
      </c>
      <c r="BL113" s="51">
        <f>BH113*$BL$40</f>
        <v>0</v>
      </c>
      <c r="BM113" s="51">
        <f>BK113*BL113</f>
        <v>0</v>
      </c>
    </row>
    <row r="114" ht="18.75" customHeight="1" spans="2:65" x14ac:dyDescent="0.25">
      <c r="B114" s="5" t="s">
        <v>66</v>
      </c>
      <c r="C114" s="29"/>
      <c r="D114" s="29" t="s">
        <v>251</v>
      </c>
      <c r="E114" s="30"/>
      <c r="F114" s="55"/>
      <c r="G114" s="55"/>
      <c r="H114" s="55">
        <f t="shared" ref="H114:H115" si="136">F114*G114</f>
        <v>0</v>
      </c>
      <c r="I114" s="55"/>
      <c r="J114" s="55"/>
      <c r="K114" s="55"/>
      <c r="L114" s="55">
        <f t="shared" ref="L114:L115" si="137">J114*K114</f>
        <v>0</v>
      </c>
      <c r="M114" s="55"/>
      <c r="N114" s="55"/>
      <c r="O114" s="55"/>
      <c r="P114" s="55"/>
      <c r="Q114" s="55"/>
      <c r="R114" s="55"/>
      <c r="S114" s="55"/>
      <c r="T114" s="55"/>
      <c r="U114" s="55"/>
      <c r="V114" s="55"/>
      <c r="W114" s="55"/>
      <c r="X114" s="55"/>
      <c r="Y114" s="55"/>
      <c r="Z114" s="55"/>
      <c r="AA114" s="55"/>
      <c r="AB114" s="55"/>
      <c r="AC114" s="55"/>
      <c r="AD114" s="55"/>
      <c r="AE114" s="55"/>
      <c r="AF114" s="55"/>
      <c r="AG114" s="55"/>
      <c r="AH114" s="55"/>
      <c r="AI114" s="55"/>
      <c r="AJ114" s="55">
        <f t="shared" ref="AJ114:AJ115" si="138">AH114*AI114</f>
        <v>0</v>
      </c>
      <c r="AK114" s="55"/>
      <c r="AL114" s="55">
        <f>AH114*$AL$40</f>
        <v>0</v>
      </c>
      <c r="AM114" s="55">
        <f>AI114*$AM$40</f>
        <v>0</v>
      </c>
      <c r="AN114" s="55">
        <f t="shared" ref="AN114:AN115" si="139">AL114*AM114</f>
        <v>0</v>
      </c>
      <c r="AO114" s="54"/>
      <c r="AP114" s="54"/>
      <c r="AQ114" s="85">
        <f>SUMIF($F$6:$AO$6,$AQ$6,F114:AO114)</f>
        <v>0</v>
      </c>
      <c r="AR114" s="85">
        <f>SUMIF($F$6:$AO$6,$AR$6,F114:AO114)/AR85</f>
        <v>0</v>
      </c>
      <c r="AS114" s="80">
        <f>H114+L114+P114+T114+X114+AB114+AF114+AJ114+AN114</f>
        <v>0</v>
      </c>
      <c r="AT114" t="b">
        <f>(AQ114*AR114)=AS114</f>
        <v>1</v>
      </c>
      <c r="AU114" s="51">
        <v>12</v>
      </c>
      <c r="AV114" s="51">
        <v>693333.333333333</v>
      </c>
      <c r="AW114" s="51">
        <f>AU114*AV114</f>
        <v>8319999.999999996</v>
      </c>
      <c r="AY114" s="51">
        <f>AU114*$AY$40</f>
        <v>12</v>
      </c>
      <c r="AZ114" s="51">
        <f>AV114*AZ$111</f>
        <v>831999.9999999997</v>
      </c>
      <c r="BA114" s="51">
        <f>AY114*AZ114</f>
        <v>9983999.999999996</v>
      </c>
      <c r="BC114" s="51">
        <f>AY114*$AY$40</f>
        <v>12</v>
      </c>
      <c r="BD114" s="51">
        <f>AZ114*BD$111</f>
        <v>1039999.9999999995</v>
      </c>
      <c r="BE114" s="51">
        <f>BC114*BD114</f>
        <v>12479999.999999994</v>
      </c>
      <c r="BG114" s="51">
        <f>BC114*$AY$40</f>
        <v>12</v>
      </c>
      <c r="BH114" s="51">
        <f>BD114*BH$111</f>
        <v>1195999.9999999993</v>
      </c>
      <c r="BI114" s="51">
        <f>BG114*BH114</f>
        <v>14351999.999999993</v>
      </c>
      <c r="BK114" s="51">
        <f>BG114*$AY$40</f>
        <v>12</v>
      </c>
      <c r="BL114" s="51">
        <f>BH114*BL$111</f>
        <v>1435199.999999999</v>
      </c>
      <c r="BM114" s="51">
        <f>BK114*BL114</f>
        <v>17222399.99999999</v>
      </c>
    </row>
    <row r="115" ht="18.75" customHeight="1" spans="2:65" x14ac:dyDescent="0.25">
      <c r="B115" s="5" t="s">
        <v>67</v>
      </c>
      <c r="C115" s="29"/>
      <c r="D115" s="29" t="s">
        <v>252</v>
      </c>
      <c r="E115" s="30"/>
      <c r="F115" s="55"/>
      <c r="G115" s="55"/>
      <c r="H115" s="55">
        <f t="shared" si="136"/>
        <v>0</v>
      </c>
      <c r="I115" s="55"/>
      <c r="J115" s="55"/>
      <c r="K115" s="55"/>
      <c r="L115" s="55">
        <f t="shared" si="137"/>
        <v>0</v>
      </c>
      <c r="M115" s="55"/>
      <c r="N115" s="55"/>
      <c r="O115" s="55"/>
      <c r="P115" s="55"/>
      <c r="Q115" s="55"/>
      <c r="R115" s="55"/>
      <c r="S115" s="55"/>
      <c r="T115" s="55"/>
      <c r="U115" s="55"/>
      <c r="V115" s="55"/>
      <c r="W115" s="55"/>
      <c r="X115" s="55"/>
      <c r="Y115" s="55"/>
      <c r="Z115" s="55"/>
      <c r="AA115" s="55"/>
      <c r="AB115" s="55"/>
      <c r="AC115" s="55"/>
      <c r="AD115" s="55"/>
      <c r="AE115" s="55"/>
      <c r="AF115" s="55"/>
      <c r="AG115" s="55"/>
      <c r="AH115" s="55"/>
      <c r="AI115" s="55"/>
      <c r="AJ115" s="55">
        <f t="shared" si="138"/>
        <v>0</v>
      </c>
      <c r="AK115" s="55"/>
      <c r="AL115" s="55">
        <f>AH115*$AL$40</f>
        <v>0</v>
      </c>
      <c r="AM115" s="55">
        <f>AI115*$AM$40</f>
        <v>0</v>
      </c>
      <c r="AN115" s="55">
        <f t="shared" si="139"/>
        <v>0</v>
      </c>
      <c r="AO115" s="54"/>
      <c r="AP115" s="54"/>
      <c r="AQ115" s="85">
        <f>SUMIF($F$6:$AO$6,$AQ$6,F115:AO115)</f>
        <v>0</v>
      </c>
      <c r="AR115" s="85">
        <f>SUMIF($F$6:$AO$6,$AR$6,F115:AO115)/AR85</f>
        <v>0</v>
      </c>
      <c r="AS115" s="80">
        <f>H115+L115+P115+T115+X115+AB115+AF115+AJ115+AN115</f>
        <v>0</v>
      </c>
      <c r="AT115" t="b">
        <f>(AQ115*AR115)=AS115</f>
        <v>1</v>
      </c>
      <c r="AU115" s="51">
        <v>12</v>
      </c>
      <c r="AV115" s="51">
        <v>770688</v>
      </c>
      <c r="AW115" s="51">
        <f>AU115*AV115</f>
        <v>9248256</v>
      </c>
      <c r="AY115" s="51">
        <f>AU115*$AY$40</f>
        <v>12</v>
      </c>
      <c r="AZ115" s="51">
        <f>AV115*AZ$111</f>
        <v>924825.6</v>
      </c>
      <c r="BA115" s="51">
        <f>AY115*AZ115</f>
        <v>11097907.2</v>
      </c>
      <c r="BC115" s="51">
        <f>AY115*$AY$40</f>
        <v>12</v>
      </c>
      <c r="BD115" s="51">
        <f>AZ115*BD$111</f>
        <v>1156032</v>
      </c>
      <c r="BE115" s="51">
        <f>BC115*BD115</f>
        <v>13872384</v>
      </c>
      <c r="BG115" s="51">
        <f>BC115*$AY$40</f>
        <v>12</v>
      </c>
      <c r="BH115" s="51">
        <f>BD115*BH$111</f>
        <v>1329436.7999999998</v>
      </c>
      <c r="BI115" s="51">
        <f>BG115*BH115</f>
        <v>15953241.599999998</v>
      </c>
      <c r="BK115" s="51">
        <f>BG115*$AY$40</f>
        <v>12</v>
      </c>
      <c r="BL115" s="51">
        <f>BH115*BL$111</f>
        <v>1595324.1599999997</v>
      </c>
      <c r="BM115" s="51">
        <f>BK115*BL115</f>
        <v>19143889.919999994</v>
      </c>
    </row>
    <row r="116" ht="18.75" customHeight="1" spans="2:65" x14ac:dyDescent="0.25">
      <c r="B116" s="5" t="s">
        <v>67</v>
      </c>
      <c r="C116" s="29"/>
      <c r="D116" s="29" t="s">
        <v>271</v>
      </c>
      <c r="E116" s="30"/>
      <c r="F116" s="55"/>
      <c r="G116" s="55"/>
      <c r="H116" s="55"/>
      <c r="I116" s="55"/>
      <c r="J116" s="55"/>
      <c r="K116" s="55"/>
      <c r="L116" s="55"/>
      <c r="M116" s="55"/>
      <c r="N116" s="55"/>
      <c r="O116" s="55"/>
      <c r="P116" s="55"/>
      <c r="Q116" s="55"/>
      <c r="R116" s="55"/>
      <c r="S116" s="55"/>
      <c r="T116" s="55"/>
      <c r="U116" s="55"/>
      <c r="V116" s="55"/>
      <c r="W116" s="55"/>
      <c r="X116" s="55"/>
      <c r="Y116" s="55"/>
      <c r="Z116" s="55"/>
      <c r="AA116" s="55"/>
      <c r="AB116" s="55"/>
      <c r="AC116" s="55"/>
      <c r="AD116" s="55"/>
      <c r="AE116" s="55"/>
      <c r="AF116" s="55"/>
      <c r="AG116" s="55"/>
      <c r="AH116" s="55"/>
      <c r="AI116" s="55"/>
      <c r="AJ116" s="55"/>
      <c r="AK116" s="55"/>
      <c r="AL116" s="55"/>
      <c r="AM116" s="55"/>
      <c r="AN116" s="55"/>
      <c r="AO116" s="54"/>
      <c r="AP116" s="54"/>
      <c r="AQ116" s="85"/>
      <c r="AR116" s="85"/>
      <c r="AS116" s="80"/>
      <c r="AU116" s="51">
        <v>12</v>
      </c>
      <c r="AV116" s="51">
        <v>1350000</v>
      </c>
      <c r="AW116" s="51">
        <f>AU116*AV116</f>
        <v>16200000</v>
      </c>
      <c r="AY116" s="51">
        <f>AU116*$AY$40</f>
        <v>12</v>
      </c>
      <c r="AZ116" s="51">
        <f>AV116*AZ$111</f>
        <v>1620000</v>
      </c>
      <c r="BA116" s="51">
        <f>AY116*AZ116</f>
        <v>19440000</v>
      </c>
      <c r="BC116" s="51">
        <f>AY116*$AY$40</f>
        <v>12</v>
      </c>
      <c r="BD116" s="51">
        <f>AZ116*BD$111</f>
        <v>2025000</v>
      </c>
      <c r="BE116" s="51">
        <f>BC116*BD116</f>
        <v>24300000</v>
      </c>
      <c r="BG116" s="51">
        <f>BC116*$AY$40</f>
        <v>12</v>
      </c>
      <c r="BH116" s="51">
        <f>BD116*BH$111</f>
        <v>2328750</v>
      </c>
      <c r="BI116" s="51">
        <f>BG116*BH116</f>
        <v>27945000</v>
      </c>
      <c r="BK116" s="51">
        <f>BG116*$AY$40</f>
        <v>12</v>
      </c>
      <c r="BL116" s="51">
        <f>BH116*BL$111</f>
        <v>2794500</v>
      </c>
      <c r="BM116" s="51">
        <f>BK116*BL116</f>
        <v>33534000</v>
      </c>
    </row>
    <row r="117" ht="18.75" customHeight="1" spans="2:65" x14ac:dyDescent="0.25">
      <c r="B117" s="5" t="s">
        <v>68</v>
      </c>
      <c r="C117" s="29"/>
      <c r="D117" s="29"/>
      <c r="E117" s="30"/>
      <c r="F117" s="55"/>
      <c r="G117" s="55"/>
      <c r="H117" s="55"/>
      <c r="I117" s="55"/>
      <c r="J117" s="55"/>
      <c r="K117" s="55"/>
      <c r="L117" s="55"/>
      <c r="M117" s="55"/>
      <c r="N117" s="55"/>
      <c r="O117" s="55"/>
      <c r="P117" s="55"/>
      <c r="Q117" s="55"/>
      <c r="R117" s="55"/>
      <c r="S117" s="55"/>
      <c r="T117" s="55"/>
      <c r="U117" s="55"/>
      <c r="V117" s="55"/>
      <c r="W117" s="55"/>
      <c r="X117" s="55"/>
      <c r="Y117" s="55"/>
      <c r="Z117" s="55"/>
      <c r="AA117" s="55"/>
      <c r="AB117" s="55"/>
      <c r="AC117" s="55"/>
      <c r="AD117" s="55"/>
      <c r="AE117" s="55"/>
      <c r="AF117" s="55"/>
      <c r="AG117" s="55"/>
      <c r="AH117" s="55"/>
      <c r="AI117" s="55"/>
      <c r="AJ117" s="55"/>
      <c r="AK117" s="55"/>
      <c r="AL117" s="55"/>
      <c r="AM117" s="55"/>
      <c r="AN117" s="55"/>
      <c r="AO117" s="54"/>
      <c r="AP117" s="54"/>
      <c r="AQ117" s="54"/>
      <c r="AR117" s="54"/>
      <c r="AS117" s="80">
        <f t="shared" ref="AS117" si="140">G117*12</f>
        <v>0</v>
      </c>
      <c r="AU117" s="51"/>
      <c r="AV117" s="51"/>
      <c r="AW117" s="51"/>
      <c r="AY117" s="51"/>
      <c r="AZ117" s="51"/>
      <c r="BA117" s="51"/>
      <c r="BC117" s="51"/>
      <c r="BD117" s="51"/>
      <c r="BE117" s="51"/>
      <c r="BG117" s="51"/>
      <c r="BH117" s="51"/>
      <c r="BI117" s="51"/>
      <c r="BK117" s="51"/>
      <c r="BL117" s="51"/>
      <c r="BM117" s="51"/>
    </row>
    <row r="118" ht="18.75" customHeight="1" spans="2:65" x14ac:dyDescent="0.25">
      <c r="B118" s="34" t="s">
        <v>58</v>
      </c>
      <c r="C118" s="34"/>
      <c r="D118" s="34"/>
      <c r="E118" s="30"/>
      <c r="F118" s="81">
        <f>SUM(F112:F117)</f>
        <v>0</v>
      </c>
      <c r="G118" s="81"/>
      <c r="H118" s="81">
        <f>SUM(H112:H117)</f>
        <v>0</v>
      </c>
      <c r="I118" s="81"/>
      <c r="J118" s="81">
        <f>SUM(J112:J117)</f>
        <v>0</v>
      </c>
      <c r="K118" s="81"/>
      <c r="L118" s="81">
        <f>SUM(L112:L117)</f>
        <v>0</v>
      </c>
      <c r="M118" s="81"/>
      <c r="N118" s="81">
        <f>SUM(N112:N117)</f>
        <v>0</v>
      </c>
      <c r="O118" s="81"/>
      <c r="P118" s="81">
        <f>SUM(P112:P117)</f>
        <v>0</v>
      </c>
      <c r="Q118" s="81"/>
      <c r="R118" s="81">
        <f>SUM(R112:R117)</f>
        <v>0</v>
      </c>
      <c r="S118" s="81"/>
      <c r="T118" s="81">
        <f>SUM(T112:T117)</f>
        <v>0</v>
      </c>
      <c r="U118" s="81"/>
      <c r="V118" s="81">
        <f>SUM(V112:V117)</f>
        <v>0</v>
      </c>
      <c r="W118" s="81"/>
      <c r="X118" s="81">
        <f>SUM(X112:X117)</f>
        <v>0</v>
      </c>
      <c r="Y118" s="81"/>
      <c r="Z118" s="81">
        <f>SUM(Z112:Z117)</f>
        <v>0</v>
      </c>
      <c r="AA118" s="81"/>
      <c r="AB118" s="81">
        <f>SUM(AB112:AB117)</f>
        <v>0</v>
      </c>
      <c r="AC118" s="81"/>
      <c r="AD118" s="81">
        <f>SUM(AD112:AD117)</f>
        <v>0</v>
      </c>
      <c r="AE118" s="81"/>
      <c r="AF118" s="81">
        <f>SUM(AF112:AF117)</f>
        <v>0</v>
      </c>
      <c r="AG118" s="81"/>
      <c r="AH118" s="81">
        <f>SUM(AH112:AH117)</f>
        <v>0</v>
      </c>
      <c r="AI118" s="81"/>
      <c r="AJ118" s="81">
        <f>SUM(AJ112:AJ117)</f>
        <v>0</v>
      </c>
      <c r="AK118" s="81"/>
      <c r="AL118" s="81">
        <f>SUM(AL112:AL117)</f>
        <v>0</v>
      </c>
      <c r="AM118" s="81"/>
      <c r="AN118" s="81">
        <f>SUM(AN112:AN117)</f>
        <v>0</v>
      </c>
      <c r="AO118" s="81"/>
      <c r="AP118" s="81"/>
      <c r="AQ118" s="81">
        <f>SUM(AQ112:AQ117)</f>
        <v>2</v>
      </c>
      <c r="AR118" s="81"/>
      <c r="AS118" s="81">
        <f>SUM(AS112:AS117)</f>
        <v>0</v>
      </c>
      <c r="AT118" s="9"/>
      <c r="AU118" s="81">
        <f>SUM(AU112:AU117)</f>
        <v>36</v>
      </c>
      <c r="AV118" s="81"/>
      <c r="AW118" s="81">
        <f>SUM(AW112:AW117)</f>
        <v>33768256</v>
      </c>
      <c r="AX118" s="9"/>
      <c r="AY118" s="81">
        <f>SUM(AY112:AY117)</f>
        <v>48</v>
      </c>
      <c r="AZ118" s="81"/>
      <c r="BA118" s="81">
        <f>SUM(BA112:BA117)</f>
        <v>40521907.199999996</v>
      </c>
      <c r="BB118" s="9"/>
      <c r="BC118" s="81">
        <f>SUM(BC112:BC117)</f>
        <v>48</v>
      </c>
      <c r="BD118" s="81"/>
      <c r="BE118" s="81">
        <f>SUM(BE112:BE117)</f>
        <v>50652383.99999999</v>
      </c>
      <c r="BF118" s="9"/>
      <c r="BG118" s="81">
        <f>SUM(BG112:BG117)</f>
        <v>48</v>
      </c>
      <c r="BH118" s="81"/>
      <c r="BI118" s="81">
        <f>SUM(BI112:BI117)</f>
        <v>58250241.599999994</v>
      </c>
      <c r="BJ118" s="9"/>
      <c r="BK118" s="81">
        <f>SUM(BK112:BK117)</f>
        <v>48</v>
      </c>
      <c r="BL118" s="81"/>
      <c r="BM118" s="81">
        <f>SUM(BM112:BM117)</f>
        <v>69900289.91999999</v>
      </c>
    </row>
    <row r="119" ht="18.75" customHeight="1" spans="2:65" x14ac:dyDescent="0.25">
      <c r="B119" s="9"/>
      <c r="C119" s="30"/>
      <c r="D119" s="30"/>
      <c r="E119" s="30"/>
      <c r="F119" s="54"/>
      <c r="G119" s="54"/>
      <c r="H119" s="54"/>
      <c r="I119" s="54"/>
      <c r="J119" s="54"/>
      <c r="K119" s="54"/>
      <c r="L119" s="54"/>
      <c r="M119" s="54"/>
      <c r="N119" s="54"/>
      <c r="O119" s="54"/>
      <c r="P119" s="54"/>
      <c r="Q119" s="54"/>
      <c r="R119" s="54"/>
      <c r="S119" s="54"/>
      <c r="T119" s="54"/>
      <c r="U119" s="54"/>
      <c r="V119" s="54"/>
      <c r="W119" s="54"/>
      <c r="X119" s="54"/>
      <c r="Y119" s="54"/>
      <c r="Z119" s="54"/>
      <c r="AA119" s="54"/>
      <c r="AB119" s="54"/>
      <c r="AC119" s="54"/>
      <c r="AD119" s="54"/>
      <c r="AE119" s="54"/>
      <c r="AF119" s="54"/>
      <c r="AG119" s="54"/>
      <c r="AH119" s="54"/>
      <c r="AI119" s="54"/>
      <c r="AJ119" s="54"/>
      <c r="AK119" s="54"/>
      <c r="AL119" s="54"/>
      <c r="AM119" s="54"/>
      <c r="AN119" s="54"/>
      <c r="AO119" s="54"/>
      <c r="AP119" s="54"/>
      <c r="AQ119" s="54"/>
      <c r="AR119" s="54"/>
      <c r="AS119" s="54"/>
      <c r="AU119" s="54"/>
      <c r="AV119" s="54"/>
      <c r="AW119" s="54"/>
      <c r="AY119" s="54"/>
      <c r="AZ119" s="54"/>
      <c r="BA119" s="54"/>
      <c r="BC119" s="54"/>
      <c r="BD119" s="54"/>
      <c r="BE119" s="54"/>
      <c r="BG119" s="54"/>
      <c r="BH119" s="54"/>
      <c r="BI119" s="54"/>
      <c r="BK119" s="54"/>
      <c r="BL119" s="54"/>
      <c r="BM119" s="54"/>
    </row>
    <row r="120" ht="18.75" customHeight="1" spans="2:65" x14ac:dyDescent="0.25">
      <c r="B120" s="9"/>
      <c r="C120" s="30"/>
      <c r="D120" s="28"/>
      <c r="E120" s="28"/>
      <c r="F120" s="28"/>
      <c r="G120" s="54"/>
      <c r="H120" s="82">
        <v>0.25</v>
      </c>
      <c r="I120" s="54"/>
      <c r="J120" s="78">
        <f>$J$8</f>
        <v>1</v>
      </c>
      <c r="K120" s="78">
        <f>$K$8</f>
        <v>1</v>
      </c>
      <c r="L120" s="82">
        <v>0.25</v>
      </c>
      <c r="M120" s="77"/>
      <c r="N120" s="78">
        <f>$N$8</f>
        <v>1</v>
      </c>
      <c r="O120" s="78">
        <f>$O$8</f>
        <v>1</v>
      </c>
      <c r="P120" s="82">
        <v>0.25</v>
      </c>
      <c r="Q120" s="77"/>
      <c r="R120" s="78">
        <f>$R$8</f>
        <v>1</v>
      </c>
      <c r="S120" s="78">
        <f>$S$8</f>
        <v>1</v>
      </c>
      <c r="T120" s="82">
        <v>0.25</v>
      </c>
      <c r="U120" s="77"/>
      <c r="V120" s="78">
        <f>$V$8</f>
        <v>1</v>
      </c>
      <c r="W120" s="78">
        <f>$W$8</f>
        <v>1</v>
      </c>
      <c r="X120" s="82">
        <v>0.25</v>
      </c>
      <c r="Y120" s="77"/>
      <c r="Z120" s="78">
        <f>$Z$8</f>
        <v>1</v>
      </c>
      <c r="AA120" s="78">
        <f>$AA$8</f>
        <v>1</v>
      </c>
      <c r="AB120" s="82">
        <v>0.25</v>
      </c>
      <c r="AC120" s="77"/>
      <c r="AD120" s="78">
        <f>$AD$8</f>
        <v>1</v>
      </c>
      <c r="AE120" s="78">
        <f>$AE$8</f>
        <v>1</v>
      </c>
      <c r="AF120" s="82">
        <v>0.25</v>
      </c>
      <c r="AG120" s="77"/>
      <c r="AH120" s="78">
        <f>$AH$8</f>
        <v>1</v>
      </c>
      <c r="AI120" s="78">
        <f>$AI$8</f>
        <v>1</v>
      </c>
      <c r="AJ120" s="82">
        <v>0.25</v>
      </c>
      <c r="AK120" s="77"/>
      <c r="AL120" s="78">
        <f>$AL$8</f>
        <v>1</v>
      </c>
      <c r="AM120" s="78">
        <f>$AM$8</f>
        <v>1</v>
      </c>
      <c r="AN120" s="82">
        <v>0.25</v>
      </c>
      <c r="AO120" s="77"/>
      <c r="AP120" s="54"/>
      <c r="AQ120" s="54"/>
      <c r="AR120" s="54"/>
      <c r="AS120" s="54"/>
      <c r="AU120" s="78">
        <f>$AU$8</f>
        <v>1.25</v>
      </c>
      <c r="AV120" s="78">
        <f>$AV$8</f>
        <v>1.2</v>
      </c>
      <c r="AW120" s="82">
        <v>0.35</v>
      </c>
      <c r="AY120" s="78">
        <f>$AY$8</f>
        <v>1.2</v>
      </c>
      <c r="AZ120" s="78">
        <f>$AZ$8</f>
        <v>1.2</v>
      </c>
      <c r="BA120" s="82">
        <v>0.4</v>
      </c>
      <c r="BB120" s="28"/>
      <c r="BC120" s="78">
        <f>$BC$8</f>
        <v>1.2</v>
      </c>
      <c r="BD120" s="78">
        <f>$BD$8</f>
        <v>1.25</v>
      </c>
      <c r="BE120" s="82">
        <v>0.32</v>
      </c>
      <c r="BF120" s="28"/>
      <c r="BG120" s="78">
        <f>$BG$8</f>
        <v>1.25</v>
      </c>
      <c r="BH120" s="78">
        <f>$BH$8</f>
        <v>1.25</v>
      </c>
      <c r="BI120" s="82">
        <v>0.3</v>
      </c>
      <c r="BJ120" s="28"/>
      <c r="BK120" s="78">
        <f>$BK$8</f>
        <v>1.15</v>
      </c>
      <c r="BL120" s="78">
        <f>$BL$8</f>
        <v>1.2</v>
      </c>
      <c r="BM120" s="82">
        <v>0.25</v>
      </c>
    </row>
    <row r="121" ht="18.75" customHeight="1" spans="2:65" x14ac:dyDescent="0.25">
      <c r="B121" s="5">
        <v>4</v>
      </c>
      <c r="C121" s="29" t="s">
        <v>130</v>
      </c>
      <c r="D121" s="27"/>
      <c r="E121" s="28"/>
      <c r="F121" s="55"/>
      <c r="G121" s="55"/>
      <c r="H121" s="55"/>
      <c r="I121" s="55"/>
      <c r="J121" s="55"/>
      <c r="K121" s="55"/>
      <c r="L121" s="55"/>
      <c r="M121" s="55"/>
      <c r="N121" s="55"/>
      <c r="O121" s="55"/>
      <c r="P121" s="55"/>
      <c r="Q121" s="55"/>
      <c r="R121" s="55"/>
      <c r="S121" s="55"/>
      <c r="T121" s="55"/>
      <c r="U121" s="55"/>
      <c r="V121" s="55"/>
      <c r="W121" s="55"/>
      <c r="X121" s="55"/>
      <c r="Y121" s="55"/>
      <c r="Z121" s="55"/>
      <c r="AA121" s="55"/>
      <c r="AB121" s="55"/>
      <c r="AC121" s="55"/>
      <c r="AD121" s="55"/>
      <c r="AE121" s="55"/>
      <c r="AF121" s="55"/>
      <c r="AG121" s="55"/>
      <c r="AH121" s="55"/>
      <c r="AI121" s="55"/>
      <c r="AJ121" s="55"/>
      <c r="AK121" s="55"/>
      <c r="AL121" s="55"/>
      <c r="AM121" s="55"/>
      <c r="AN121" s="55"/>
      <c r="AO121" s="54"/>
      <c r="AP121" s="54"/>
      <c r="AQ121" s="54"/>
      <c r="AR121" s="54"/>
      <c r="AS121" s="54"/>
      <c r="AU121" s="51"/>
      <c r="AV121" s="51"/>
      <c r="AW121" s="51"/>
      <c r="AY121" s="51"/>
      <c r="AZ121" s="51"/>
      <c r="BA121" s="51"/>
      <c r="BC121" s="51"/>
      <c r="BD121" s="51"/>
      <c r="BE121" s="51"/>
      <c r="BG121" s="51"/>
      <c r="BH121" s="51"/>
      <c r="BI121" s="51"/>
      <c r="BK121" s="51"/>
      <c r="BL121" s="51"/>
      <c r="BM121" s="51"/>
    </row>
    <row r="122" ht="18.75" customHeight="1" spans="2:65" x14ac:dyDescent="0.25">
      <c r="B122" s="5" t="s">
        <v>70</v>
      </c>
      <c r="C122" s="27"/>
      <c r="D122" s="27" t="s">
        <v>254</v>
      </c>
      <c r="E122" s="30"/>
      <c r="F122" s="55"/>
      <c r="G122" s="55"/>
      <c r="H122" s="55">
        <f t="shared" ref="H122:H127" si="141">F122*G122</f>
        <v>0</v>
      </c>
      <c r="I122" s="55"/>
      <c r="J122" s="55">
        <f>F122*$J$49</f>
        <v>0</v>
      </c>
      <c r="K122" s="55">
        <f>G122*$K$49</f>
        <v>0</v>
      </c>
      <c r="L122" s="55">
        <f t="shared" ref="L122:L127" si="142">J122*K122</f>
        <v>0</v>
      </c>
      <c r="M122" s="55"/>
      <c r="N122" s="55">
        <f>J122*$N$49</f>
        <v>0</v>
      </c>
      <c r="O122" s="55">
        <f>K122*$O$49</f>
        <v>0</v>
      </c>
      <c r="P122" s="55">
        <f t="shared" ref="P122:P127" si="143">N122*O122</f>
        <v>0</v>
      </c>
      <c r="Q122" s="55"/>
      <c r="R122" s="55">
        <f>N122*$R$49</f>
        <v>0</v>
      </c>
      <c r="S122" s="55">
        <f>O122*$S$49</f>
        <v>0</v>
      </c>
      <c r="T122" s="55">
        <f t="shared" ref="T122:T127" si="144">R122*S122</f>
        <v>0</v>
      </c>
      <c r="U122" s="55"/>
      <c r="V122" s="55">
        <f>R122*$V$49</f>
        <v>0</v>
      </c>
      <c r="W122" s="55">
        <f>S122*$W$49</f>
        <v>0</v>
      </c>
      <c r="X122" s="55">
        <f t="shared" ref="X122:X127" si="145">V122*W122</f>
        <v>0</v>
      </c>
      <c r="Y122" s="55"/>
      <c r="Z122" s="55">
        <f>V122*$Z$49</f>
        <v>0</v>
      </c>
      <c r="AA122" s="55">
        <f>W122*$AA$49</f>
        <v>0</v>
      </c>
      <c r="AB122" s="55">
        <f t="shared" ref="AB122:AB127" si="146">Z122*AA122</f>
        <v>0</v>
      </c>
      <c r="AC122" s="55"/>
      <c r="AD122" s="55">
        <f>Z122*$AD$49</f>
        <v>0</v>
      </c>
      <c r="AE122" s="55">
        <f>AA122*$AE$49</f>
        <v>0</v>
      </c>
      <c r="AF122" s="55">
        <f t="shared" ref="AF122:AF127" si="147">AD122*AE122</f>
        <v>0</v>
      </c>
      <c r="AG122" s="55"/>
      <c r="AH122" s="55">
        <f>AD122*$AH$49</f>
        <v>0</v>
      </c>
      <c r="AI122" s="55">
        <f>AE122*$AI$49</f>
        <v>0</v>
      </c>
      <c r="AJ122" s="55">
        <f t="shared" ref="AJ122:AJ127" si="148">AH122*AI122</f>
        <v>0</v>
      </c>
      <c r="AK122" s="55"/>
      <c r="AL122" s="55">
        <f>AH122*$AL$49</f>
        <v>0</v>
      </c>
      <c r="AM122" s="55">
        <f>AI122*$AM$49</f>
        <v>0</v>
      </c>
      <c r="AN122" s="55">
        <f t="shared" ref="AN122:AN127" si="149">AL122*AM122</f>
        <v>0</v>
      </c>
      <c r="AO122" s="54"/>
      <c r="AP122" s="54"/>
      <c r="AQ122" s="85"/>
      <c r="AR122" s="85"/>
      <c r="AS122" s="80">
        <f t="shared" ref="AS122:AS128" si="150">SUMIF($F$6:$AN$6,$AS$6,F122:AN122)</f>
        <v>0</v>
      </c>
      <c r="AT122" t="b">
        <f>(AQ122*AR122)=AS122</f>
        <v>1</v>
      </c>
      <c r="AU122" s="51">
        <f>80*12</f>
        <v>960</v>
      </c>
      <c r="AV122" s="51">
        <v>20000</v>
      </c>
      <c r="AW122" s="51">
        <f>AU122*AV122</f>
        <v>19200000</v>
      </c>
      <c r="AY122" s="88">
        <f t="shared" ref="AY122:AY127" si="151">AU122*$AY$120</f>
        <v>1152</v>
      </c>
      <c r="AZ122" s="51">
        <f t="shared" ref="AZ122:AZ127" si="152">AV122*$AZ$120</f>
        <v>24000</v>
      </c>
      <c r="BA122" s="51">
        <f>AY122*AZ122</f>
        <v>27648000</v>
      </c>
      <c r="BC122" s="88">
        <f>AY122*$BC$120</f>
        <v>1382.3999999999999</v>
      </c>
      <c r="BD122" s="51">
        <f>AZ122*$BD$120</f>
        <v>30000</v>
      </c>
      <c r="BE122" s="51">
        <f>BC122*BD122</f>
        <v>41471999.99999999</v>
      </c>
      <c r="BG122" s="88">
        <f>BC122*$BG$120</f>
        <v>1727.9999999999998</v>
      </c>
      <c r="BH122" s="51">
        <f>BD122*$BH$120</f>
        <v>37500</v>
      </c>
      <c r="BI122" s="51">
        <f>BG122*BH122</f>
        <v>64799999.99999999</v>
      </c>
      <c r="BK122" s="51">
        <f>BG122*$BK$120</f>
        <v>1987.1999999999996</v>
      </c>
      <c r="BL122" s="51">
        <f>BH122*$BL$120</f>
        <v>45000</v>
      </c>
      <c r="BM122" s="51">
        <f>BL122*BK122</f>
        <v>89423999.99999999</v>
      </c>
    </row>
    <row r="123" ht="18.75" customHeight="1" spans="2:65" x14ac:dyDescent="0.25">
      <c r="B123" s="5" t="s">
        <v>71</v>
      </c>
      <c r="C123" s="27"/>
      <c r="D123" s="27" t="s">
        <v>255</v>
      </c>
      <c r="E123" s="30"/>
      <c r="F123" s="55"/>
      <c r="G123" s="55"/>
      <c r="H123" s="55">
        <f t="shared" si="141"/>
        <v>0</v>
      </c>
      <c r="I123" s="55"/>
      <c r="J123" s="55"/>
      <c r="K123" s="55"/>
      <c r="L123" s="55">
        <f t="shared" si="142"/>
        <v>0</v>
      </c>
      <c r="M123" s="55"/>
      <c r="N123" s="55"/>
      <c r="O123" s="55"/>
      <c r="P123" s="55">
        <f t="shared" si="143"/>
        <v>0</v>
      </c>
      <c r="Q123" s="55"/>
      <c r="R123" s="55"/>
      <c r="S123" s="55"/>
      <c r="T123" s="55">
        <f t="shared" si="144"/>
        <v>0</v>
      </c>
      <c r="U123" s="55"/>
      <c r="V123" s="55"/>
      <c r="W123" s="55"/>
      <c r="X123" s="55">
        <f t="shared" si="145"/>
        <v>0</v>
      </c>
      <c r="Y123" s="55"/>
      <c r="Z123" s="55"/>
      <c r="AA123" s="55"/>
      <c r="AB123" s="55">
        <f t="shared" si="146"/>
        <v>0</v>
      </c>
      <c r="AC123" s="55"/>
      <c r="AD123" s="55"/>
      <c r="AE123" s="55"/>
      <c r="AF123" s="55">
        <f t="shared" si="147"/>
        <v>0</v>
      </c>
      <c r="AG123" s="55"/>
      <c r="AH123" s="55"/>
      <c r="AI123" s="55"/>
      <c r="AJ123" s="55">
        <f t="shared" si="148"/>
        <v>0</v>
      </c>
      <c r="AK123" s="55"/>
      <c r="AL123" s="55"/>
      <c r="AM123" s="55"/>
      <c r="AN123" s="55">
        <f t="shared" si="149"/>
        <v>0</v>
      </c>
      <c r="AO123" s="54"/>
      <c r="AP123" s="54"/>
      <c r="AQ123" s="85"/>
      <c r="AR123" s="85"/>
      <c r="AS123" s="80">
        <f t="shared" si="150"/>
        <v>0</v>
      </c>
      <c r="AU123" s="51">
        <f>25*12</f>
        <v>300</v>
      </c>
      <c r="AV123" s="51">
        <v>14000</v>
      </c>
      <c r="AW123" s="51">
        <f t="shared" ref="AW123:AW127" si="153">AU123*AV123</f>
        <v>4200000</v>
      </c>
      <c r="AY123" s="88">
        <f t="shared" si="151"/>
        <v>360</v>
      </c>
      <c r="AZ123" s="51">
        <f t="shared" si="152"/>
        <v>16800</v>
      </c>
      <c r="BA123" s="51">
        <f t="shared" ref="BA123:BA127" si="154">AY123*AZ123</f>
        <v>6048000</v>
      </c>
      <c r="BC123" s="88">
        <f t="shared" ref="BC123:BC128" si="155">AY123*$BC$120</f>
        <v>432</v>
      </c>
      <c r="BD123" s="51">
        <f t="shared" ref="BD123:BD128" si="156">AZ123*$BD$120</f>
        <v>21000</v>
      </c>
      <c r="BE123" s="51">
        <f t="shared" ref="BE123:BE128" si="157">BC123*BD123</f>
        <v>9072000</v>
      </c>
      <c r="BG123" s="88">
        <f t="shared" ref="BG123:BG128" si="158">BC123*$BG$120</f>
        <v>540</v>
      </c>
      <c r="BH123" s="51">
        <f t="shared" ref="BH123:BH128" si="159">BD123*$BH$120</f>
        <v>26250</v>
      </c>
      <c r="BI123" s="51">
        <f t="shared" ref="BI123:BI128" si="160">BG123*BH123</f>
        <v>14175000</v>
      </c>
      <c r="BK123" s="51">
        <f t="shared" ref="BK123:BK128" si="161">BG123*$BK$120</f>
        <v>621</v>
      </c>
      <c r="BL123" s="51">
        <f t="shared" ref="BL123:BL128" si="162">BH123*$BL$120</f>
        <v>31500</v>
      </c>
      <c r="BM123" s="51">
        <f t="shared" ref="BM123:BM128" si="163">BL123*BK123</f>
        <v>19561500</v>
      </c>
    </row>
    <row r="124" ht="18.75" customHeight="1" spans="2:65" x14ac:dyDescent="0.25">
      <c r="B124" s="5" t="s">
        <v>72</v>
      </c>
      <c r="C124" s="27"/>
      <c r="D124" s="27" t="s">
        <v>256</v>
      </c>
      <c r="E124" s="30"/>
      <c r="F124" s="55"/>
      <c r="G124" s="55"/>
      <c r="H124" s="55">
        <f t="shared" si="141"/>
        <v>0</v>
      </c>
      <c r="I124" s="55"/>
      <c r="J124" s="55"/>
      <c r="K124" s="55"/>
      <c r="L124" s="55">
        <f t="shared" si="142"/>
        <v>0</v>
      </c>
      <c r="M124" s="55"/>
      <c r="N124" s="55"/>
      <c r="O124" s="55"/>
      <c r="P124" s="55">
        <f t="shared" si="143"/>
        <v>0</v>
      </c>
      <c r="Q124" s="55"/>
      <c r="R124" s="55"/>
      <c r="S124" s="55"/>
      <c r="T124" s="55">
        <f t="shared" si="144"/>
        <v>0</v>
      </c>
      <c r="U124" s="55"/>
      <c r="V124" s="55"/>
      <c r="W124" s="55"/>
      <c r="X124" s="55">
        <f t="shared" si="145"/>
        <v>0</v>
      </c>
      <c r="Y124" s="55"/>
      <c r="Z124" s="55"/>
      <c r="AA124" s="55"/>
      <c r="AB124" s="55">
        <f t="shared" si="146"/>
        <v>0</v>
      </c>
      <c r="AC124" s="55"/>
      <c r="AD124" s="55"/>
      <c r="AE124" s="55"/>
      <c r="AF124" s="55">
        <f t="shared" si="147"/>
        <v>0</v>
      </c>
      <c r="AG124" s="55"/>
      <c r="AH124" s="55"/>
      <c r="AI124" s="55"/>
      <c r="AJ124" s="55">
        <f t="shared" si="148"/>
        <v>0</v>
      </c>
      <c r="AK124" s="55"/>
      <c r="AL124" s="55"/>
      <c r="AM124" s="55"/>
      <c r="AN124" s="55">
        <f t="shared" si="149"/>
        <v>0</v>
      </c>
      <c r="AO124" s="54"/>
      <c r="AP124" s="54"/>
      <c r="AQ124" s="85"/>
      <c r="AR124" s="85"/>
      <c r="AS124" s="80">
        <f t="shared" si="150"/>
        <v>0</v>
      </c>
      <c r="AU124" s="51">
        <f>6*12</f>
        <v>72</v>
      </c>
      <c r="AV124" s="51">
        <v>16000</v>
      </c>
      <c r="AW124" s="51">
        <f t="shared" si="153"/>
        <v>1152000</v>
      </c>
      <c r="AY124" s="88">
        <f t="shared" si="151"/>
        <v>86.39999999999999</v>
      </c>
      <c r="AZ124" s="51">
        <f t="shared" si="152"/>
        <v>19200</v>
      </c>
      <c r="BA124" s="51">
        <f t="shared" si="154"/>
        <v>1658879.9999999998</v>
      </c>
      <c r="BC124" s="88">
        <f t="shared" si="155"/>
        <v>103.67999999999999</v>
      </c>
      <c r="BD124" s="51">
        <f t="shared" si="156"/>
        <v>24000</v>
      </c>
      <c r="BE124" s="51">
        <f t="shared" si="157"/>
        <v>2488320</v>
      </c>
      <c r="BG124" s="88">
        <f t="shared" si="158"/>
        <v>129.6</v>
      </c>
      <c r="BH124" s="51">
        <f t="shared" si="159"/>
        <v>30000</v>
      </c>
      <c r="BI124" s="51">
        <f t="shared" si="160"/>
        <v>3888000</v>
      </c>
      <c r="BK124" s="51">
        <f t="shared" si="161"/>
        <v>149.04</v>
      </c>
      <c r="BL124" s="51">
        <f t="shared" si="162"/>
        <v>36000</v>
      </c>
      <c r="BM124" s="51">
        <f t="shared" si="163"/>
        <v>5365440</v>
      </c>
    </row>
    <row r="125" ht="18.75" customHeight="1" spans="2:65" x14ac:dyDescent="0.25">
      <c r="B125" s="5"/>
      <c r="C125" s="27"/>
      <c r="D125" s="27" t="s">
        <v>257</v>
      </c>
      <c r="E125" s="30"/>
      <c r="F125" s="55"/>
      <c r="G125" s="55"/>
      <c r="H125" s="55">
        <f t="shared" si="141"/>
        <v>0</v>
      </c>
      <c r="I125" s="55"/>
      <c r="J125" s="55"/>
      <c r="K125" s="55"/>
      <c r="L125" s="55">
        <f t="shared" si="142"/>
        <v>0</v>
      </c>
      <c r="M125" s="55"/>
      <c r="N125" s="55"/>
      <c r="O125" s="55"/>
      <c r="P125" s="55">
        <f t="shared" si="143"/>
        <v>0</v>
      </c>
      <c r="Q125" s="55"/>
      <c r="R125" s="55"/>
      <c r="S125" s="55"/>
      <c r="T125" s="55">
        <f t="shared" si="144"/>
        <v>0</v>
      </c>
      <c r="U125" s="55"/>
      <c r="V125" s="55"/>
      <c r="W125" s="55"/>
      <c r="X125" s="55">
        <f t="shared" si="145"/>
        <v>0</v>
      </c>
      <c r="Y125" s="55"/>
      <c r="Z125" s="55"/>
      <c r="AA125" s="55"/>
      <c r="AB125" s="55">
        <f t="shared" si="146"/>
        <v>0</v>
      </c>
      <c r="AC125" s="55"/>
      <c r="AD125" s="55"/>
      <c r="AE125" s="55"/>
      <c r="AF125" s="55">
        <f t="shared" si="147"/>
        <v>0</v>
      </c>
      <c r="AG125" s="55"/>
      <c r="AH125" s="55"/>
      <c r="AI125" s="55"/>
      <c r="AJ125" s="55">
        <f t="shared" si="148"/>
        <v>0</v>
      </c>
      <c r="AK125" s="55"/>
      <c r="AL125" s="55"/>
      <c r="AM125" s="55"/>
      <c r="AN125" s="55">
        <f t="shared" si="149"/>
        <v>0</v>
      </c>
      <c r="AO125" s="54"/>
      <c r="AP125" s="54"/>
      <c r="AQ125" s="85"/>
      <c r="AR125" s="85"/>
      <c r="AS125" s="80">
        <f t="shared" si="150"/>
        <v>0</v>
      </c>
      <c r="AU125" s="51">
        <f>3*12</f>
        <v>36</v>
      </c>
      <c r="AV125" s="51">
        <v>20000</v>
      </c>
      <c r="AW125" s="51">
        <f t="shared" si="153"/>
        <v>720000</v>
      </c>
      <c r="AY125" s="88">
        <f t="shared" si="151"/>
        <v>43.199999999999996</v>
      </c>
      <c r="AZ125" s="51">
        <f t="shared" si="152"/>
        <v>24000</v>
      </c>
      <c r="BA125" s="51">
        <f t="shared" si="154"/>
        <v>1036799.9999999999</v>
      </c>
      <c r="BC125" s="88">
        <f t="shared" si="155"/>
        <v>51.839999999999996</v>
      </c>
      <c r="BD125" s="51">
        <f t="shared" si="156"/>
        <v>30000</v>
      </c>
      <c r="BE125" s="51">
        <f t="shared" si="157"/>
        <v>1555200</v>
      </c>
      <c r="BG125" s="88">
        <f t="shared" si="158"/>
        <v>64.8</v>
      </c>
      <c r="BH125" s="51">
        <f t="shared" si="159"/>
        <v>37500</v>
      </c>
      <c r="BI125" s="51">
        <f t="shared" si="160"/>
        <v>2430000</v>
      </c>
      <c r="BK125" s="51">
        <f t="shared" si="161"/>
        <v>74.52</v>
      </c>
      <c r="BL125" s="51">
        <f t="shared" si="162"/>
        <v>45000</v>
      </c>
      <c r="BM125" s="51">
        <f t="shared" si="163"/>
        <v>3353400</v>
      </c>
    </row>
    <row r="126" ht="18.75" customHeight="1" spans="2:65" x14ac:dyDescent="0.25">
      <c r="B126" s="5"/>
      <c r="C126" s="27"/>
      <c r="D126" s="27" t="s">
        <v>258</v>
      </c>
      <c r="E126" s="30"/>
      <c r="F126" s="55"/>
      <c r="G126" s="55"/>
      <c r="H126" s="55">
        <f t="shared" si="141"/>
        <v>0</v>
      </c>
      <c r="I126" s="55"/>
      <c r="J126" s="55"/>
      <c r="K126" s="55"/>
      <c r="L126" s="55">
        <f t="shared" si="142"/>
        <v>0</v>
      </c>
      <c r="M126" s="55"/>
      <c r="N126" s="55"/>
      <c r="O126" s="55"/>
      <c r="P126" s="55">
        <f t="shared" si="143"/>
        <v>0</v>
      </c>
      <c r="Q126" s="55"/>
      <c r="R126" s="55"/>
      <c r="S126" s="55"/>
      <c r="T126" s="55">
        <f t="shared" si="144"/>
        <v>0</v>
      </c>
      <c r="U126" s="55"/>
      <c r="V126" s="55"/>
      <c r="W126" s="55"/>
      <c r="X126" s="55">
        <f t="shared" si="145"/>
        <v>0</v>
      </c>
      <c r="Y126" s="55"/>
      <c r="Z126" s="55"/>
      <c r="AA126" s="55"/>
      <c r="AB126" s="55">
        <f t="shared" si="146"/>
        <v>0</v>
      </c>
      <c r="AC126" s="55"/>
      <c r="AD126" s="55"/>
      <c r="AE126" s="55"/>
      <c r="AF126" s="55">
        <f t="shared" si="147"/>
        <v>0</v>
      </c>
      <c r="AG126" s="55"/>
      <c r="AH126" s="55"/>
      <c r="AI126" s="55"/>
      <c r="AJ126" s="55">
        <f t="shared" si="148"/>
        <v>0</v>
      </c>
      <c r="AK126" s="55"/>
      <c r="AL126" s="55"/>
      <c r="AM126" s="55"/>
      <c r="AN126" s="55">
        <f t="shared" si="149"/>
        <v>0</v>
      </c>
      <c r="AO126" s="54"/>
      <c r="AP126" s="54"/>
      <c r="AQ126" s="85"/>
      <c r="AR126" s="85"/>
      <c r="AS126" s="80">
        <f t="shared" si="150"/>
        <v>0</v>
      </c>
      <c r="AU126" s="51">
        <f>2*12</f>
        <v>24</v>
      </c>
      <c r="AV126" s="51">
        <v>20000</v>
      </c>
      <c r="AW126" s="51">
        <f t="shared" si="153"/>
        <v>480000</v>
      </c>
      <c r="AY126" s="88">
        <f t="shared" si="151"/>
        <v>28.799999999999997</v>
      </c>
      <c r="AZ126" s="51">
        <f t="shared" si="152"/>
        <v>24000</v>
      </c>
      <c r="BA126" s="51">
        <f t="shared" si="154"/>
        <v>691199.9999999999</v>
      </c>
      <c r="BC126" s="88">
        <f t="shared" si="155"/>
        <v>34.559999999999995</v>
      </c>
      <c r="BD126" s="51">
        <f t="shared" si="156"/>
        <v>30000</v>
      </c>
      <c r="BE126" s="51">
        <f t="shared" si="157"/>
        <v>1036799.9999999999</v>
      </c>
      <c r="BG126" s="88">
        <f t="shared" si="158"/>
        <v>43.199999999999996</v>
      </c>
      <c r="BH126" s="51">
        <f t="shared" si="159"/>
        <v>37500</v>
      </c>
      <c r="BI126" s="51">
        <f t="shared" si="160"/>
        <v>1619999.9999999998</v>
      </c>
      <c r="BK126" s="51">
        <f t="shared" si="161"/>
        <v>49.67999999999999</v>
      </c>
      <c r="BL126" s="51">
        <f t="shared" si="162"/>
        <v>45000</v>
      </c>
      <c r="BM126" s="51">
        <f t="shared" si="163"/>
        <v>2235599.9999999995</v>
      </c>
    </row>
    <row r="127" ht="18.75" customHeight="1" spans="2:65" x14ac:dyDescent="0.25">
      <c r="B127" s="5" t="s">
        <v>73</v>
      </c>
      <c r="C127" s="27"/>
      <c r="D127" s="29" t="s">
        <v>259</v>
      </c>
      <c r="E127" s="30"/>
      <c r="F127" s="55"/>
      <c r="G127" s="55"/>
      <c r="H127" s="55">
        <f t="shared" si="141"/>
        <v>0</v>
      </c>
      <c r="I127" s="55"/>
      <c r="J127" s="55"/>
      <c r="K127" s="55"/>
      <c r="L127" s="55">
        <f t="shared" si="142"/>
        <v>0</v>
      </c>
      <c r="M127" s="55"/>
      <c r="N127" s="55"/>
      <c r="O127" s="55"/>
      <c r="P127" s="55">
        <f t="shared" si="143"/>
        <v>0</v>
      </c>
      <c r="Q127" s="55"/>
      <c r="R127" s="55"/>
      <c r="S127" s="55"/>
      <c r="T127" s="55">
        <f t="shared" si="144"/>
        <v>0</v>
      </c>
      <c r="U127" s="55"/>
      <c r="V127" s="55"/>
      <c r="W127" s="55"/>
      <c r="X127" s="55">
        <f t="shared" si="145"/>
        <v>0</v>
      </c>
      <c r="Y127" s="55"/>
      <c r="Z127" s="55"/>
      <c r="AA127" s="55"/>
      <c r="AB127" s="55">
        <f t="shared" si="146"/>
        <v>0</v>
      </c>
      <c r="AC127" s="55"/>
      <c r="AD127" s="55"/>
      <c r="AE127" s="55"/>
      <c r="AF127" s="55">
        <f t="shared" si="147"/>
        <v>0</v>
      </c>
      <c r="AG127" s="55"/>
      <c r="AH127" s="55"/>
      <c r="AI127" s="55"/>
      <c r="AJ127" s="55">
        <f t="shared" si="148"/>
        <v>0</v>
      </c>
      <c r="AK127" s="55"/>
      <c r="AL127" s="55"/>
      <c r="AM127" s="55"/>
      <c r="AN127" s="55">
        <f t="shared" si="149"/>
        <v>0</v>
      </c>
      <c r="AO127" s="54"/>
      <c r="AP127" s="54"/>
      <c r="AQ127" s="85"/>
      <c r="AR127" s="85"/>
      <c r="AS127" s="80">
        <f t="shared" si="150"/>
        <v>0</v>
      </c>
      <c r="AU127" s="51">
        <f>6*12</f>
        <v>72</v>
      </c>
      <c r="AV127" s="51">
        <v>30000</v>
      </c>
      <c r="AW127" s="51">
        <f t="shared" si="153"/>
        <v>2160000</v>
      </c>
      <c r="AY127" s="88">
        <f t="shared" si="151"/>
        <v>86.39999999999999</v>
      </c>
      <c r="AZ127" s="51">
        <f t="shared" si="152"/>
        <v>36000</v>
      </c>
      <c r="BA127" s="51">
        <f t="shared" si="154"/>
        <v>3110399.9999999995</v>
      </c>
      <c r="BC127" s="88">
        <f t="shared" si="155"/>
        <v>103.67999999999999</v>
      </c>
      <c r="BD127" s="51">
        <f t="shared" si="156"/>
        <v>45000</v>
      </c>
      <c r="BE127" s="51">
        <f t="shared" si="157"/>
        <v>4665600</v>
      </c>
      <c r="BG127" s="88">
        <f t="shared" si="158"/>
        <v>129.6</v>
      </c>
      <c r="BH127" s="51">
        <f t="shared" si="159"/>
        <v>56250</v>
      </c>
      <c r="BI127" s="51">
        <f t="shared" si="160"/>
        <v>7290000</v>
      </c>
      <c r="BK127" s="51">
        <f t="shared" si="161"/>
        <v>149.04</v>
      </c>
      <c r="BL127" s="51">
        <f t="shared" si="162"/>
        <v>67500</v>
      </c>
      <c r="BM127" s="51">
        <f t="shared" si="163"/>
        <v>10060200</v>
      </c>
    </row>
    <row r="128" ht="18.75" customHeight="1" spans="2:65" x14ac:dyDescent="0.25">
      <c r="B128" s="5" t="s">
        <v>74</v>
      </c>
      <c r="C128" s="27"/>
      <c r="D128" s="29">
        <v>0</v>
      </c>
      <c r="E128" s="30"/>
      <c r="F128" s="55"/>
      <c r="G128" s="55"/>
      <c r="H128" s="55"/>
      <c r="I128" s="55"/>
      <c r="J128" s="55"/>
      <c r="K128" s="55"/>
      <c r="L128" s="55"/>
      <c r="M128" s="55"/>
      <c r="N128" s="55"/>
      <c r="O128" s="55"/>
      <c r="P128" s="55"/>
      <c r="Q128" s="55"/>
      <c r="R128" s="55"/>
      <c r="S128" s="55"/>
      <c r="T128" s="55"/>
      <c r="U128" s="55"/>
      <c r="V128" s="55"/>
      <c r="W128" s="55"/>
      <c r="X128" s="55"/>
      <c r="Y128" s="55"/>
      <c r="Z128" s="55"/>
      <c r="AA128" s="55"/>
      <c r="AB128" s="55"/>
      <c r="AC128" s="55"/>
      <c r="AD128" s="55"/>
      <c r="AE128" s="55"/>
      <c r="AF128" s="55"/>
      <c r="AG128" s="55"/>
      <c r="AH128" s="55"/>
      <c r="AI128" s="55"/>
      <c r="AJ128" s="55"/>
      <c r="AK128" s="55"/>
      <c r="AL128" s="55"/>
      <c r="AM128" s="55"/>
      <c r="AN128" s="55"/>
      <c r="AO128" s="54"/>
      <c r="AP128" s="54"/>
      <c r="AQ128" s="85"/>
      <c r="AR128" s="85"/>
      <c r="AS128" s="80">
        <f t="shared" si="150"/>
        <v>0</v>
      </c>
      <c r="AU128" s="51"/>
      <c r="AV128" s="51"/>
      <c r="AW128" s="51">
        <f t="shared" ref="AW128" si="164">AS128+(AS128*$AW$49)</f>
        <v>0</v>
      </c>
      <c r="AY128" s="51"/>
      <c r="AZ128" s="51"/>
      <c r="BA128" s="51">
        <f t="shared" ref="BA128" si="165">AW128+(AW128*$BA$49)</f>
        <v>0</v>
      </c>
      <c r="BC128" s="88">
        <f t="shared" si="155"/>
        <v>0</v>
      </c>
      <c r="BD128" s="51">
        <f t="shared" si="156"/>
        <v>0</v>
      </c>
      <c r="BE128" s="51">
        <f t="shared" si="157"/>
        <v>0</v>
      </c>
      <c r="BG128" s="88">
        <f t="shared" si="158"/>
        <v>0</v>
      </c>
      <c r="BH128" s="51">
        <f t="shared" si="159"/>
        <v>0</v>
      </c>
      <c r="BI128" s="51">
        <f t="shared" si="160"/>
        <v>0</v>
      </c>
      <c r="BK128" s="51">
        <f t="shared" si="161"/>
        <v>0</v>
      </c>
      <c r="BL128" s="51">
        <f t="shared" si="162"/>
        <v>0</v>
      </c>
      <c r="BM128" s="51">
        <f t="shared" si="163"/>
        <v>0</v>
      </c>
    </row>
    <row r="129" ht="18.75" customHeight="1" spans="2:65" x14ac:dyDescent="0.25">
      <c r="B129" s="34" t="s">
        <v>58</v>
      </c>
      <c r="C129" s="34"/>
      <c r="D129" s="34"/>
      <c r="E129" s="30"/>
      <c r="F129" s="81">
        <f>SUM(F122:F128)</f>
        <v>0</v>
      </c>
      <c r="G129" s="81"/>
      <c r="H129" s="81">
        <f>SUM(H122:H128)</f>
        <v>0</v>
      </c>
      <c r="I129" s="81"/>
      <c r="J129" s="81">
        <f>SUM(J122:J128)</f>
        <v>0</v>
      </c>
      <c r="K129" s="81"/>
      <c r="L129" s="81">
        <f>SUM(L122:L128)</f>
        <v>0</v>
      </c>
      <c r="M129" s="81"/>
      <c r="N129" s="81">
        <f>SUM(N122:N128)</f>
        <v>0</v>
      </c>
      <c r="O129" s="81"/>
      <c r="P129" s="81">
        <f>SUM(P122:P128)</f>
        <v>0</v>
      </c>
      <c r="Q129" s="81"/>
      <c r="R129" s="81">
        <f>SUM(R122:R128)</f>
        <v>0</v>
      </c>
      <c r="S129" s="81"/>
      <c r="T129" s="81">
        <f>SUM(T122:T128)</f>
        <v>0</v>
      </c>
      <c r="U129" s="81"/>
      <c r="V129" s="81">
        <f>SUM(V122:V128)</f>
        <v>0</v>
      </c>
      <c r="W129" s="81"/>
      <c r="X129" s="81">
        <f>SUM(X122:X128)</f>
        <v>0</v>
      </c>
      <c r="Y129" s="81"/>
      <c r="Z129" s="81">
        <f>SUM(Z122:Z128)</f>
        <v>0</v>
      </c>
      <c r="AA129" s="81"/>
      <c r="AB129" s="81">
        <f>SUM(AB122:AB128)</f>
        <v>0</v>
      </c>
      <c r="AC129" s="81"/>
      <c r="AD129" s="81">
        <f>SUM(AD122:AD128)</f>
        <v>0</v>
      </c>
      <c r="AE129" s="81"/>
      <c r="AF129" s="81">
        <f>SUM(AF122:AF128)</f>
        <v>0</v>
      </c>
      <c r="AG129" s="81"/>
      <c r="AH129" s="81">
        <f>SUM(AH122:AH128)</f>
        <v>0</v>
      </c>
      <c r="AI129" s="81"/>
      <c r="AJ129" s="81">
        <f>SUM(AJ122:AJ128)</f>
        <v>0</v>
      </c>
      <c r="AK129" s="81"/>
      <c r="AL129" s="81">
        <f>SUM(AL122:AL128)</f>
        <v>0</v>
      </c>
      <c r="AM129" s="81"/>
      <c r="AN129" s="81">
        <f>SUM(AN122:AN128)</f>
        <v>0</v>
      </c>
      <c r="AO129" s="81"/>
      <c r="AP129" s="81"/>
      <c r="AQ129" s="81">
        <f>SUM(AQ122:AQ128)</f>
        <v>0</v>
      </c>
      <c r="AR129" s="81"/>
      <c r="AS129" s="81">
        <f>SUM(AS122:AS128)</f>
        <v>0</v>
      </c>
      <c r="AT129" s="9"/>
      <c r="AU129" s="81">
        <f>SUM(AU122:AU128)</f>
        <v>1464</v>
      </c>
      <c r="AV129" s="81"/>
      <c r="AW129" s="81">
        <f>SUM(AW122:AW128)</f>
        <v>27912000</v>
      </c>
      <c r="AX129" s="9"/>
      <c r="AY129" s="81">
        <f>SUM(AY122:AY128)</f>
        <v>1756.8000000000002</v>
      </c>
      <c r="AZ129" s="81"/>
      <c r="BA129" s="81">
        <f>SUM(BA122:BA128)</f>
        <v>40193280</v>
      </c>
      <c r="BB129" s="9"/>
      <c r="BC129" s="81">
        <f>SUM(BC122:BC128)</f>
        <v>2108.16</v>
      </c>
      <c r="BD129" s="81"/>
      <c r="BE129" s="81">
        <f>SUM(BE122:BE128)</f>
        <v>60289919.99999999</v>
      </c>
      <c r="BF129" s="9"/>
      <c r="BG129" s="81">
        <f>SUM(BG122:BG128)</f>
        <v>2635.2</v>
      </c>
      <c r="BH129" s="81"/>
      <c r="BI129" s="81">
        <f>SUM(BI122:BI128)</f>
        <v>94203000</v>
      </c>
      <c r="BJ129" s="9"/>
      <c r="BK129" s="81">
        <f>SUM(BK122:BK128)</f>
        <v>3030.4799999999996</v>
      </c>
      <c r="BL129" s="81"/>
      <c r="BM129" s="81">
        <f>SUM(BM122:BM128)</f>
        <v>130000139.99999999</v>
      </c>
    </row>
    <row r="130" ht="18.75" customHeight="1" spans="2:65" x14ac:dyDescent="0.25">
      <c r="B130" s="9"/>
      <c r="C130" s="28"/>
      <c r="D130" s="30"/>
      <c r="E130" s="30"/>
      <c r="F130" s="54"/>
      <c r="G130" s="54"/>
      <c r="H130" s="54"/>
      <c r="I130" s="54"/>
      <c r="J130" s="54"/>
      <c r="K130" s="54"/>
      <c r="L130" s="54"/>
      <c r="M130" s="54"/>
      <c r="N130" s="54"/>
      <c r="O130" s="54"/>
      <c r="P130" s="54"/>
      <c r="Q130" s="54"/>
      <c r="R130" s="54"/>
      <c r="S130" s="54"/>
      <c r="T130" s="54"/>
      <c r="U130" s="54"/>
      <c r="V130" s="54"/>
      <c r="W130" s="54"/>
      <c r="X130" s="54"/>
      <c r="Y130" s="54"/>
      <c r="Z130" s="54"/>
      <c r="AA130" s="54"/>
      <c r="AB130" s="54"/>
      <c r="AC130" s="54"/>
      <c r="AD130" s="54"/>
      <c r="AE130" s="54"/>
      <c r="AF130" s="54"/>
      <c r="AG130" s="54"/>
      <c r="AH130" s="54"/>
      <c r="AI130" s="54"/>
      <c r="AJ130" s="54"/>
      <c r="AK130" s="54"/>
      <c r="AL130" s="54"/>
      <c r="AM130" s="54"/>
      <c r="AN130" s="54"/>
      <c r="AO130" s="54"/>
      <c r="AP130" s="54"/>
      <c r="AQ130" s="54"/>
      <c r="AR130" s="54"/>
      <c r="AS130" s="54"/>
      <c r="AU130" s="54"/>
      <c r="AV130" s="54"/>
      <c r="AW130" s="54"/>
      <c r="AY130" s="54"/>
      <c r="AZ130" s="54"/>
      <c r="BA130" s="54"/>
      <c r="BC130" s="54"/>
      <c r="BD130" s="54"/>
      <c r="BE130" s="54"/>
      <c r="BG130" s="54"/>
      <c r="BH130" s="54"/>
      <c r="BI130" s="54"/>
      <c r="BK130" s="54"/>
      <c r="BL130" s="54"/>
      <c r="BM130" s="54"/>
    </row>
    <row r="131" ht="18.75" customHeight="1" spans="2:65" x14ac:dyDescent="0.25">
      <c r="B131" s="9"/>
      <c r="C131" s="28"/>
      <c r="D131" s="28"/>
      <c r="E131" s="28"/>
      <c r="F131" s="28"/>
      <c r="J131" s="78">
        <f>$J$8</f>
        <v>1</v>
      </c>
      <c r="K131" s="78">
        <f>$K$8</f>
        <v>1</v>
      </c>
      <c r="L131" s="77"/>
      <c r="M131" s="77"/>
      <c r="N131" s="78">
        <f>$N$8</f>
        <v>1</v>
      </c>
      <c r="O131" s="78">
        <f>$O$8</f>
        <v>1</v>
      </c>
      <c r="P131" s="77"/>
      <c r="Q131" s="77"/>
      <c r="R131" s="78">
        <f>$R$8</f>
        <v>1</v>
      </c>
      <c r="S131" s="78">
        <f>$S$8</f>
        <v>1</v>
      </c>
      <c r="T131" s="77"/>
      <c r="U131" s="77"/>
      <c r="V131" s="78">
        <f>$V$8</f>
        <v>1</v>
      </c>
      <c r="W131" s="78">
        <f>$W$8</f>
        <v>1</v>
      </c>
      <c r="X131" s="77"/>
      <c r="Y131" s="77"/>
      <c r="Z131" s="78">
        <f>$Z$8</f>
        <v>1</v>
      </c>
      <c r="AA131" s="78">
        <f>$AA$8</f>
        <v>1</v>
      </c>
      <c r="AB131" s="77"/>
      <c r="AC131" s="77"/>
      <c r="AD131" s="78">
        <f>$AD$8</f>
        <v>1</v>
      </c>
      <c r="AE131" s="78">
        <f>$AE$8</f>
        <v>1</v>
      </c>
      <c r="AF131" s="77"/>
      <c r="AG131" s="77"/>
      <c r="AH131" s="78">
        <f>$AH$8</f>
        <v>1</v>
      </c>
      <c r="AI131" s="78">
        <f>$AI$8</f>
        <v>1</v>
      </c>
      <c r="AJ131" s="77"/>
      <c r="AK131" s="77"/>
      <c r="AL131" s="78">
        <f>$AL$8</f>
        <v>1</v>
      </c>
      <c r="AM131" s="78">
        <f>$AM$8</f>
        <v>1</v>
      </c>
      <c r="AN131" s="77"/>
      <c r="AO131" s="77"/>
      <c r="AP131" s="54"/>
      <c r="AQ131" s="54"/>
      <c r="AR131" s="54"/>
      <c r="AS131" s="54"/>
      <c r="AU131" s="78">
        <f>$AU$8</f>
        <v>1.25</v>
      </c>
      <c r="AV131" s="78">
        <f>$AV$8</f>
        <v>1.2</v>
      </c>
      <c r="AW131" s="54"/>
      <c r="AY131" s="78">
        <f>$AY$8</f>
        <v>1.2</v>
      </c>
      <c r="AZ131" s="78">
        <f>$AZ$8</f>
        <v>1.2</v>
      </c>
      <c r="BA131" s="77"/>
      <c r="BB131" s="28"/>
      <c r="BC131" s="78">
        <f>$BC$8</f>
        <v>1.2</v>
      </c>
      <c r="BD131" s="78">
        <f>$BD$8</f>
        <v>1.25</v>
      </c>
      <c r="BE131" s="77"/>
      <c r="BF131" s="28"/>
      <c r="BG131" s="78">
        <f>$BG$8</f>
        <v>1.25</v>
      </c>
      <c r="BH131" s="78">
        <f>$BH$8</f>
        <v>1.25</v>
      </c>
      <c r="BI131" s="77"/>
      <c r="BJ131" s="28"/>
      <c r="BK131" s="78">
        <f>$BK$8</f>
        <v>1.15</v>
      </c>
      <c r="BL131" s="78">
        <f>$BL$8</f>
        <v>1.2</v>
      </c>
      <c r="BM131" s="77"/>
    </row>
    <row r="132" ht="18.75" customHeight="1" spans="2:65" x14ac:dyDescent="0.25">
      <c r="B132" s="5">
        <v>5</v>
      </c>
      <c r="C132" s="27" t="s">
        <v>272</v>
      </c>
      <c r="D132" s="27"/>
      <c r="E132" s="28"/>
      <c r="F132" s="55"/>
      <c r="G132" s="55"/>
      <c r="H132" s="55"/>
      <c r="I132" s="55"/>
      <c r="J132" s="55"/>
      <c r="K132" s="55"/>
      <c r="L132" s="55"/>
      <c r="M132" s="55"/>
      <c r="N132" s="55"/>
      <c r="O132" s="55"/>
      <c r="P132" s="55"/>
      <c r="Q132" s="55"/>
      <c r="R132" s="55"/>
      <c r="S132" s="55"/>
      <c r="T132" s="55"/>
      <c r="U132" s="55"/>
      <c r="V132" s="55"/>
      <c r="W132" s="55"/>
      <c r="X132" s="55"/>
      <c r="Y132" s="55"/>
      <c r="Z132" s="55"/>
      <c r="AA132" s="55"/>
      <c r="AB132" s="55"/>
      <c r="AC132" s="55"/>
      <c r="AD132" s="55"/>
      <c r="AE132" s="55"/>
      <c r="AF132" s="55"/>
      <c r="AG132" s="55"/>
      <c r="AH132" s="55"/>
      <c r="AI132" s="55"/>
      <c r="AJ132" s="55"/>
      <c r="AK132" s="55"/>
      <c r="AL132" s="55"/>
      <c r="AM132" s="55"/>
      <c r="AN132" s="55"/>
      <c r="AO132" s="54"/>
      <c r="AP132" s="54"/>
      <c r="AQ132" s="54"/>
      <c r="AR132" s="54"/>
      <c r="AS132" s="80">
        <f>SUMIF($F$6:$AN$6,$AS$6,F132:AN132)</f>
        <v>0</v>
      </c>
      <c r="AU132" s="51"/>
      <c r="AV132" s="51"/>
      <c r="AW132" s="51"/>
      <c r="AY132" s="51"/>
      <c r="AZ132" s="51"/>
      <c r="BA132" s="51"/>
      <c r="BC132" s="51"/>
      <c r="BD132" s="51"/>
      <c r="BE132" s="51"/>
      <c r="BG132" s="51"/>
      <c r="BH132" s="51"/>
      <c r="BI132" s="51"/>
      <c r="BK132" s="51"/>
      <c r="BL132" s="51"/>
      <c r="BM132" s="51"/>
    </row>
    <row r="133" ht="18.75" customHeight="1" spans="2:65" x14ac:dyDescent="0.25">
      <c r="B133" s="5" t="s">
        <v>75</v>
      </c>
      <c r="C133" s="27"/>
      <c r="D133" s="29" t="s">
        <v>273</v>
      </c>
      <c r="E133" s="30"/>
      <c r="F133" s="55"/>
      <c r="G133" s="55"/>
      <c r="H133" s="55"/>
      <c r="I133" s="55"/>
      <c r="J133" s="55"/>
      <c r="K133" s="55"/>
      <c r="L133" s="55"/>
      <c r="M133" s="55"/>
      <c r="N133" s="55"/>
      <c r="O133" s="55"/>
      <c r="P133" s="55"/>
      <c r="Q133" s="55"/>
      <c r="R133" s="55"/>
      <c r="S133" s="55"/>
      <c r="T133" s="55"/>
      <c r="U133" s="55"/>
      <c r="V133" s="55"/>
      <c r="W133" s="55"/>
      <c r="X133" s="55"/>
      <c r="Y133" s="55"/>
      <c r="Z133" s="55"/>
      <c r="AA133" s="55"/>
      <c r="AB133" s="55"/>
      <c r="AC133" s="55"/>
      <c r="AD133" s="55"/>
      <c r="AE133" s="55"/>
      <c r="AF133" s="55"/>
      <c r="AG133" s="55"/>
      <c r="AH133" s="55"/>
      <c r="AI133" s="55"/>
      <c r="AJ133" s="55"/>
      <c r="AK133" s="55"/>
      <c r="AL133" s="55"/>
      <c r="AM133" s="55"/>
      <c r="AN133" s="55"/>
      <c r="AO133" s="54"/>
      <c r="AP133" s="54"/>
      <c r="AQ133" s="54"/>
      <c r="AR133" s="54"/>
      <c r="AS133" s="80">
        <f>H133+L133+P133+T133+X133+AB133+AF133+AJ133+AN133</f>
        <v>0</v>
      </c>
      <c r="AU133" s="51">
        <f>AQ133*$AU$60</f>
        <v>0</v>
      </c>
      <c r="AV133" s="51">
        <f>AR133*$AV$60</f>
        <v>0</v>
      </c>
      <c r="AW133" s="51">
        <f>SUM('Phase 1'!F94:F105)</f>
        <v>0</v>
      </c>
      <c r="AY133" s="51">
        <f>AU133*$AY$60</f>
        <v>0</v>
      </c>
      <c r="AZ133" s="51">
        <f>AV133*$AZ$60</f>
        <v>0</v>
      </c>
      <c r="BA133" s="51">
        <f>SUM('Phase 1'!F106:F117)+SUM('Phase 2'!F87:F97)</f>
        <v>1420757.737047925</v>
      </c>
      <c r="BC133" s="51">
        <f>AY133*$BC$60</f>
        <v>0</v>
      </c>
      <c r="BD133" s="51">
        <f>AZ133*$BD$60</f>
        <v>0</v>
      </c>
      <c r="BE133" s="51">
        <f>SUM('Phase 1'!F118:F129)+SUM('Phase 2'!F98:F109)</f>
        <v>0</v>
      </c>
      <c r="BG133" s="51">
        <f>BC133*$BG$60</f>
        <v>0</v>
      </c>
      <c r="BH133" s="51">
        <f>BD133*$BH$60</f>
        <v>0</v>
      </c>
      <c r="BI133" s="51">
        <f>SUM('Phase 1'!F130:F141)+SUM('Phase 2'!F110:F121)</f>
        <v>0</v>
      </c>
      <c r="BK133" s="51">
        <f>BG133*$BK$60</f>
        <v>0</v>
      </c>
      <c r="BL133" s="51">
        <f>BH133*$BL$60</f>
        <v>0</v>
      </c>
      <c r="BM133" s="51">
        <f>SUM('Phase 1'!F142:F153)+SUM('Phase 2'!F122:F133)</f>
        <v>0</v>
      </c>
    </row>
    <row r="134" ht="18.75" customHeight="1" spans="2:65" x14ac:dyDescent="0.25">
      <c r="B134" s="5" t="s">
        <v>76</v>
      </c>
      <c r="C134" s="27"/>
      <c r="D134" s="29" t="s">
        <v>274</v>
      </c>
      <c r="E134" s="30"/>
      <c r="F134" s="55"/>
      <c r="G134" s="55"/>
      <c r="H134" s="55"/>
      <c r="I134" s="55"/>
      <c r="J134" s="55"/>
      <c r="K134" s="55"/>
      <c r="L134" s="55"/>
      <c r="M134" s="55"/>
      <c r="N134" s="55"/>
      <c r="O134" s="55"/>
      <c r="P134" s="55"/>
      <c r="Q134" s="55"/>
      <c r="R134" s="55"/>
      <c r="S134" s="55"/>
      <c r="T134" s="55"/>
      <c r="U134" s="55"/>
      <c r="V134" s="55"/>
      <c r="W134" s="55"/>
      <c r="X134" s="55"/>
      <c r="Y134" s="55"/>
      <c r="Z134" s="55"/>
      <c r="AA134" s="55"/>
      <c r="AB134" s="55"/>
      <c r="AC134" s="55"/>
      <c r="AD134" s="55"/>
      <c r="AE134" s="55"/>
      <c r="AF134" s="55"/>
      <c r="AG134" s="55"/>
      <c r="AH134" s="55"/>
      <c r="AI134" s="55"/>
      <c r="AJ134" s="55"/>
      <c r="AK134" s="55"/>
      <c r="AL134" s="55"/>
      <c r="AM134" s="55"/>
      <c r="AN134" s="55"/>
      <c r="AO134" s="54"/>
      <c r="AP134" s="54"/>
      <c r="AQ134" s="54"/>
      <c r="AR134" s="54"/>
      <c r="AS134" s="80">
        <f>H134+L134+P134+T134+X134+AB134+AF134+AJ134+AN134</f>
        <v>0</v>
      </c>
      <c r="AU134" s="51">
        <f>AQ134*$AU$60</f>
        <v>0</v>
      </c>
      <c r="AV134" s="51">
        <f>AR134*$AV$60</f>
        <v>0</v>
      </c>
      <c r="AW134" s="51">
        <f>AU134*AV134</f>
        <v>0</v>
      </c>
      <c r="AY134" s="51">
        <f>AU134*$AY$60</f>
        <v>0</v>
      </c>
      <c r="AZ134" s="51">
        <f>AV134*$AZ$60</f>
        <v>0</v>
      </c>
      <c r="BA134" s="51">
        <f>AY134*AZ134</f>
        <v>0</v>
      </c>
      <c r="BC134" s="51">
        <f>AY134*$BC$60</f>
        <v>0</v>
      </c>
      <c r="BD134" s="51">
        <f>AZ134*$BD$60</f>
        <v>0</v>
      </c>
      <c r="BE134" s="51">
        <f>BC134*BD134</f>
        <v>0</v>
      </c>
      <c r="BG134" s="51">
        <f>BC134*$BG$60</f>
        <v>0</v>
      </c>
      <c r="BH134" s="51">
        <f>BD134*$BH$60</f>
        <v>0</v>
      </c>
      <c r="BI134" s="51">
        <f>BG134*BH134</f>
        <v>0</v>
      </c>
      <c r="BK134" s="51">
        <f>BG134*$BK$60</f>
        <v>0</v>
      </c>
      <c r="BL134" s="51">
        <f>BH134*$BL$60</f>
        <v>0</v>
      </c>
      <c r="BM134" s="51">
        <f>BK134*BL134</f>
        <v>0</v>
      </c>
    </row>
    <row r="135" ht="18.75" customHeight="1" spans="2:65" x14ac:dyDescent="0.25">
      <c r="B135" s="5" t="s">
        <v>77</v>
      </c>
      <c r="C135" s="27"/>
      <c r="D135" s="29"/>
      <c r="E135" s="30"/>
      <c r="F135" s="55"/>
      <c r="G135" s="55"/>
      <c r="H135" s="55"/>
      <c r="I135" s="55"/>
      <c r="J135" s="55"/>
      <c r="K135" s="55"/>
      <c r="L135" s="55"/>
      <c r="M135" s="55"/>
      <c r="N135" s="55"/>
      <c r="O135" s="55"/>
      <c r="P135" s="55"/>
      <c r="Q135" s="55"/>
      <c r="R135" s="55"/>
      <c r="S135" s="55"/>
      <c r="T135" s="55"/>
      <c r="U135" s="55"/>
      <c r="V135" s="55"/>
      <c r="W135" s="55"/>
      <c r="X135" s="55"/>
      <c r="Y135" s="55"/>
      <c r="Z135" s="55"/>
      <c r="AA135" s="55"/>
      <c r="AB135" s="55"/>
      <c r="AC135" s="55"/>
      <c r="AD135" s="55"/>
      <c r="AE135" s="55"/>
      <c r="AF135" s="55"/>
      <c r="AG135" s="55"/>
      <c r="AH135" s="55"/>
      <c r="AI135" s="55"/>
      <c r="AJ135" s="55"/>
      <c r="AK135" s="55"/>
      <c r="AL135" s="55"/>
      <c r="AM135" s="55"/>
      <c r="AN135" s="55"/>
      <c r="AO135" s="54"/>
      <c r="AP135" s="54"/>
      <c r="AQ135" s="54"/>
      <c r="AR135" s="54"/>
      <c r="AS135" s="80">
        <f>H135+L135+P135+T135+X135+AB135+AF135+AJ135+AN135</f>
        <v>0</v>
      </c>
      <c r="AU135" s="51">
        <f>AQ135*$AU$60</f>
        <v>0</v>
      </c>
      <c r="AV135" s="51">
        <f>AR135*$AV$60</f>
        <v>0</v>
      </c>
      <c r="AW135" s="51">
        <f>AU135*AV135</f>
        <v>0</v>
      </c>
      <c r="AY135" s="51">
        <f>AU135*$AY$60</f>
        <v>0</v>
      </c>
      <c r="AZ135" s="51">
        <f>AV135*$AZ$60</f>
        <v>0</v>
      </c>
      <c r="BA135" s="51">
        <f>AY135*AZ135</f>
        <v>0</v>
      </c>
      <c r="BC135" s="51">
        <f>AY135*$BC$60</f>
        <v>0</v>
      </c>
      <c r="BD135" s="51">
        <f>AZ135*$BD$60</f>
        <v>0</v>
      </c>
      <c r="BE135" s="51">
        <f>BC135*BD135</f>
        <v>0</v>
      </c>
      <c r="BG135" s="51">
        <f>BC135*$BG$60</f>
        <v>0</v>
      </c>
      <c r="BH135" s="51">
        <f>BD135*$BH$60</f>
        <v>0</v>
      </c>
      <c r="BI135" s="51">
        <f>BG135*BH135</f>
        <v>0</v>
      </c>
      <c r="BK135" s="51">
        <f>BG135*$BK$60</f>
        <v>0</v>
      </c>
      <c r="BL135" s="51">
        <f>BH135*$BL$60</f>
        <v>0</v>
      </c>
      <c r="BM135" s="51">
        <f>BK135*BL135</f>
        <v>0</v>
      </c>
    </row>
    <row r="136" ht="18.75" customHeight="1" spans="2:65" x14ac:dyDescent="0.25">
      <c r="B136" s="5" t="s">
        <v>78</v>
      </c>
      <c r="C136" s="27"/>
      <c r="D136" s="29"/>
      <c r="E136" s="30"/>
      <c r="F136" s="55"/>
      <c r="G136" s="55"/>
      <c r="H136" s="55"/>
      <c r="I136" s="55"/>
      <c r="J136" s="55"/>
      <c r="K136" s="55"/>
      <c r="L136" s="55"/>
      <c r="M136" s="55"/>
      <c r="N136" s="55"/>
      <c r="O136" s="55"/>
      <c r="P136" s="55"/>
      <c r="Q136" s="55"/>
      <c r="R136" s="55"/>
      <c r="S136" s="55"/>
      <c r="T136" s="55"/>
      <c r="U136" s="55"/>
      <c r="V136" s="55"/>
      <c r="W136" s="55"/>
      <c r="X136" s="55"/>
      <c r="Y136" s="55"/>
      <c r="Z136" s="55"/>
      <c r="AA136" s="55"/>
      <c r="AB136" s="55"/>
      <c r="AC136" s="55"/>
      <c r="AD136" s="55"/>
      <c r="AE136" s="55"/>
      <c r="AF136" s="55"/>
      <c r="AG136" s="55"/>
      <c r="AH136" s="55"/>
      <c r="AI136" s="55"/>
      <c r="AJ136" s="55"/>
      <c r="AK136" s="55"/>
      <c r="AL136" s="55"/>
      <c r="AM136" s="55"/>
      <c r="AN136" s="55"/>
      <c r="AO136" s="54"/>
      <c r="AP136" s="54"/>
      <c r="AQ136" s="54"/>
      <c r="AR136" s="54"/>
      <c r="AS136" s="80">
        <f>H136+L136+P136+T136+X136+AB136+AF136+AJ136+AN136</f>
        <v>0</v>
      </c>
      <c r="AU136" s="51"/>
      <c r="AV136" s="51"/>
      <c r="AW136" s="51"/>
      <c r="AY136" s="51"/>
      <c r="AZ136" s="51"/>
      <c r="BA136" s="51"/>
      <c r="BC136" s="51"/>
      <c r="BD136" s="51"/>
      <c r="BE136" s="51"/>
      <c r="BG136" s="51"/>
      <c r="BH136" s="51"/>
      <c r="BI136" s="51"/>
      <c r="BK136" s="51"/>
      <c r="BL136" s="51"/>
      <c r="BM136" s="51"/>
    </row>
    <row r="137" ht="18.75" customHeight="1" spans="2:65" x14ac:dyDescent="0.25">
      <c r="B137" s="5" t="s">
        <v>79</v>
      </c>
      <c r="C137" s="27"/>
      <c r="D137" s="29">
        <v>0</v>
      </c>
      <c r="E137" s="30"/>
      <c r="F137" s="55"/>
      <c r="G137" s="55"/>
      <c r="H137" s="55"/>
      <c r="I137" s="55"/>
      <c r="J137" s="55"/>
      <c r="K137" s="55"/>
      <c r="L137" s="55"/>
      <c r="M137" s="55"/>
      <c r="N137" s="55"/>
      <c r="O137" s="55"/>
      <c r="P137" s="55"/>
      <c r="Q137" s="55"/>
      <c r="R137" s="55"/>
      <c r="S137" s="55"/>
      <c r="T137" s="55"/>
      <c r="U137" s="55"/>
      <c r="V137" s="55"/>
      <c r="W137" s="55"/>
      <c r="X137" s="55"/>
      <c r="Y137" s="55"/>
      <c r="Z137" s="55"/>
      <c r="AA137" s="55"/>
      <c r="AB137" s="55"/>
      <c r="AC137" s="55"/>
      <c r="AD137" s="55"/>
      <c r="AE137" s="55"/>
      <c r="AF137" s="55"/>
      <c r="AG137" s="55"/>
      <c r="AH137" s="55"/>
      <c r="AI137" s="55"/>
      <c r="AJ137" s="55"/>
      <c r="AK137" s="55"/>
      <c r="AL137" s="55"/>
      <c r="AM137" s="55"/>
      <c r="AN137" s="55"/>
      <c r="AO137" s="54"/>
      <c r="AP137" s="54"/>
      <c r="AQ137" s="54"/>
      <c r="AR137" s="54"/>
      <c r="AS137" s="80">
        <f t="shared" ref="AS137" si="166">G137*12</f>
        <v>0</v>
      </c>
      <c r="AU137" s="51"/>
      <c r="AV137" s="51"/>
      <c r="AW137" s="51"/>
      <c r="AY137" s="51"/>
      <c r="AZ137" s="51"/>
      <c r="BA137" s="51"/>
      <c r="BC137" s="51"/>
      <c r="BD137" s="51"/>
      <c r="BE137" s="51"/>
      <c r="BG137" s="51"/>
      <c r="BH137" s="51"/>
      <c r="BI137" s="51"/>
      <c r="BK137" s="51"/>
      <c r="BL137" s="51"/>
      <c r="BM137" s="51"/>
    </row>
    <row r="138" ht="18.75" customHeight="1" spans="2:65" x14ac:dyDescent="0.25">
      <c r="B138" s="34" t="s">
        <v>58</v>
      </c>
      <c r="C138" s="34"/>
      <c r="D138" s="34"/>
      <c r="E138" s="30"/>
      <c r="F138" s="81">
        <f>SUM(F133:F137)</f>
        <v>0</v>
      </c>
      <c r="G138" s="81"/>
      <c r="H138" s="81">
        <f>SUM(H133:H137)</f>
        <v>0</v>
      </c>
      <c r="I138" s="81"/>
      <c r="J138" s="81">
        <f>SUM(J133:J137)</f>
        <v>0</v>
      </c>
      <c r="K138" s="81"/>
      <c r="L138" s="81">
        <f>SUM(L133:L137)</f>
        <v>0</v>
      </c>
      <c r="M138" s="81"/>
      <c r="N138" s="81">
        <f>SUM(N133:N137)</f>
        <v>0</v>
      </c>
      <c r="O138" s="81"/>
      <c r="P138" s="81">
        <f>SUM(P133:P137)</f>
        <v>0</v>
      </c>
      <c r="Q138" s="81"/>
      <c r="R138" s="81">
        <f>SUM(R133:R137)</f>
        <v>0</v>
      </c>
      <c r="S138" s="81"/>
      <c r="T138" s="81">
        <f>SUM(T133:T137)</f>
        <v>0</v>
      </c>
      <c r="U138" s="81"/>
      <c r="V138" s="81">
        <f>SUM(V133:V137)</f>
        <v>0</v>
      </c>
      <c r="W138" s="81"/>
      <c r="X138" s="81">
        <f>SUM(X133:X137)</f>
        <v>0</v>
      </c>
      <c r="Y138" s="81"/>
      <c r="Z138" s="81">
        <f>SUM(Z133:Z137)</f>
        <v>0</v>
      </c>
      <c r="AA138" s="81"/>
      <c r="AB138" s="81">
        <f>SUM(AB133:AB137)</f>
        <v>0</v>
      </c>
      <c r="AC138" s="81"/>
      <c r="AD138" s="81">
        <f>SUM(AD133:AD137)</f>
        <v>0</v>
      </c>
      <c r="AE138" s="81"/>
      <c r="AF138" s="81">
        <f>SUM(AF133:AF137)</f>
        <v>0</v>
      </c>
      <c r="AG138" s="81"/>
      <c r="AH138" s="81">
        <f>SUM(AH133:AH137)</f>
        <v>0</v>
      </c>
      <c r="AI138" s="81"/>
      <c r="AJ138" s="81">
        <f>SUM(AJ133:AJ137)</f>
        <v>0</v>
      </c>
      <c r="AK138" s="81"/>
      <c r="AL138" s="81">
        <f>SUM(AL133:AL137)</f>
        <v>0</v>
      </c>
      <c r="AM138" s="81"/>
      <c r="AN138" s="81">
        <f>SUM(AN133:AN137)</f>
        <v>0</v>
      </c>
      <c r="AO138" s="81"/>
      <c r="AP138" s="81"/>
      <c r="AQ138" s="81">
        <f>SUM(AQ133:AQ137)</f>
        <v>0</v>
      </c>
      <c r="AR138" s="81"/>
      <c r="AS138" s="81">
        <f>SUM(AS133:AS137)</f>
        <v>0</v>
      </c>
      <c r="AT138" s="9"/>
      <c r="AU138" s="81">
        <f>SUM(AU133:AU137)</f>
        <v>0</v>
      </c>
      <c r="AV138" s="81"/>
      <c r="AW138" s="81">
        <f>SUM(AW133:AW137)</f>
        <v>0</v>
      </c>
      <c r="AX138" s="9"/>
      <c r="AY138" s="81">
        <f>SUM(AY133:AY137)</f>
        <v>0</v>
      </c>
      <c r="AZ138" s="81"/>
      <c r="BA138" s="81">
        <f>SUM(BA133:BA137)</f>
        <v>1420757.737047925</v>
      </c>
      <c r="BB138" s="9"/>
      <c r="BC138" s="81">
        <f>SUM(BC133:BC137)</f>
        <v>0</v>
      </c>
      <c r="BD138" s="81"/>
      <c r="BE138" s="81">
        <f>SUM(BE133:BE137)</f>
        <v>0</v>
      </c>
      <c r="BF138" s="9"/>
      <c r="BG138" s="81">
        <f>SUM(BG133:BG137)</f>
        <v>0</v>
      </c>
      <c r="BH138" s="81"/>
      <c r="BI138" s="81">
        <f>SUM(BI133:BI137)</f>
        <v>0</v>
      </c>
      <c r="BJ138" s="9"/>
      <c r="BK138" s="81">
        <f>SUM(BK133:BK137)</f>
        <v>0</v>
      </c>
      <c r="BL138" s="81"/>
      <c r="BM138" s="81">
        <f>SUM(BM133:BM137)</f>
        <v>0</v>
      </c>
    </row>
    <row r="139" ht="18.75" customHeight="1" spans="2:65" x14ac:dyDescent="0.25">
      <c r="B139" s="34"/>
      <c r="C139" s="34"/>
      <c r="D139" s="34"/>
      <c r="E139" s="30"/>
      <c r="F139" s="28"/>
      <c r="J139" s="78">
        <f>$J$8</f>
        <v>1</v>
      </c>
      <c r="K139" s="78">
        <f>$K$8</f>
        <v>1</v>
      </c>
      <c r="L139" s="77"/>
      <c r="M139" s="77"/>
      <c r="N139" s="78">
        <f>$N$8</f>
        <v>1</v>
      </c>
      <c r="O139" s="78">
        <f>$O$8</f>
        <v>1</v>
      </c>
      <c r="P139" s="77"/>
      <c r="Q139" s="77"/>
      <c r="R139" s="78">
        <f>$R$8</f>
        <v>1</v>
      </c>
      <c r="S139" s="78">
        <f>$S$8</f>
        <v>1</v>
      </c>
      <c r="T139" s="77"/>
      <c r="U139" s="77"/>
      <c r="V139" s="78">
        <f>$V$8</f>
        <v>1</v>
      </c>
      <c r="W139" s="78">
        <f>$W$8</f>
        <v>1</v>
      </c>
      <c r="X139" s="77"/>
      <c r="Y139" s="77"/>
      <c r="Z139" s="78">
        <f>$Z$8</f>
        <v>1</v>
      </c>
      <c r="AA139" s="78">
        <f>$AA$8</f>
        <v>1</v>
      </c>
      <c r="AB139" s="77"/>
      <c r="AC139" s="77"/>
      <c r="AD139" s="78">
        <f>$AD$8</f>
        <v>1</v>
      </c>
      <c r="AE139" s="78">
        <f>$AE$8</f>
        <v>1</v>
      </c>
      <c r="AF139" s="77"/>
      <c r="AG139" s="77"/>
      <c r="AH139" s="78">
        <f>$AH$8</f>
        <v>1</v>
      </c>
      <c r="AI139" s="78">
        <f>$AI$8</f>
        <v>1</v>
      </c>
      <c r="AJ139" s="77"/>
      <c r="AK139" s="77"/>
      <c r="AL139" s="78">
        <f>$AL$8</f>
        <v>1</v>
      </c>
      <c r="AM139" s="78">
        <f>$AM$8</f>
        <v>1</v>
      </c>
      <c r="AN139" s="77"/>
      <c r="AO139" s="77"/>
      <c r="AP139" s="54"/>
      <c r="AQ139" s="54"/>
      <c r="AR139" s="54"/>
      <c r="AS139" s="54"/>
      <c r="AU139" s="78">
        <f>$AU$8</f>
        <v>1.25</v>
      </c>
      <c r="AV139" s="78">
        <f>$AV$8</f>
        <v>1.2</v>
      </c>
      <c r="AW139" s="54"/>
      <c r="AY139" s="78">
        <f>$AY$8</f>
        <v>1.2</v>
      </c>
      <c r="AZ139" s="78">
        <f>$AZ$8</f>
        <v>1.2</v>
      </c>
      <c r="BA139" s="77"/>
      <c r="BB139" s="28"/>
      <c r="BC139" s="78">
        <f>$BC$8</f>
        <v>1.2</v>
      </c>
      <c r="BD139" s="78">
        <f>$BD$8</f>
        <v>1.25</v>
      </c>
      <c r="BE139" s="77"/>
      <c r="BF139" s="28"/>
      <c r="BG139" s="78">
        <f>$BG$8</f>
        <v>1.25</v>
      </c>
      <c r="BH139" s="78">
        <f>$BH$8</f>
        <v>1.25</v>
      </c>
      <c r="BI139" s="77"/>
      <c r="BJ139" s="28"/>
      <c r="BK139" s="78">
        <f>$BK$8</f>
        <v>1.15</v>
      </c>
      <c r="BL139" s="78">
        <f>$BL$8</f>
        <v>1.2</v>
      </c>
      <c r="BM139" s="77"/>
    </row>
    <row r="140" ht="18.75" customHeight="1" spans="2:65" x14ac:dyDescent="0.25">
      <c r="B140" s="5">
        <v>6</v>
      </c>
      <c r="C140" s="27" t="s">
        <v>138</v>
      </c>
      <c r="D140" s="27"/>
      <c r="E140" s="30"/>
      <c r="F140" s="55"/>
      <c r="G140" s="55"/>
      <c r="H140" s="55"/>
      <c r="I140" s="55"/>
      <c r="J140" s="55"/>
      <c r="K140" s="55"/>
      <c r="L140" s="55"/>
      <c r="M140" s="55"/>
      <c r="N140" s="55"/>
      <c r="O140" s="55"/>
      <c r="P140" s="55"/>
      <c r="Q140" s="55"/>
      <c r="R140" s="55"/>
      <c r="S140" s="55"/>
      <c r="T140" s="55"/>
      <c r="U140" s="55"/>
      <c r="V140" s="55"/>
      <c r="W140" s="55"/>
      <c r="X140" s="55"/>
      <c r="Y140" s="55"/>
      <c r="Z140" s="55"/>
      <c r="AA140" s="55"/>
      <c r="AB140" s="55"/>
      <c r="AC140" s="55"/>
      <c r="AD140" s="55"/>
      <c r="AE140" s="55"/>
      <c r="AF140" s="55"/>
      <c r="AG140" s="55"/>
      <c r="AH140" s="55"/>
      <c r="AI140" s="55"/>
      <c r="AJ140" s="55"/>
      <c r="AK140" s="55"/>
      <c r="AL140" s="55"/>
      <c r="AM140" s="55"/>
      <c r="AN140" s="55"/>
      <c r="AO140" s="54"/>
      <c r="AP140" s="54"/>
      <c r="AQ140" s="54"/>
      <c r="AR140" s="54"/>
      <c r="AS140" s="80">
        <f t="shared" ref="AS140:AS145" si="167">SUMIF($F$6:$AN$6,$AS$6,F140:AN140)</f>
        <v>0</v>
      </c>
      <c r="AU140" s="51"/>
      <c r="AV140" s="51"/>
      <c r="AW140" s="51"/>
      <c r="AY140" s="51"/>
      <c r="AZ140" s="51"/>
      <c r="BA140" s="51"/>
      <c r="BC140" s="51"/>
      <c r="BD140" s="51"/>
      <c r="BE140" s="51"/>
      <c r="BG140" s="51"/>
      <c r="BH140" s="51"/>
      <c r="BI140" s="51"/>
      <c r="BK140" s="51"/>
      <c r="BL140" s="51"/>
      <c r="BM140" s="51"/>
    </row>
    <row r="141" ht="18.75" customHeight="1" spans="2:66" x14ac:dyDescent="0.25">
      <c r="B141" s="5" t="s">
        <v>147</v>
      </c>
      <c r="C141" s="27"/>
      <c r="D141" s="29" t="s">
        <v>262</v>
      </c>
      <c r="E141" s="30"/>
      <c r="F141" s="55"/>
      <c r="G141" s="55"/>
      <c r="H141" s="55"/>
      <c r="I141" s="55"/>
      <c r="J141" s="55"/>
      <c r="K141" s="55"/>
      <c r="L141" s="55"/>
      <c r="M141" s="55"/>
      <c r="N141" s="55"/>
      <c r="O141" s="55"/>
      <c r="P141" s="55"/>
      <c r="Q141" s="55"/>
      <c r="R141" s="55"/>
      <c r="S141" s="55"/>
      <c r="T141" s="55"/>
      <c r="U141" s="55"/>
      <c r="V141" s="55"/>
      <c r="W141" s="55"/>
      <c r="X141" s="55"/>
      <c r="Y141" s="55"/>
      <c r="Z141" s="55"/>
      <c r="AA141" s="55"/>
      <c r="AB141" s="55"/>
      <c r="AC141" s="55"/>
      <c r="AD141" s="55"/>
      <c r="AE141" s="55"/>
      <c r="AF141" s="55"/>
      <c r="AG141" s="55"/>
      <c r="AH141" s="55"/>
      <c r="AI141" s="55"/>
      <c r="AJ141" s="55"/>
      <c r="AK141" s="55"/>
      <c r="AL141" s="55"/>
      <c r="AM141" s="55"/>
      <c r="AN141" s="55"/>
      <c r="AO141" s="54"/>
      <c r="AP141" s="54"/>
      <c r="AQ141" s="54"/>
      <c r="AR141" s="54"/>
      <c r="AS141" s="80">
        <f t="shared" si="167"/>
        <v>0</v>
      </c>
      <c r="AU141" s="51">
        <f>AQ141*$AU$60</f>
        <v>0</v>
      </c>
      <c r="AV141" s="51">
        <f>AR141*$AV$60</f>
        <v>0</v>
      </c>
      <c r="AW141" s="51" t="e">
        <f>SUM('4. P&amp;L'!#REF!)*AX141</f>
        <v>#REF!</v>
      </c>
      <c r="AX141" s="37">
        <v>0.0125</v>
      </c>
      <c r="AY141" s="51">
        <f>AU141*$AY$60</f>
        <v>0</v>
      </c>
      <c r="AZ141" s="51">
        <f>AV141*$AZ$60</f>
        <v>0</v>
      </c>
      <c r="BA141" s="51" t="e">
        <f>SUM('4. P&amp;L'!#REF!)*BB141</f>
        <v>#REF!</v>
      </c>
      <c r="BB141" s="37">
        <v>0.0125</v>
      </c>
      <c r="BC141" s="51">
        <f>AY141*$BC$60</f>
        <v>0</v>
      </c>
      <c r="BD141" s="51">
        <f>AZ141*$BD$60</f>
        <v>0</v>
      </c>
      <c r="BE141" s="51" t="e">
        <f>SUM('4. P&amp;L'!#REF!)*BF141</f>
        <v>#REF!</v>
      </c>
      <c r="BF141" s="37">
        <v>0.0125</v>
      </c>
      <c r="BG141" s="51">
        <f>BC141*$BG$60</f>
        <v>0</v>
      </c>
      <c r="BH141" s="51">
        <f>BD141*$BH$60</f>
        <v>0</v>
      </c>
      <c r="BI141" s="51" t="e">
        <f>SUM('4. P&amp;L'!#REF!)*BJ141</f>
        <v>#REF!</v>
      </c>
      <c r="BJ141" s="82">
        <v>0.0125</v>
      </c>
      <c r="BK141" s="51">
        <f>BG141*$BK$60</f>
        <v>0</v>
      </c>
      <c r="BL141" s="51">
        <f>BH141*$BL$60</f>
        <v>0</v>
      </c>
      <c r="BM141" s="51" t="e">
        <f>SUM('4. P&amp;L'!#REF!)*BN141</f>
        <v>#REF!</v>
      </c>
      <c r="BN141" s="82">
        <v>0.0125</v>
      </c>
    </row>
    <row r="142" ht="18.75" customHeight="1" spans="2:66" x14ac:dyDescent="0.25">
      <c r="B142" s="5" t="s">
        <v>148</v>
      </c>
      <c r="C142" s="27"/>
      <c r="D142" s="29" t="s">
        <v>142</v>
      </c>
      <c r="E142" s="30"/>
      <c r="F142" s="55"/>
      <c r="G142" s="55"/>
      <c r="H142" s="55"/>
      <c r="I142" s="55"/>
      <c r="J142" s="55"/>
      <c r="K142" s="55"/>
      <c r="L142" s="55"/>
      <c r="M142" s="55"/>
      <c r="N142" s="55"/>
      <c r="O142" s="55"/>
      <c r="P142" s="55"/>
      <c r="Q142" s="55"/>
      <c r="R142" s="55"/>
      <c r="S142" s="55"/>
      <c r="T142" s="55"/>
      <c r="U142" s="55"/>
      <c r="V142" s="55"/>
      <c r="W142" s="55"/>
      <c r="X142" s="55"/>
      <c r="Y142" s="55"/>
      <c r="Z142" s="55"/>
      <c r="AA142" s="55"/>
      <c r="AB142" s="55"/>
      <c r="AC142" s="55"/>
      <c r="AD142" s="55"/>
      <c r="AE142" s="55"/>
      <c r="AF142" s="55"/>
      <c r="AG142" s="55"/>
      <c r="AH142" s="55"/>
      <c r="AI142" s="55"/>
      <c r="AJ142" s="55"/>
      <c r="AK142" s="55"/>
      <c r="AL142" s="55"/>
      <c r="AM142" s="55"/>
      <c r="AN142" s="55"/>
      <c r="AO142" s="54"/>
      <c r="AP142" s="54"/>
      <c r="AQ142" s="54"/>
      <c r="AR142" s="54"/>
      <c r="AS142" s="80">
        <f t="shared" si="167"/>
        <v>0</v>
      </c>
      <c r="AU142" s="51">
        <f>AQ142*$AU$60</f>
        <v>0</v>
      </c>
      <c r="AV142" s="51">
        <f>AR142*$AV$60</f>
        <v>0</v>
      </c>
      <c r="AW142" s="51" t="e">
        <f>SUM('4. P&amp;L'!#REF!)*AX142</f>
        <v>#REF!</v>
      </c>
      <c r="AX142" s="37">
        <v>0.0091</v>
      </c>
      <c r="AY142" s="51">
        <f>AU142*$AY$60</f>
        <v>0</v>
      </c>
      <c r="AZ142" s="51">
        <f>AV142*$AZ$60</f>
        <v>0</v>
      </c>
      <c r="BA142" s="51" t="e">
        <f>SUM('4. P&amp;L'!#REF!)*BB142</f>
        <v>#REF!</v>
      </c>
      <c r="BB142" s="37">
        <v>0.0091</v>
      </c>
      <c r="BC142" s="51">
        <f>AY142*$BC$60</f>
        <v>0</v>
      </c>
      <c r="BD142" s="51">
        <f>AZ142*$BD$60</f>
        <v>0</v>
      </c>
      <c r="BE142" s="51" t="e">
        <f>SUM('4. P&amp;L'!#REF!)*BF142</f>
        <v>#REF!</v>
      </c>
      <c r="BF142" s="37">
        <v>0.0091</v>
      </c>
      <c r="BG142" s="51">
        <f>BC142*$BG$60</f>
        <v>0</v>
      </c>
      <c r="BH142" s="51">
        <f>BD142*$BH$60</f>
        <v>0</v>
      </c>
      <c r="BI142" s="51" t="e">
        <f>SUM('4. P&amp;L'!#REF!)*BJ142</f>
        <v>#REF!</v>
      </c>
      <c r="BJ142" s="82">
        <v>0.0091</v>
      </c>
      <c r="BK142" s="51">
        <f>BG142*$BK$60</f>
        <v>0</v>
      </c>
      <c r="BL142" s="51">
        <f>BH142*$BL$60</f>
        <v>0</v>
      </c>
      <c r="BM142" s="51" t="e">
        <f>SUM('4. P&amp;L'!#REF!)*BN142</f>
        <v>#REF!</v>
      </c>
      <c r="BN142" s="82">
        <v>0.0091</v>
      </c>
    </row>
    <row r="143" ht="18.75" customHeight="1" spans="2:66" x14ac:dyDescent="0.25">
      <c r="B143" s="5" t="s">
        <v>149</v>
      </c>
      <c r="C143" s="27"/>
      <c r="D143" s="29" t="s">
        <v>143</v>
      </c>
      <c r="E143" s="30"/>
      <c r="F143" s="55"/>
      <c r="G143" s="55"/>
      <c r="H143" s="55"/>
      <c r="I143" s="55"/>
      <c r="J143" s="55"/>
      <c r="K143" s="55"/>
      <c r="L143" s="55"/>
      <c r="M143" s="55"/>
      <c r="N143" s="55"/>
      <c r="O143" s="55"/>
      <c r="P143" s="55"/>
      <c r="Q143" s="55"/>
      <c r="R143" s="55"/>
      <c r="S143" s="55"/>
      <c r="T143" s="55"/>
      <c r="U143" s="55"/>
      <c r="V143" s="55"/>
      <c r="W143" s="55"/>
      <c r="X143" s="55"/>
      <c r="Y143" s="55"/>
      <c r="Z143" s="55"/>
      <c r="AA143" s="55"/>
      <c r="AB143" s="55"/>
      <c r="AC143" s="55"/>
      <c r="AD143" s="55"/>
      <c r="AE143" s="55"/>
      <c r="AF143" s="55"/>
      <c r="AG143" s="55"/>
      <c r="AH143" s="55"/>
      <c r="AI143" s="55"/>
      <c r="AJ143" s="55"/>
      <c r="AK143" s="55"/>
      <c r="AL143" s="55"/>
      <c r="AM143" s="55"/>
      <c r="AN143" s="55"/>
      <c r="AO143" s="54"/>
      <c r="AP143" s="54"/>
      <c r="AQ143" s="54"/>
      <c r="AR143" s="54"/>
      <c r="AS143" s="80">
        <f t="shared" si="167"/>
        <v>0</v>
      </c>
      <c r="AU143" s="51">
        <f>AQ143*$AU$60</f>
        <v>0</v>
      </c>
      <c r="AV143" s="51">
        <f>AR143*$AV$60</f>
        <v>0</v>
      </c>
      <c r="AW143" s="51" t="e">
        <f>SUM('4. P&amp;L'!#REF!)*AX143</f>
        <v>#REF!</v>
      </c>
      <c r="AX143" s="37">
        <v>0.0091</v>
      </c>
      <c r="AY143" s="51">
        <f>AU143*$AY$60</f>
        <v>0</v>
      </c>
      <c r="AZ143" s="51">
        <f>AV143*$AZ$60</f>
        <v>0</v>
      </c>
      <c r="BA143" s="51" t="e">
        <f>SUM('4. P&amp;L'!#REF!)*BB143</f>
        <v>#REF!</v>
      </c>
      <c r="BB143" s="37">
        <v>0.0091</v>
      </c>
      <c r="BC143" s="51">
        <f>AY143*$BC$60</f>
        <v>0</v>
      </c>
      <c r="BD143" s="51">
        <f>AZ143*$BD$60</f>
        <v>0</v>
      </c>
      <c r="BE143" s="51" t="e">
        <f>SUM('4. P&amp;L'!#REF!)*BF143</f>
        <v>#REF!</v>
      </c>
      <c r="BF143" s="37">
        <v>0.0091</v>
      </c>
      <c r="BG143" s="51">
        <f>BC143*$BG$60</f>
        <v>0</v>
      </c>
      <c r="BH143" s="51">
        <f>BD143*$BH$60</f>
        <v>0</v>
      </c>
      <c r="BI143" s="51" t="e">
        <f>SUM('4. P&amp;L'!#REF!)*BJ143</f>
        <v>#REF!</v>
      </c>
      <c r="BJ143" s="82">
        <v>0.0091</v>
      </c>
      <c r="BK143" s="51">
        <f>BG143*$BK$60</f>
        <v>0</v>
      </c>
      <c r="BL143" s="51">
        <f>BH143*$BL$60</f>
        <v>0</v>
      </c>
      <c r="BM143" s="51" t="e">
        <f>SUM('4. P&amp;L'!#REF!)*BN143</f>
        <v>#REF!</v>
      </c>
      <c r="BN143" s="82">
        <v>0.0091</v>
      </c>
    </row>
    <row r="144" ht="18.75" customHeight="1" spans="2:66" x14ac:dyDescent="0.25">
      <c r="B144" s="5" t="s">
        <v>150</v>
      </c>
      <c r="C144" s="27"/>
      <c r="D144" s="29" t="s">
        <v>263</v>
      </c>
      <c r="F144" s="55"/>
      <c r="G144" s="55"/>
      <c r="H144" s="55"/>
      <c r="I144" s="55"/>
      <c r="J144" s="55"/>
      <c r="K144" s="55"/>
      <c r="L144" s="55"/>
      <c r="M144" s="55"/>
      <c r="N144" s="55"/>
      <c r="O144" s="55"/>
      <c r="P144" s="55"/>
      <c r="Q144" s="55"/>
      <c r="R144" s="55"/>
      <c r="S144" s="55"/>
      <c r="T144" s="55"/>
      <c r="U144" s="55"/>
      <c r="V144" s="55"/>
      <c r="W144" s="55"/>
      <c r="X144" s="55"/>
      <c r="Y144" s="55"/>
      <c r="Z144" s="55"/>
      <c r="AA144" s="55"/>
      <c r="AB144" s="55"/>
      <c r="AC144" s="55"/>
      <c r="AD144" s="55"/>
      <c r="AE144" s="55"/>
      <c r="AF144" s="55"/>
      <c r="AG144" s="55"/>
      <c r="AH144" s="55"/>
      <c r="AI144" s="55"/>
      <c r="AJ144" s="55"/>
      <c r="AK144" s="55"/>
      <c r="AL144" s="55"/>
      <c r="AM144" s="55"/>
      <c r="AN144" s="55"/>
      <c r="AO144" s="54"/>
      <c r="AP144" s="54"/>
      <c r="AQ144" s="54"/>
      <c r="AR144" s="54"/>
      <c r="AS144" s="80">
        <f t="shared" si="167"/>
        <v>0</v>
      </c>
      <c r="AU144" s="51"/>
      <c r="AV144" s="51"/>
      <c r="AW144" s="51" t="e">
        <f>SUM('4. P&amp;L'!#REF!)*AX144</f>
        <v>#REF!</v>
      </c>
      <c r="AX144" s="37">
        <v>0.011</v>
      </c>
      <c r="AY144" s="51"/>
      <c r="AZ144" s="51"/>
      <c r="BA144" s="51" t="e">
        <f>SUM('4. P&amp;L'!#REF!)*BB144</f>
        <v>#REF!</v>
      </c>
      <c r="BB144" s="37">
        <v>0.011</v>
      </c>
      <c r="BC144" s="51"/>
      <c r="BD144" s="51"/>
      <c r="BE144" s="51" t="e">
        <f>SUM('4. P&amp;L'!#REF!)*BF144</f>
        <v>#REF!</v>
      </c>
      <c r="BF144" s="37">
        <v>0.011</v>
      </c>
      <c r="BG144" s="51"/>
      <c r="BH144" s="51"/>
      <c r="BI144" s="51" t="e">
        <f>SUM('4. P&amp;L'!#REF!)*BJ144</f>
        <v>#REF!</v>
      </c>
      <c r="BJ144" s="82">
        <v>0.011</v>
      </c>
      <c r="BK144" s="51"/>
      <c r="BL144" s="51"/>
      <c r="BM144" s="51" t="e">
        <f>SUM('4. P&amp;L'!#REF!)*BN144</f>
        <v>#REF!</v>
      </c>
      <c r="BN144" s="82">
        <v>0.011</v>
      </c>
    </row>
    <row r="145" ht="18.75" customHeight="1" spans="2:65" x14ac:dyDescent="0.25">
      <c r="B145" s="5" t="s">
        <v>151</v>
      </c>
      <c r="C145" s="27"/>
      <c r="D145" s="29">
        <v>0</v>
      </c>
      <c r="F145" s="55"/>
      <c r="G145" s="55"/>
      <c r="H145" s="55"/>
      <c r="I145" s="55"/>
      <c r="J145" s="55"/>
      <c r="K145" s="55"/>
      <c r="L145" s="55"/>
      <c r="M145" s="55"/>
      <c r="N145" s="55"/>
      <c r="O145" s="55"/>
      <c r="P145" s="55"/>
      <c r="Q145" s="55"/>
      <c r="R145" s="55"/>
      <c r="S145" s="55"/>
      <c r="T145" s="55"/>
      <c r="U145" s="55"/>
      <c r="V145" s="55"/>
      <c r="W145" s="55"/>
      <c r="X145" s="55"/>
      <c r="Y145" s="55"/>
      <c r="Z145" s="55"/>
      <c r="AA145" s="55"/>
      <c r="AB145" s="55"/>
      <c r="AC145" s="55"/>
      <c r="AD145" s="55"/>
      <c r="AE145" s="55"/>
      <c r="AF145" s="55"/>
      <c r="AG145" s="55"/>
      <c r="AH145" s="55"/>
      <c r="AI145" s="55"/>
      <c r="AJ145" s="55"/>
      <c r="AK145" s="55"/>
      <c r="AL145" s="55"/>
      <c r="AM145" s="55"/>
      <c r="AN145" s="55"/>
      <c r="AO145" s="54"/>
      <c r="AP145" s="54"/>
      <c r="AQ145" s="54"/>
      <c r="AR145" s="54"/>
      <c r="AS145" s="80">
        <f t="shared" si="167"/>
        <v>0</v>
      </c>
      <c r="AU145" s="51"/>
      <c r="AV145" s="51"/>
      <c r="AW145" s="51"/>
      <c r="AY145" s="51"/>
      <c r="AZ145" s="51"/>
      <c r="BA145" s="51"/>
      <c r="BC145" s="51"/>
      <c r="BD145" s="51"/>
      <c r="BE145" s="51"/>
      <c r="BG145" s="51"/>
      <c r="BH145" s="51"/>
      <c r="BI145" s="51"/>
      <c r="BK145" s="51"/>
      <c r="BL145" s="51"/>
      <c r="BM145" s="51"/>
    </row>
    <row r="146" spans="2:65" x14ac:dyDescent="0.25">
      <c r="B146" s="34" t="s">
        <v>58</v>
      </c>
      <c r="C146" s="34"/>
      <c r="D146" s="34"/>
      <c r="E146" s="34"/>
      <c r="F146" s="81">
        <f>SUM(F141:F145)</f>
        <v>0</v>
      </c>
      <c r="G146" s="81"/>
      <c r="H146" s="81">
        <f>SUM(H141:H145)</f>
        <v>0</v>
      </c>
      <c r="I146" s="81"/>
      <c r="J146" s="81">
        <f>SUM(J141:J145)</f>
        <v>0</v>
      </c>
      <c r="K146" s="81"/>
      <c r="L146" s="81">
        <f>SUM(L141:L145)</f>
        <v>0</v>
      </c>
      <c r="M146" s="81"/>
      <c r="N146" s="81">
        <f>SUM(N141:N145)</f>
        <v>0</v>
      </c>
      <c r="O146" s="81"/>
      <c r="P146" s="81">
        <f>SUM(P141:P145)</f>
        <v>0</v>
      </c>
      <c r="Q146" s="81"/>
      <c r="R146" s="81">
        <f>SUM(R141:R145)</f>
        <v>0</v>
      </c>
      <c r="S146" s="81"/>
      <c r="T146" s="81">
        <f>SUM(T141:T145)</f>
        <v>0</v>
      </c>
      <c r="U146" s="81"/>
      <c r="V146" s="81">
        <f>SUM(V141:V145)</f>
        <v>0</v>
      </c>
      <c r="W146" s="81"/>
      <c r="X146" s="81">
        <f>SUM(X141:X145)</f>
        <v>0</v>
      </c>
      <c r="Y146" s="81"/>
      <c r="Z146" s="81">
        <f>SUM(Z141:Z145)</f>
        <v>0</v>
      </c>
      <c r="AA146" s="81"/>
      <c r="AB146" s="81">
        <f>SUM(AB141:AB145)</f>
        <v>0</v>
      </c>
      <c r="AC146" s="81"/>
      <c r="AD146" s="81">
        <f>SUM(AD141:AD145)</f>
        <v>0</v>
      </c>
      <c r="AE146" s="81"/>
      <c r="AF146" s="81">
        <f>SUM(AF141:AF145)</f>
        <v>0</v>
      </c>
      <c r="AG146" s="81"/>
      <c r="AH146" s="81">
        <f>SUM(AH141:AH145)</f>
        <v>0</v>
      </c>
      <c r="AI146" s="81"/>
      <c r="AJ146" s="81">
        <f>SUM(AJ141:AJ145)</f>
        <v>0</v>
      </c>
      <c r="AK146" s="81"/>
      <c r="AL146" s="81">
        <f>SUM(AL141:AL145)</f>
        <v>0</v>
      </c>
      <c r="AM146" s="81"/>
      <c r="AN146" s="81">
        <f>SUM(AN141:AN145)</f>
        <v>0</v>
      </c>
      <c r="AO146" s="81"/>
      <c r="AP146" s="81"/>
      <c r="AQ146" s="81">
        <f>SUM(AQ141:AQ145)</f>
        <v>0</v>
      </c>
      <c r="AR146" s="81"/>
      <c r="AS146" s="81">
        <f>SUM(AS141:AS145)</f>
        <v>0</v>
      </c>
      <c r="AT146" s="9"/>
      <c r="AU146" s="81">
        <f>SUM(AU141:AU145)</f>
        <v>0</v>
      </c>
      <c r="AV146" s="81"/>
      <c r="AW146" s="81" t="e">
        <f>SUM(AW141:AW145)</f>
        <v>#REF!</v>
      </c>
      <c r="AX146" s="9"/>
      <c r="AY146" s="81">
        <f>SUM(AY141:AY145)</f>
        <v>0</v>
      </c>
      <c r="AZ146" s="81"/>
      <c r="BA146" s="81" t="e">
        <f>SUM(BA141:BA145)</f>
        <v>#REF!</v>
      </c>
      <c r="BB146" s="9"/>
      <c r="BC146" s="81">
        <f>SUM(BC141:BC145)</f>
        <v>0</v>
      </c>
      <c r="BD146" s="81"/>
      <c r="BE146" s="81" t="e">
        <f>SUM(BE141:BE145)</f>
        <v>#REF!</v>
      </c>
      <c r="BF146" s="9"/>
      <c r="BG146" s="81">
        <f>SUM(BG141:BG145)</f>
        <v>0</v>
      </c>
      <c r="BH146" s="81"/>
      <c r="BI146" s="81" t="e">
        <f>SUM(BI141:BI145)</f>
        <v>#REF!</v>
      </c>
      <c r="BJ146" s="9"/>
      <c r="BK146" s="81">
        <f>SUM(BK141:BK145)</f>
        <v>0</v>
      </c>
      <c r="BL146" s="81"/>
      <c r="BM146" s="81" t="e">
        <f>SUM(BM141:BM145)</f>
        <v>#REF!</v>
      </c>
    </row>
    <row r="147" ht="18.75" customHeight="1" spans="2:65" x14ac:dyDescent="0.25">
      <c r="B147" s="9"/>
      <c r="C147" s="28"/>
      <c r="D147" s="30"/>
      <c r="G147" s="54"/>
      <c r="H147" s="54"/>
      <c r="I147" s="54"/>
      <c r="K147" s="54"/>
      <c r="L147" s="54"/>
      <c r="M147" s="54"/>
      <c r="O147" s="54"/>
      <c r="P147" s="54"/>
      <c r="Q147" s="54"/>
      <c r="S147" s="54"/>
      <c r="T147" s="54"/>
      <c r="U147" s="54"/>
      <c r="W147" s="54"/>
      <c r="X147" s="54"/>
      <c r="Y147" s="54"/>
      <c r="AA147" s="54"/>
      <c r="AB147" s="54"/>
      <c r="AC147" s="54"/>
      <c r="AE147" s="54"/>
      <c r="AF147" s="54"/>
      <c r="AG147" s="54"/>
      <c r="AI147" s="54"/>
      <c r="AJ147" s="54"/>
      <c r="AK147" s="54"/>
      <c r="AM147" s="54"/>
      <c r="AN147" s="54"/>
      <c r="AO147" s="54"/>
      <c r="AP147" s="54"/>
      <c r="AQ147" s="54"/>
      <c r="AR147" s="54"/>
      <c r="AS147" s="54"/>
      <c r="AV147" s="54"/>
      <c r="AW147" s="54"/>
      <c r="AZ147" s="54"/>
      <c r="BA147" s="54"/>
      <c r="BD147" s="54"/>
      <c r="BE147" s="54"/>
      <c r="BH147" s="54"/>
      <c r="BI147" s="54"/>
      <c r="BL147" s="54"/>
      <c r="BM147" s="54"/>
    </row>
    <row r="148" ht="18.75" customHeight="1" spans="2:65" x14ac:dyDescent="0.25">
      <c r="B148" s="34"/>
      <c r="C148" s="34"/>
      <c r="D148" s="34"/>
      <c r="E148" s="30"/>
      <c r="F148" s="28"/>
      <c r="J148" s="78">
        <f>$J$8</f>
        <v>1</v>
      </c>
      <c r="K148" s="78">
        <f>$K$8</f>
        <v>1</v>
      </c>
      <c r="L148" s="77"/>
      <c r="M148" s="77"/>
      <c r="N148" s="78">
        <f>$N$8</f>
        <v>1</v>
      </c>
      <c r="O148" s="78">
        <f>$O$8</f>
        <v>1</v>
      </c>
      <c r="P148" s="77"/>
      <c r="Q148" s="77"/>
      <c r="R148" s="78">
        <f>$R$8</f>
        <v>1</v>
      </c>
      <c r="S148" s="78">
        <f>$S$8</f>
        <v>1</v>
      </c>
      <c r="T148" s="77"/>
      <c r="U148" s="77"/>
      <c r="V148" s="78">
        <f>$V$8</f>
        <v>1</v>
      </c>
      <c r="W148" s="78">
        <f>$W$8</f>
        <v>1</v>
      </c>
      <c r="X148" s="77"/>
      <c r="Y148" s="77"/>
      <c r="Z148" s="78">
        <f>$Z$8</f>
        <v>1</v>
      </c>
      <c r="AA148" s="78">
        <f>$AA$8</f>
        <v>1</v>
      </c>
      <c r="AB148" s="77"/>
      <c r="AC148" s="77"/>
      <c r="AD148" s="78">
        <f>$AD$8</f>
        <v>1</v>
      </c>
      <c r="AE148" s="78">
        <f>$AE$8</f>
        <v>1</v>
      </c>
      <c r="AF148" s="77"/>
      <c r="AG148" s="77"/>
      <c r="AH148" s="78">
        <f>$AH$8</f>
        <v>1</v>
      </c>
      <c r="AI148" s="78">
        <f>$AI$8</f>
        <v>1</v>
      </c>
      <c r="AJ148" s="77"/>
      <c r="AK148" s="77"/>
      <c r="AL148" s="78">
        <f>$AL$8</f>
        <v>1</v>
      </c>
      <c r="AM148" s="78">
        <f>$AM$8</f>
        <v>1</v>
      </c>
      <c r="AN148" s="77"/>
      <c r="AO148" s="77"/>
      <c r="AP148" s="54"/>
      <c r="AQ148" s="54"/>
      <c r="AR148" s="54"/>
      <c r="AS148" s="54"/>
      <c r="AU148" s="78">
        <f>$AU$8</f>
        <v>1.25</v>
      </c>
      <c r="AV148" s="78">
        <f>$AV$8</f>
        <v>1.2</v>
      </c>
      <c r="AW148" s="54"/>
      <c r="AY148" s="78">
        <f>$AY$8</f>
        <v>1.2</v>
      </c>
      <c r="AZ148" s="78">
        <f>$AZ$8</f>
        <v>1.2</v>
      </c>
      <c r="BA148" s="77"/>
      <c r="BB148" s="28"/>
      <c r="BC148" s="78">
        <f>$BC$8</f>
        <v>1.2</v>
      </c>
      <c r="BD148" s="78">
        <f>$BD$8</f>
        <v>1.25</v>
      </c>
      <c r="BE148" s="77"/>
      <c r="BF148" s="28"/>
      <c r="BG148" s="78">
        <f>$BG$8</f>
        <v>1.25</v>
      </c>
      <c r="BH148" s="78">
        <f>$BH$8</f>
        <v>1.25</v>
      </c>
      <c r="BI148" s="77"/>
      <c r="BJ148" s="28"/>
      <c r="BK148" s="78">
        <f>$BK$8</f>
        <v>1.15</v>
      </c>
      <c r="BL148" s="78">
        <f>$BL$8</f>
        <v>1.2</v>
      </c>
      <c r="BM148" s="77"/>
    </row>
    <row r="149" ht="18.75" customHeight="1" spans="2:65" x14ac:dyDescent="0.25">
      <c r="B149" s="5">
        <v>6</v>
      </c>
      <c r="C149" s="27" t="s">
        <v>275</v>
      </c>
      <c r="D149" s="27"/>
      <c r="E149" s="30"/>
      <c r="F149" s="55"/>
      <c r="G149" s="55"/>
      <c r="H149" s="55"/>
      <c r="I149" s="55"/>
      <c r="J149" s="55"/>
      <c r="K149" s="55"/>
      <c r="L149" s="55"/>
      <c r="M149" s="55"/>
      <c r="N149" s="55"/>
      <c r="O149" s="55"/>
      <c r="P149" s="55"/>
      <c r="Q149" s="55"/>
      <c r="R149" s="55"/>
      <c r="S149" s="55"/>
      <c r="T149" s="55"/>
      <c r="U149" s="55"/>
      <c r="V149" s="55"/>
      <c r="W149" s="55"/>
      <c r="X149" s="55"/>
      <c r="Y149" s="55"/>
      <c r="Z149" s="55"/>
      <c r="AA149" s="55"/>
      <c r="AB149" s="55"/>
      <c r="AC149" s="55"/>
      <c r="AD149" s="55"/>
      <c r="AE149" s="55"/>
      <c r="AF149" s="55"/>
      <c r="AG149" s="55"/>
      <c r="AH149" s="55"/>
      <c r="AI149" s="55"/>
      <c r="AJ149" s="55"/>
      <c r="AK149" s="55"/>
      <c r="AL149" s="55"/>
      <c r="AM149" s="55"/>
      <c r="AN149" s="55"/>
      <c r="AO149" s="54"/>
      <c r="AP149" s="54"/>
      <c r="AQ149" s="54"/>
      <c r="AR149" s="54"/>
      <c r="AS149" s="80">
        <f t="shared" ref="AS149:AS157" si="168">SUMIF($F$6:$AN$6,$AS$6,F149:AN149)</f>
        <v>0</v>
      </c>
      <c r="AU149" s="51"/>
      <c r="AV149" s="51"/>
      <c r="AW149" s="51"/>
      <c r="AY149" s="51"/>
      <c r="AZ149" s="51"/>
      <c r="BA149" s="51"/>
      <c r="BC149" s="51"/>
      <c r="BD149" s="51"/>
      <c r="BE149" s="51"/>
      <c r="BG149" s="51"/>
      <c r="BH149" s="51"/>
      <c r="BI149" s="51"/>
      <c r="BK149" s="51"/>
      <c r="BL149" s="51"/>
      <c r="BM149" s="51"/>
    </row>
    <row r="150" ht="18.75" customHeight="1" spans="2:65" x14ac:dyDescent="0.25">
      <c r="B150" s="5" t="s">
        <v>147</v>
      </c>
      <c r="C150" s="27"/>
      <c r="D150" s="29" t="s">
        <v>276</v>
      </c>
      <c r="E150" s="30"/>
      <c r="F150" s="55"/>
      <c r="G150" s="55"/>
      <c r="H150" s="55"/>
      <c r="I150" s="55"/>
      <c r="J150" s="55"/>
      <c r="K150" s="55"/>
      <c r="L150" s="55"/>
      <c r="M150" s="55"/>
      <c r="N150" s="55"/>
      <c r="O150" s="55"/>
      <c r="P150" s="55"/>
      <c r="Q150" s="55"/>
      <c r="R150" s="55"/>
      <c r="S150" s="55"/>
      <c r="T150" s="55"/>
      <c r="U150" s="55"/>
      <c r="V150" s="55"/>
      <c r="W150" s="55"/>
      <c r="X150" s="55"/>
      <c r="Y150" s="55"/>
      <c r="Z150" s="55"/>
      <c r="AA150" s="55"/>
      <c r="AB150" s="55"/>
      <c r="AC150" s="55"/>
      <c r="AD150" s="55"/>
      <c r="AE150" s="55"/>
      <c r="AF150" s="55"/>
      <c r="AG150" s="55"/>
      <c r="AH150" s="55"/>
      <c r="AI150" s="55"/>
      <c r="AJ150" s="55"/>
      <c r="AK150" s="55"/>
      <c r="AL150" s="55"/>
      <c r="AM150" s="55"/>
      <c r="AN150" s="55"/>
      <c r="AO150" s="54"/>
      <c r="AP150" s="54"/>
      <c r="AQ150" s="54"/>
      <c r="AR150" s="54"/>
      <c r="AS150" s="80">
        <f t="shared" si="168"/>
        <v>0</v>
      </c>
      <c r="AU150" s="51">
        <f>5*12</f>
        <v>60</v>
      </c>
      <c r="AV150" s="51">
        <v>45000</v>
      </c>
      <c r="AW150" s="51">
        <f>AU150*AV150</f>
        <v>2700000</v>
      </c>
      <c r="AX150" s="37"/>
      <c r="AY150" s="51">
        <f t="shared" ref="AY150:AZ157" si="169">AU150*AY$148</f>
        <v>72</v>
      </c>
      <c r="AZ150" s="51">
        <f t="shared" si="169"/>
        <v>54000</v>
      </c>
      <c r="BA150" s="51">
        <f t="shared" ref="BA150:BA157" si="170">AY150*AZ150</f>
        <v>3888000</v>
      </c>
      <c r="BB150" s="37">
        <v>0.0125</v>
      </c>
      <c r="BC150" s="51">
        <f t="shared" ref="BC150:BD157" si="171">AY150*BC$148</f>
        <v>86.39999999999999</v>
      </c>
      <c r="BD150" s="51">
        <f t="shared" si="171"/>
        <v>67500</v>
      </c>
      <c r="BE150" s="51">
        <f t="shared" ref="BE150:BE157" si="172">BC150*BD150</f>
        <v>5831999.999999999</v>
      </c>
      <c r="BF150" s="37">
        <v>0.0125</v>
      </c>
      <c r="BG150" s="51">
        <f t="shared" ref="BG150:BH157" si="173">BC150*BG$148</f>
        <v>107.99999999999999</v>
      </c>
      <c r="BH150" s="51">
        <f t="shared" si="173"/>
        <v>84375</v>
      </c>
      <c r="BI150" s="51">
        <f t="shared" ref="BI150:BI157" si="174">BG150*BH150</f>
        <v>9112499.999999998</v>
      </c>
      <c r="BJ150" s="82">
        <v>0.0125</v>
      </c>
      <c r="BK150" s="51">
        <f t="shared" ref="BK150:BL157" si="175">BG150*BK$148</f>
        <v>124.19999999999997</v>
      </c>
      <c r="BL150" s="51">
        <f t="shared" si="175"/>
        <v>101250</v>
      </c>
      <c r="BM150" s="51">
        <f t="shared" ref="BM150:BM157" si="176">BK150*BL150</f>
        <v>12575249.999999998</v>
      </c>
    </row>
    <row r="151" ht="18.75" customHeight="1" spans="2:65" x14ac:dyDescent="0.25">
      <c r="B151" s="5" t="s">
        <v>148</v>
      </c>
      <c r="C151" s="27"/>
      <c r="D151" s="29" t="s">
        <v>277</v>
      </c>
      <c r="E151" s="30"/>
      <c r="F151" s="55"/>
      <c r="G151" s="55"/>
      <c r="H151" s="55"/>
      <c r="I151" s="55"/>
      <c r="J151" s="55"/>
      <c r="K151" s="55"/>
      <c r="L151" s="55"/>
      <c r="M151" s="55"/>
      <c r="N151" s="55"/>
      <c r="O151" s="55"/>
      <c r="P151" s="55"/>
      <c r="Q151" s="55"/>
      <c r="R151" s="55"/>
      <c r="S151" s="55"/>
      <c r="T151" s="55"/>
      <c r="U151" s="55"/>
      <c r="V151" s="55"/>
      <c r="W151" s="55"/>
      <c r="X151" s="55"/>
      <c r="Y151" s="55"/>
      <c r="Z151" s="55"/>
      <c r="AA151" s="55"/>
      <c r="AB151" s="55"/>
      <c r="AC151" s="55"/>
      <c r="AD151" s="55"/>
      <c r="AE151" s="55"/>
      <c r="AF151" s="55"/>
      <c r="AG151" s="55"/>
      <c r="AH151" s="55"/>
      <c r="AI151" s="55"/>
      <c r="AJ151" s="55"/>
      <c r="AK151" s="55"/>
      <c r="AL151" s="55"/>
      <c r="AM151" s="55"/>
      <c r="AN151" s="55"/>
      <c r="AO151" s="54"/>
      <c r="AP151" s="54"/>
      <c r="AQ151" s="54"/>
      <c r="AR151" s="54"/>
      <c r="AS151" s="80">
        <f t="shared" si="168"/>
        <v>0</v>
      </c>
      <c r="AU151" s="51">
        <f>20*12</f>
        <v>240</v>
      </c>
      <c r="AV151" s="51">
        <v>30000</v>
      </c>
      <c r="AW151" s="51">
        <f>AU151*AV151</f>
        <v>7200000</v>
      </c>
      <c r="AX151" s="37"/>
      <c r="AY151" s="51">
        <f t="shared" si="169"/>
        <v>288</v>
      </c>
      <c r="AZ151" s="51">
        <f t="shared" si="169"/>
        <v>36000</v>
      </c>
      <c r="BA151" s="51">
        <f t="shared" si="170"/>
        <v>10368000</v>
      </c>
      <c r="BB151" s="37">
        <v>0.0091</v>
      </c>
      <c r="BC151" s="51">
        <f t="shared" si="171"/>
        <v>345.59999999999997</v>
      </c>
      <c r="BD151" s="51">
        <f t="shared" si="171"/>
        <v>45000</v>
      </c>
      <c r="BE151" s="51">
        <f t="shared" si="172"/>
        <v>15551999.999999998</v>
      </c>
      <c r="BF151" s="37">
        <v>0.0091</v>
      </c>
      <c r="BG151" s="51">
        <f t="shared" si="173"/>
        <v>431.99999999999994</v>
      </c>
      <c r="BH151" s="51">
        <f t="shared" si="173"/>
        <v>56250</v>
      </c>
      <c r="BI151" s="51">
        <f t="shared" si="174"/>
        <v>24299999.999999996</v>
      </c>
      <c r="BJ151" s="82">
        <v>0.0091</v>
      </c>
      <c r="BK151" s="51">
        <f t="shared" si="175"/>
        <v>496.7999999999999</v>
      </c>
      <c r="BL151" s="51">
        <f t="shared" si="175"/>
        <v>67500</v>
      </c>
      <c r="BM151" s="51">
        <f t="shared" si="176"/>
        <v>33533999.999999993</v>
      </c>
    </row>
    <row r="152" ht="18.75" customHeight="1" spans="2:65" x14ac:dyDescent="0.25">
      <c r="B152" s="5" t="s">
        <v>149</v>
      </c>
      <c r="C152" s="27"/>
      <c r="D152" s="29" t="s">
        <v>278</v>
      </c>
      <c r="E152" s="30"/>
      <c r="F152" s="55"/>
      <c r="G152" s="55"/>
      <c r="H152" s="55"/>
      <c r="I152" s="55"/>
      <c r="J152" s="55"/>
      <c r="K152" s="55"/>
      <c r="L152" s="55"/>
      <c r="M152" s="55"/>
      <c r="N152" s="55"/>
      <c r="O152" s="55"/>
      <c r="P152" s="55"/>
      <c r="Q152" s="55"/>
      <c r="R152" s="55"/>
      <c r="S152" s="55"/>
      <c r="T152" s="55"/>
      <c r="U152" s="55"/>
      <c r="V152" s="55"/>
      <c r="W152" s="55"/>
      <c r="X152" s="55"/>
      <c r="Y152" s="55"/>
      <c r="Z152" s="55"/>
      <c r="AA152" s="55"/>
      <c r="AB152" s="55"/>
      <c r="AC152" s="55"/>
      <c r="AD152" s="55"/>
      <c r="AE152" s="55"/>
      <c r="AF152" s="55"/>
      <c r="AG152" s="55"/>
      <c r="AH152" s="55"/>
      <c r="AI152" s="55"/>
      <c r="AJ152" s="55"/>
      <c r="AK152" s="55"/>
      <c r="AL152" s="55"/>
      <c r="AM152" s="55"/>
      <c r="AN152" s="55"/>
      <c r="AO152" s="54"/>
      <c r="AP152" s="54"/>
      <c r="AQ152" s="54"/>
      <c r="AR152" s="54"/>
      <c r="AS152" s="80">
        <f t="shared" si="168"/>
        <v>0</v>
      </c>
      <c r="AU152" s="51">
        <f>20*12</f>
        <v>240</v>
      </c>
      <c r="AV152" s="51">
        <v>60000</v>
      </c>
      <c r="AW152" s="51">
        <f t="shared" ref="AW152:AW157" si="177">AU152*AV152</f>
        <v>14400000</v>
      </c>
      <c r="AX152" s="37"/>
      <c r="AY152" s="51">
        <f t="shared" si="169"/>
        <v>288</v>
      </c>
      <c r="AZ152" s="51">
        <f t="shared" si="169"/>
        <v>72000</v>
      </c>
      <c r="BA152" s="51">
        <f t="shared" si="170"/>
        <v>20736000</v>
      </c>
      <c r="BB152" s="37">
        <v>0.0091</v>
      </c>
      <c r="BC152" s="51">
        <f t="shared" si="171"/>
        <v>345.59999999999997</v>
      </c>
      <c r="BD152" s="51">
        <f t="shared" si="171"/>
        <v>90000</v>
      </c>
      <c r="BE152" s="51">
        <f t="shared" si="172"/>
        <v>31103999.999999996</v>
      </c>
      <c r="BF152" s="37">
        <v>0.0091</v>
      </c>
      <c r="BG152" s="51">
        <f t="shared" si="173"/>
        <v>431.99999999999994</v>
      </c>
      <c r="BH152" s="51">
        <f t="shared" si="173"/>
        <v>112500</v>
      </c>
      <c r="BI152" s="51">
        <f t="shared" si="174"/>
        <v>48599999.99999999</v>
      </c>
      <c r="BJ152" s="82">
        <v>0.0091</v>
      </c>
      <c r="BK152" s="51">
        <f t="shared" si="175"/>
        <v>496.7999999999999</v>
      </c>
      <c r="BL152" s="51">
        <f t="shared" si="175"/>
        <v>135000</v>
      </c>
      <c r="BM152" s="51">
        <f t="shared" si="176"/>
        <v>67067999.999999985</v>
      </c>
    </row>
    <row r="153" ht="18.75" customHeight="1" spans="2:65" x14ac:dyDescent="0.25">
      <c r="B153" s="5" t="s">
        <v>150</v>
      </c>
      <c r="C153" s="27"/>
      <c r="D153" s="29" t="s">
        <v>279</v>
      </c>
      <c r="F153" s="55"/>
      <c r="G153" s="55"/>
      <c r="H153" s="55"/>
      <c r="I153" s="55"/>
      <c r="J153" s="55"/>
      <c r="K153" s="55"/>
      <c r="L153" s="55"/>
      <c r="M153" s="55"/>
      <c r="N153" s="55"/>
      <c r="O153" s="55"/>
      <c r="P153" s="55"/>
      <c r="Q153" s="55"/>
      <c r="R153" s="55"/>
      <c r="S153" s="55"/>
      <c r="T153" s="55"/>
      <c r="U153" s="55"/>
      <c r="V153" s="55"/>
      <c r="W153" s="55"/>
      <c r="X153" s="55"/>
      <c r="Y153" s="55"/>
      <c r="Z153" s="55"/>
      <c r="AA153" s="55"/>
      <c r="AB153" s="55"/>
      <c r="AC153" s="55"/>
      <c r="AD153" s="55"/>
      <c r="AE153" s="55"/>
      <c r="AF153" s="55"/>
      <c r="AG153" s="55"/>
      <c r="AH153" s="55"/>
      <c r="AI153" s="55"/>
      <c r="AJ153" s="55"/>
      <c r="AK153" s="55"/>
      <c r="AL153" s="55"/>
      <c r="AM153" s="55"/>
      <c r="AN153" s="55"/>
      <c r="AO153" s="54"/>
      <c r="AP153" s="54"/>
      <c r="AQ153" s="54"/>
      <c r="AR153" s="54"/>
      <c r="AS153" s="80">
        <f t="shared" si="168"/>
        <v>0</v>
      </c>
      <c r="AU153" s="51">
        <f>2*12</f>
        <v>24</v>
      </c>
      <c r="AV153" s="51">
        <v>80000</v>
      </c>
      <c r="AW153" s="51">
        <f t="shared" si="177"/>
        <v>1920000</v>
      </c>
      <c r="AX153" s="37"/>
      <c r="AY153" s="51">
        <f t="shared" si="169"/>
        <v>28.799999999999997</v>
      </c>
      <c r="AZ153" s="51">
        <f t="shared" si="169"/>
        <v>96000</v>
      </c>
      <c r="BA153" s="51">
        <f t="shared" si="170"/>
        <v>2764799.9999999995</v>
      </c>
      <c r="BB153" s="37">
        <v>0.011</v>
      </c>
      <c r="BC153" s="51">
        <f t="shared" si="171"/>
        <v>34.559999999999995</v>
      </c>
      <c r="BD153" s="51">
        <f t="shared" si="171"/>
        <v>120000</v>
      </c>
      <c r="BE153" s="51">
        <f t="shared" si="172"/>
        <v>4147199.9999999995</v>
      </c>
      <c r="BF153" s="37">
        <v>0.011</v>
      </c>
      <c r="BG153" s="51">
        <f t="shared" si="173"/>
        <v>43.199999999999996</v>
      </c>
      <c r="BH153" s="51">
        <f t="shared" si="173"/>
        <v>150000</v>
      </c>
      <c r="BI153" s="51">
        <f t="shared" si="174"/>
        <v>6479999.999999999</v>
      </c>
      <c r="BJ153" s="82">
        <v>0.011</v>
      </c>
      <c r="BK153" s="51">
        <f t="shared" si="175"/>
        <v>49.67999999999999</v>
      </c>
      <c r="BL153" s="51">
        <f t="shared" si="175"/>
        <v>180000</v>
      </c>
      <c r="BM153" s="51">
        <f t="shared" si="176"/>
        <v>8942399.999999998</v>
      </c>
    </row>
    <row r="154" ht="18.75" customHeight="1" spans="2:65" x14ac:dyDescent="0.25">
      <c r="B154" s="5" t="s">
        <v>151</v>
      </c>
      <c r="C154" s="27"/>
      <c r="D154" s="29" t="s">
        <v>280</v>
      </c>
      <c r="F154" s="55"/>
      <c r="G154" s="55"/>
      <c r="H154" s="55"/>
      <c r="I154" s="55"/>
      <c r="J154" s="55"/>
      <c r="K154" s="55"/>
      <c r="L154" s="55"/>
      <c r="M154" s="55"/>
      <c r="N154" s="55"/>
      <c r="O154" s="55"/>
      <c r="P154" s="55"/>
      <c r="Q154" s="55"/>
      <c r="R154" s="55"/>
      <c r="S154" s="55"/>
      <c r="T154" s="55"/>
      <c r="U154" s="55"/>
      <c r="V154" s="55"/>
      <c r="W154" s="55"/>
      <c r="X154" s="55"/>
      <c r="Y154" s="55"/>
      <c r="Z154" s="55"/>
      <c r="AA154" s="55"/>
      <c r="AB154" s="55"/>
      <c r="AC154" s="55"/>
      <c r="AD154" s="55"/>
      <c r="AE154" s="55"/>
      <c r="AF154" s="55"/>
      <c r="AG154" s="55"/>
      <c r="AH154" s="55"/>
      <c r="AI154" s="55"/>
      <c r="AJ154" s="55"/>
      <c r="AK154" s="55"/>
      <c r="AL154" s="55"/>
      <c r="AM154" s="55"/>
      <c r="AN154" s="55"/>
      <c r="AO154" s="54"/>
      <c r="AP154" s="54"/>
      <c r="AQ154" s="54"/>
      <c r="AR154" s="54"/>
      <c r="AS154" s="80"/>
      <c r="AU154" s="51">
        <f>8*12</f>
        <v>96</v>
      </c>
      <c r="AV154" s="51">
        <v>50000</v>
      </c>
      <c r="AW154" s="51">
        <f t="shared" si="177"/>
        <v>4800000</v>
      </c>
      <c r="AX154" s="37"/>
      <c r="AY154" s="51">
        <f t="shared" si="169"/>
        <v>115.19999999999999</v>
      </c>
      <c r="AZ154" s="51">
        <f t="shared" si="169"/>
        <v>60000</v>
      </c>
      <c r="BA154" s="51">
        <f t="shared" si="170"/>
        <v>6911999.999999999</v>
      </c>
      <c r="BB154" s="37"/>
      <c r="BC154" s="51">
        <f t="shared" si="171"/>
        <v>138.23999999999998</v>
      </c>
      <c r="BD154" s="51">
        <f t="shared" si="171"/>
        <v>75000</v>
      </c>
      <c r="BE154" s="51">
        <f t="shared" si="172"/>
        <v>10367999.999999998</v>
      </c>
      <c r="BF154" s="37"/>
      <c r="BG154" s="51">
        <f t="shared" si="173"/>
        <v>172.79999999999998</v>
      </c>
      <c r="BH154" s="51">
        <f t="shared" si="173"/>
        <v>93750</v>
      </c>
      <c r="BI154" s="51">
        <f t="shared" si="174"/>
        <v>16199999.999999998</v>
      </c>
      <c r="BJ154" s="82"/>
      <c r="BK154" s="51">
        <f t="shared" si="175"/>
        <v>198.71999999999997</v>
      </c>
      <c r="BL154" s="51">
        <f t="shared" si="175"/>
        <v>112500</v>
      </c>
      <c r="BM154" s="51">
        <f t="shared" si="176"/>
        <v>22355999.999999996</v>
      </c>
    </row>
    <row r="155" ht="18.75" customHeight="1" spans="2:65" x14ac:dyDescent="0.25">
      <c r="B155" s="5" t="s">
        <v>152</v>
      </c>
      <c r="C155" s="27"/>
      <c r="D155" s="29" t="s">
        <v>281</v>
      </c>
      <c r="F155" s="55"/>
      <c r="G155" s="55"/>
      <c r="H155" s="55"/>
      <c r="I155" s="55"/>
      <c r="J155" s="55"/>
      <c r="K155" s="55"/>
      <c r="L155" s="55"/>
      <c r="M155" s="55"/>
      <c r="N155" s="55"/>
      <c r="O155" s="55"/>
      <c r="P155" s="55"/>
      <c r="Q155" s="55"/>
      <c r="R155" s="55"/>
      <c r="S155" s="55"/>
      <c r="T155" s="55"/>
      <c r="U155" s="55"/>
      <c r="V155" s="55"/>
      <c r="W155" s="55"/>
      <c r="X155" s="55"/>
      <c r="Y155" s="55"/>
      <c r="Z155" s="55"/>
      <c r="AA155" s="55"/>
      <c r="AB155" s="55"/>
      <c r="AC155" s="55"/>
      <c r="AD155" s="55"/>
      <c r="AE155" s="55"/>
      <c r="AF155" s="55"/>
      <c r="AG155" s="55"/>
      <c r="AH155" s="55"/>
      <c r="AI155" s="55"/>
      <c r="AJ155" s="55"/>
      <c r="AK155" s="55"/>
      <c r="AL155" s="55"/>
      <c r="AM155" s="55"/>
      <c r="AN155" s="55"/>
      <c r="AO155" s="54"/>
      <c r="AP155" s="54"/>
      <c r="AQ155" s="54"/>
      <c r="AR155" s="54"/>
      <c r="AS155" s="80"/>
      <c r="AU155" s="51">
        <f>3*12</f>
        <v>36</v>
      </c>
      <c r="AV155" s="51">
        <v>60000</v>
      </c>
      <c r="AW155" s="51">
        <f t="shared" si="177"/>
        <v>2160000</v>
      </c>
      <c r="AX155" s="37"/>
      <c r="AY155" s="51">
        <f t="shared" si="169"/>
        <v>43.199999999999996</v>
      </c>
      <c r="AZ155" s="51">
        <f t="shared" si="169"/>
        <v>72000</v>
      </c>
      <c r="BA155" s="51">
        <f t="shared" si="170"/>
        <v>3110399.9999999995</v>
      </c>
      <c r="BB155" s="37"/>
      <c r="BC155" s="51">
        <f t="shared" si="171"/>
        <v>51.839999999999996</v>
      </c>
      <c r="BD155" s="51">
        <f t="shared" si="171"/>
        <v>90000</v>
      </c>
      <c r="BE155" s="51">
        <f t="shared" si="172"/>
        <v>4665600</v>
      </c>
      <c r="BF155" s="37"/>
      <c r="BG155" s="51">
        <f t="shared" si="173"/>
        <v>64.8</v>
      </c>
      <c r="BH155" s="51">
        <f t="shared" si="173"/>
        <v>112500</v>
      </c>
      <c r="BI155" s="51">
        <f t="shared" si="174"/>
        <v>7290000</v>
      </c>
      <c r="BJ155" s="82"/>
      <c r="BK155" s="51">
        <f t="shared" si="175"/>
        <v>74.52</v>
      </c>
      <c r="BL155" s="51">
        <f t="shared" si="175"/>
        <v>135000</v>
      </c>
      <c r="BM155" s="51">
        <f t="shared" si="176"/>
        <v>10060200</v>
      </c>
    </row>
    <row r="156" ht="18.75" customHeight="1" spans="2:65" x14ac:dyDescent="0.25">
      <c r="B156" s="5" t="s">
        <v>153</v>
      </c>
      <c r="C156" s="27"/>
      <c r="D156" s="29" t="s">
        <v>282</v>
      </c>
      <c r="F156" s="55"/>
      <c r="G156" s="55"/>
      <c r="H156" s="55"/>
      <c r="I156" s="55"/>
      <c r="J156" s="55"/>
      <c r="K156" s="55"/>
      <c r="L156" s="55"/>
      <c r="M156" s="55"/>
      <c r="N156" s="55"/>
      <c r="O156" s="55"/>
      <c r="P156" s="55"/>
      <c r="Q156" s="55"/>
      <c r="R156" s="55"/>
      <c r="S156" s="55"/>
      <c r="T156" s="55"/>
      <c r="U156" s="55"/>
      <c r="V156" s="55"/>
      <c r="W156" s="55"/>
      <c r="X156" s="55"/>
      <c r="Y156" s="55"/>
      <c r="Z156" s="55"/>
      <c r="AA156" s="55"/>
      <c r="AB156" s="55"/>
      <c r="AC156" s="55"/>
      <c r="AD156" s="55"/>
      <c r="AE156" s="55"/>
      <c r="AF156" s="55"/>
      <c r="AG156" s="55"/>
      <c r="AH156" s="55"/>
      <c r="AI156" s="55"/>
      <c r="AJ156" s="55"/>
      <c r="AK156" s="55"/>
      <c r="AL156" s="55"/>
      <c r="AM156" s="55"/>
      <c r="AN156" s="55"/>
      <c r="AO156" s="54"/>
      <c r="AP156" s="54"/>
      <c r="AQ156" s="54"/>
      <c r="AR156" s="54"/>
      <c r="AS156" s="80"/>
      <c r="AU156" s="51">
        <f>5*12</f>
        <v>60</v>
      </c>
      <c r="AV156" s="51">
        <v>75000</v>
      </c>
      <c r="AW156" s="51">
        <f t="shared" si="177"/>
        <v>4500000</v>
      </c>
      <c r="AX156" s="37"/>
      <c r="AY156" s="51">
        <f t="shared" si="169"/>
        <v>72</v>
      </c>
      <c r="AZ156" s="51">
        <f t="shared" si="169"/>
        <v>90000</v>
      </c>
      <c r="BA156" s="51">
        <f t="shared" si="170"/>
        <v>6480000</v>
      </c>
      <c r="BB156" s="37"/>
      <c r="BC156" s="51">
        <f t="shared" si="171"/>
        <v>86.39999999999999</v>
      </c>
      <c r="BD156" s="51">
        <f t="shared" si="171"/>
        <v>112500</v>
      </c>
      <c r="BE156" s="51">
        <f t="shared" si="172"/>
        <v>9719999.999999998</v>
      </c>
      <c r="BF156" s="37"/>
      <c r="BG156" s="51">
        <f t="shared" si="173"/>
        <v>107.99999999999999</v>
      </c>
      <c r="BH156" s="51">
        <f t="shared" si="173"/>
        <v>140625</v>
      </c>
      <c r="BI156" s="51">
        <f t="shared" si="174"/>
        <v>15187499.999999998</v>
      </c>
      <c r="BJ156" s="82"/>
      <c r="BK156" s="51">
        <f t="shared" si="175"/>
        <v>124.19999999999997</v>
      </c>
      <c r="BL156" s="51">
        <f t="shared" si="175"/>
        <v>168750</v>
      </c>
      <c r="BM156" s="51">
        <f t="shared" si="176"/>
        <v>20958749.999999996</v>
      </c>
    </row>
    <row r="157" ht="18.75" customHeight="1" spans="2:65" x14ac:dyDescent="0.25">
      <c r="B157" s="5" t="s">
        <v>154</v>
      </c>
      <c r="C157" s="27"/>
      <c r="D157" s="29" t="s">
        <v>283</v>
      </c>
      <c r="F157" s="55"/>
      <c r="G157" s="55"/>
      <c r="H157" s="55"/>
      <c r="I157" s="55"/>
      <c r="J157" s="55"/>
      <c r="K157" s="55"/>
      <c r="L157" s="55"/>
      <c r="M157" s="55"/>
      <c r="N157" s="55"/>
      <c r="O157" s="55"/>
      <c r="P157" s="55"/>
      <c r="Q157" s="55"/>
      <c r="R157" s="55"/>
      <c r="S157" s="55"/>
      <c r="T157" s="55"/>
      <c r="U157" s="55"/>
      <c r="V157" s="55"/>
      <c r="W157" s="55"/>
      <c r="X157" s="55"/>
      <c r="Y157" s="55"/>
      <c r="Z157" s="55"/>
      <c r="AA157" s="55"/>
      <c r="AB157" s="55"/>
      <c r="AC157" s="55"/>
      <c r="AD157" s="55"/>
      <c r="AE157" s="55"/>
      <c r="AF157" s="55"/>
      <c r="AG157" s="55"/>
      <c r="AH157" s="55"/>
      <c r="AI157" s="55"/>
      <c r="AJ157" s="55"/>
      <c r="AK157" s="55"/>
      <c r="AL157" s="55"/>
      <c r="AM157" s="55"/>
      <c r="AN157" s="55"/>
      <c r="AO157" s="54"/>
      <c r="AP157" s="54"/>
      <c r="AQ157" s="54"/>
      <c r="AR157" s="54"/>
      <c r="AS157" s="80">
        <f t="shared" si="168"/>
        <v>0</v>
      </c>
      <c r="AU157" s="51">
        <f>3*12</f>
        <v>36</v>
      </c>
      <c r="AV157" s="51">
        <f>300000</f>
        <v>300000</v>
      </c>
      <c r="AW157" s="51">
        <f t="shared" si="177"/>
        <v>10800000</v>
      </c>
      <c r="AY157" s="51">
        <f t="shared" si="169"/>
        <v>43.199999999999996</v>
      </c>
      <c r="AZ157" s="51">
        <f t="shared" si="169"/>
        <v>360000</v>
      </c>
      <c r="BA157" s="51">
        <f t="shared" si="170"/>
        <v>15551999.999999998</v>
      </c>
      <c r="BC157" s="51">
        <f t="shared" si="171"/>
        <v>51.839999999999996</v>
      </c>
      <c r="BD157" s="51">
        <f t="shared" si="171"/>
        <v>450000</v>
      </c>
      <c r="BE157" s="51">
        <f t="shared" si="172"/>
        <v>23328000</v>
      </c>
      <c r="BG157" s="51">
        <f t="shared" si="173"/>
        <v>64.8</v>
      </c>
      <c r="BH157" s="51">
        <f t="shared" si="173"/>
        <v>562500</v>
      </c>
      <c r="BI157" s="51">
        <f t="shared" si="174"/>
        <v>36450000</v>
      </c>
      <c r="BK157" s="51">
        <f t="shared" si="175"/>
        <v>74.52</v>
      </c>
      <c r="BL157" s="51">
        <f t="shared" si="175"/>
        <v>675000</v>
      </c>
      <c r="BM157" s="51">
        <f t="shared" si="176"/>
        <v>50301000</v>
      </c>
    </row>
    <row r="158" ht="18.75" customHeight="1" spans="2:65" x14ac:dyDescent="0.25">
      <c r="B158" s="5"/>
      <c r="C158" s="27"/>
      <c r="D158" s="29"/>
      <c r="F158" s="55"/>
      <c r="G158" s="55"/>
      <c r="H158" s="55"/>
      <c r="I158" s="55"/>
      <c r="J158" s="55"/>
      <c r="K158" s="55"/>
      <c r="L158" s="55"/>
      <c r="M158" s="55"/>
      <c r="N158" s="55"/>
      <c r="O158" s="55"/>
      <c r="P158" s="55"/>
      <c r="Q158" s="55"/>
      <c r="R158" s="55"/>
      <c r="S158" s="55"/>
      <c r="T158" s="55"/>
      <c r="U158" s="55"/>
      <c r="V158" s="55"/>
      <c r="W158" s="55"/>
      <c r="X158" s="55"/>
      <c r="Y158" s="55"/>
      <c r="Z158" s="55"/>
      <c r="AA158" s="55"/>
      <c r="AB158" s="55"/>
      <c r="AC158" s="55"/>
      <c r="AD158" s="55"/>
      <c r="AE158" s="55"/>
      <c r="AF158" s="55"/>
      <c r="AG158" s="55"/>
      <c r="AH158" s="55"/>
      <c r="AI158" s="55"/>
      <c r="AJ158" s="55"/>
      <c r="AK158" s="55"/>
      <c r="AL158" s="55"/>
      <c r="AM158" s="55"/>
      <c r="AN158" s="55"/>
      <c r="AO158" s="54"/>
      <c r="AP158" s="54"/>
      <c r="AQ158" s="54"/>
      <c r="AR158" s="54"/>
      <c r="AS158" s="80"/>
      <c r="AU158" s="51"/>
      <c r="AV158" s="51"/>
      <c r="AW158" s="51"/>
      <c r="AY158" s="51"/>
      <c r="AZ158" s="51"/>
      <c r="BA158" s="51"/>
      <c r="BC158" s="51"/>
      <c r="BD158" s="51"/>
      <c r="BE158" s="51"/>
      <c r="BG158" s="51"/>
      <c r="BH158" s="51"/>
      <c r="BI158" s="51"/>
      <c r="BK158" s="51"/>
      <c r="BL158" s="51"/>
      <c r="BM158" s="51"/>
    </row>
    <row r="159" spans="2:65" x14ac:dyDescent="0.25">
      <c r="B159" s="34" t="s">
        <v>58</v>
      </c>
      <c r="C159" s="34"/>
      <c r="D159" s="34"/>
      <c r="E159" s="34"/>
      <c r="F159" s="81">
        <f>SUM(F150:F157)</f>
        <v>0</v>
      </c>
      <c r="G159" s="81"/>
      <c r="H159" s="81">
        <f>SUM(H150:H157)</f>
        <v>0</v>
      </c>
      <c r="I159" s="81"/>
      <c r="J159" s="81">
        <f>SUM(J150:J157)</f>
        <v>0</v>
      </c>
      <c r="K159" s="81"/>
      <c r="L159" s="81">
        <f>SUM(L150:L157)</f>
        <v>0</v>
      </c>
      <c r="M159" s="81"/>
      <c r="N159" s="81">
        <f>SUM(N150:N157)</f>
        <v>0</v>
      </c>
      <c r="O159" s="81"/>
      <c r="P159" s="81">
        <f>SUM(P150:P157)</f>
        <v>0</v>
      </c>
      <c r="Q159" s="81"/>
      <c r="R159" s="81">
        <f>SUM(R150:R157)</f>
        <v>0</v>
      </c>
      <c r="S159" s="81"/>
      <c r="T159" s="81">
        <f>SUM(T150:T157)</f>
        <v>0</v>
      </c>
      <c r="U159" s="81"/>
      <c r="V159" s="81">
        <f>SUM(V150:V157)</f>
        <v>0</v>
      </c>
      <c r="W159" s="81"/>
      <c r="X159" s="81">
        <f>SUM(X150:X157)</f>
        <v>0</v>
      </c>
      <c r="Y159" s="81"/>
      <c r="Z159" s="81">
        <f>SUM(Z150:Z157)</f>
        <v>0</v>
      </c>
      <c r="AA159" s="81"/>
      <c r="AB159" s="81">
        <f>SUM(AB150:AB157)</f>
        <v>0</v>
      </c>
      <c r="AC159" s="81"/>
      <c r="AD159" s="81">
        <f>SUM(AD150:AD157)</f>
        <v>0</v>
      </c>
      <c r="AE159" s="81"/>
      <c r="AF159" s="81">
        <f>SUM(AF150:AF157)</f>
        <v>0</v>
      </c>
      <c r="AG159" s="81"/>
      <c r="AH159" s="81">
        <f>SUM(AH150:AH157)</f>
        <v>0</v>
      </c>
      <c r="AI159" s="81"/>
      <c r="AJ159" s="81">
        <f>SUM(AJ150:AJ157)</f>
        <v>0</v>
      </c>
      <c r="AK159" s="81"/>
      <c r="AL159" s="81">
        <f>SUM(AL150:AL157)</f>
        <v>0</v>
      </c>
      <c r="AM159" s="81"/>
      <c r="AN159" s="81">
        <f>SUM(AN150:AN157)</f>
        <v>0</v>
      </c>
      <c r="AO159" s="81"/>
      <c r="AP159" s="81"/>
      <c r="AQ159" s="81">
        <f>SUM(AQ150:AQ157)</f>
        <v>0</v>
      </c>
      <c r="AR159" s="81"/>
      <c r="AS159" s="81">
        <f>SUM(AS150:AS157)</f>
        <v>0</v>
      </c>
      <c r="AT159" s="9"/>
      <c r="AU159" s="81">
        <f>SUM(AU150:AU157)</f>
        <v>792</v>
      </c>
      <c r="AV159" s="81"/>
      <c r="AW159" s="81">
        <f>SUM(AW150:AW157)</f>
        <v>48480000</v>
      </c>
      <c r="AX159" s="9"/>
      <c r="AY159" s="81">
        <f>SUM(AY150:AY157)</f>
        <v>950.4000000000001</v>
      </c>
      <c r="AZ159" s="81"/>
      <c r="BA159" s="81">
        <f>SUM(BA150:BA157)</f>
        <v>69811200</v>
      </c>
      <c r="BB159" s="9"/>
      <c r="BC159" s="81">
        <f>SUM(BC150:BC157)</f>
        <v>1140.4799999999998</v>
      </c>
      <c r="BD159" s="81"/>
      <c r="BE159" s="81">
        <f>SUM(BE150:BE157)</f>
        <v>104716800</v>
      </c>
      <c r="BF159" s="9"/>
      <c r="BG159" s="81">
        <f>SUM(BG150:BG157)</f>
        <v>1425.5999999999997</v>
      </c>
      <c r="BH159" s="81"/>
      <c r="BI159" s="81">
        <f>SUM(BI150:BI157)</f>
        <v>163620000</v>
      </c>
      <c r="BJ159" s="9"/>
      <c r="BK159" s="81">
        <f>SUM(BK150:BK157)</f>
        <v>1639.4399999999998</v>
      </c>
      <c r="BL159" s="81"/>
      <c r="BM159" s="81">
        <f>SUM(BM150:BM157)</f>
        <v>225795599.99999997</v>
      </c>
    </row>
    <row r="160" ht="18.75" customHeight="1" spans="2:65" x14ac:dyDescent="0.25">
      <c r="B160" s="9"/>
      <c r="C160" s="28"/>
      <c r="D160" s="30"/>
      <c r="G160" s="54"/>
      <c r="H160" s="54"/>
      <c r="I160" s="54"/>
      <c r="K160" s="54"/>
      <c r="L160" s="54"/>
      <c r="M160" s="54"/>
      <c r="O160" s="54"/>
      <c r="P160" s="54"/>
      <c r="Q160" s="54"/>
      <c r="S160" s="54"/>
      <c r="T160" s="54"/>
      <c r="U160" s="54"/>
      <c r="W160" s="54"/>
      <c r="X160" s="54"/>
      <c r="Y160" s="54"/>
      <c r="AA160" s="54"/>
      <c r="AB160" s="54"/>
      <c r="AC160" s="54"/>
      <c r="AE160" s="54"/>
      <c r="AF160" s="54"/>
      <c r="AG160" s="54"/>
      <c r="AI160" s="54"/>
      <c r="AJ160" s="54"/>
      <c r="AK160" s="54"/>
      <c r="AM160" s="54"/>
      <c r="AN160" s="54"/>
      <c r="AO160" s="54"/>
      <c r="AP160" s="54"/>
      <c r="AQ160" s="54"/>
      <c r="AR160" s="54"/>
      <c r="AS160" s="54"/>
      <c r="AV160" s="54"/>
      <c r="AW160" s="54"/>
      <c r="AZ160" s="54"/>
      <c r="BA160" s="54"/>
      <c r="BD160" s="54"/>
      <c r="BE160" s="54"/>
      <c r="BH160" s="54"/>
      <c r="BI160" s="54"/>
      <c r="BL160" s="54"/>
      <c r="BM160" s="54"/>
    </row>
    <row r="161" ht="18.75" customHeight="1" spans="2:65" x14ac:dyDescent="0.25">
      <c r="B161" s="9"/>
      <c r="C161" s="28"/>
      <c r="D161" s="30"/>
      <c r="G161" s="54"/>
      <c r="H161" s="54"/>
      <c r="I161" s="54"/>
      <c r="K161" s="54"/>
      <c r="L161" s="54"/>
      <c r="M161" s="54"/>
      <c r="O161" s="54"/>
      <c r="P161" s="54"/>
      <c r="Q161" s="54"/>
      <c r="S161" s="54"/>
      <c r="T161" s="54"/>
      <c r="U161" s="54"/>
      <c r="W161" s="54"/>
      <c r="X161" s="54"/>
      <c r="Y161" s="54"/>
      <c r="AA161" s="54"/>
      <c r="AB161" s="54"/>
      <c r="AC161" s="54"/>
      <c r="AE161" s="54"/>
      <c r="AF161" s="54"/>
      <c r="AG161" s="54"/>
      <c r="AI161" s="54"/>
      <c r="AJ161" s="54"/>
      <c r="AK161" s="54"/>
      <c r="AM161" s="54"/>
      <c r="AN161" s="54"/>
      <c r="AO161" s="54"/>
      <c r="AP161" s="54"/>
      <c r="AQ161" s="54"/>
      <c r="AR161" s="54"/>
      <c r="AS161" s="54"/>
      <c r="AV161" s="54"/>
      <c r="AW161" s="54"/>
      <c r="AZ161" s="54"/>
      <c r="BA161" s="54"/>
      <c r="BD161" s="54"/>
      <c r="BE161" s="54"/>
      <c r="BH161" s="54"/>
      <c r="BI161" s="54"/>
      <c r="BL161" s="54"/>
      <c r="BM161" s="54"/>
    </row>
    <row r="162" ht="18.75" customHeight="1" spans="2:65" x14ac:dyDescent="0.25">
      <c r="B162" s="9"/>
      <c r="C162" s="28"/>
      <c r="D162" s="30"/>
      <c r="G162" s="54"/>
      <c r="H162" s="54"/>
      <c r="I162" s="54"/>
      <c r="K162" s="54"/>
      <c r="L162" s="54"/>
      <c r="M162" s="54"/>
      <c r="O162" s="54"/>
      <c r="P162" s="54"/>
      <c r="Q162" s="54"/>
      <c r="S162" s="54"/>
      <c r="T162" s="54"/>
      <c r="U162" s="54"/>
      <c r="W162" s="54"/>
      <c r="X162" s="54"/>
      <c r="Y162" s="54"/>
      <c r="AA162" s="54"/>
      <c r="AB162" s="54"/>
      <c r="AC162" s="54"/>
      <c r="AE162" s="54"/>
      <c r="AF162" s="54"/>
      <c r="AG162" s="54"/>
      <c r="AI162" s="54"/>
      <c r="AJ162" s="54"/>
      <c r="AK162" s="54"/>
      <c r="AM162" s="54"/>
      <c r="AN162" s="54"/>
      <c r="AO162" s="54"/>
      <c r="AP162" s="54"/>
      <c r="AQ162" s="54"/>
      <c r="AR162" s="54"/>
      <c r="AS162" s="54"/>
      <c r="AV162" s="54"/>
      <c r="AW162" s="54"/>
      <c r="AZ162" s="54"/>
      <c r="BA162" s="54"/>
      <c r="BD162" s="54"/>
      <c r="BE162" s="54"/>
      <c r="BH162" s="54"/>
      <c r="BI162" s="54"/>
      <c r="BL162" s="54"/>
      <c r="BM162" s="54"/>
    </row>
    <row r="163" ht="18.75" customHeight="1" spans="2:65" x14ac:dyDescent="0.25">
      <c r="B163" s="9"/>
      <c r="C163" s="28"/>
      <c r="D163" s="30"/>
      <c r="G163" s="54"/>
      <c r="H163" s="54"/>
      <c r="I163" s="54"/>
      <c r="K163" s="54"/>
      <c r="L163" s="54"/>
      <c r="M163" s="54"/>
      <c r="O163" s="54"/>
      <c r="P163" s="54"/>
      <c r="Q163" s="54"/>
      <c r="S163" s="54"/>
      <c r="T163" s="54"/>
      <c r="U163" s="54"/>
      <c r="W163" s="54"/>
      <c r="X163" s="54"/>
      <c r="Y163" s="54"/>
      <c r="AA163" s="54"/>
      <c r="AB163" s="54"/>
      <c r="AC163" s="54"/>
      <c r="AE163" s="54"/>
      <c r="AF163" s="54"/>
      <c r="AG163" s="54"/>
      <c r="AI163" s="54"/>
      <c r="AJ163" s="54"/>
      <c r="AK163" s="54"/>
      <c r="AM163" s="54"/>
      <c r="AN163" s="54"/>
      <c r="AO163" s="54"/>
      <c r="AP163" s="54"/>
      <c r="AQ163" s="54"/>
      <c r="AR163" s="54"/>
      <c r="AS163" s="54"/>
      <c r="AV163" s="54"/>
      <c r="AW163" s="54"/>
      <c r="AZ163" s="54"/>
      <c r="BA163" s="54"/>
      <c r="BD163" s="54"/>
      <c r="BE163" s="54"/>
      <c r="BH163" s="54"/>
      <c r="BI163" s="54"/>
      <c r="BL163" s="54"/>
      <c r="BM163" s="54"/>
    </row>
    <row r="164" ht="18.75" customHeight="1" spans="2:65" x14ac:dyDescent="0.25">
      <c r="B164" s="9"/>
      <c r="C164" s="28"/>
      <c r="D164" s="30"/>
      <c r="G164" s="54"/>
      <c r="H164" s="54"/>
      <c r="I164" s="54"/>
      <c r="K164" s="54"/>
      <c r="L164" s="54"/>
      <c r="M164" s="54"/>
      <c r="O164" s="54"/>
      <c r="P164" s="54"/>
      <c r="Q164" s="54"/>
      <c r="S164" s="54"/>
      <c r="T164" s="54"/>
      <c r="U164" s="54"/>
      <c r="W164" s="54"/>
      <c r="X164" s="54"/>
      <c r="Y164" s="54"/>
      <c r="AA164" s="54"/>
      <c r="AB164" s="54"/>
      <c r="AC164" s="54"/>
      <c r="AE164" s="54"/>
      <c r="AF164" s="54"/>
      <c r="AG164" s="54"/>
      <c r="AI164" s="54"/>
      <c r="AJ164" s="54"/>
      <c r="AK164" s="54"/>
      <c r="AM164" s="54"/>
      <c r="AN164" s="54"/>
      <c r="AO164" s="54"/>
      <c r="AP164" s="54"/>
      <c r="AQ164" s="54"/>
      <c r="AR164" s="54"/>
      <c r="AS164" s="54"/>
      <c r="AV164" s="54"/>
      <c r="AW164" s="54"/>
      <c r="AZ164" s="54"/>
      <c r="BA164" s="54"/>
      <c r="BD164" s="54"/>
      <c r="BE164" s="54"/>
      <c r="BH164" s="54"/>
      <c r="BI164" s="54"/>
      <c r="BL164" s="54"/>
      <c r="BM164" s="54"/>
    </row>
    <row r="165" ht="18.75" customHeight="1" spans="2:65" x14ac:dyDescent="0.25">
      <c r="B165" s="9"/>
      <c r="C165" s="28"/>
      <c r="D165" s="30"/>
      <c r="G165" s="54"/>
      <c r="H165" s="54"/>
      <c r="I165" s="54"/>
      <c r="K165" s="54"/>
      <c r="L165" s="54"/>
      <c r="M165" s="54"/>
      <c r="O165" s="54"/>
      <c r="P165" s="54"/>
      <c r="Q165" s="54"/>
      <c r="S165" s="54"/>
      <c r="T165" s="54"/>
      <c r="U165" s="54"/>
      <c r="W165" s="54"/>
      <c r="X165" s="54"/>
      <c r="Y165" s="54"/>
      <c r="AA165" s="54"/>
      <c r="AB165" s="54"/>
      <c r="AC165" s="54"/>
      <c r="AE165" s="54"/>
      <c r="AF165" s="54"/>
      <c r="AG165" s="54"/>
      <c r="AI165" s="54"/>
      <c r="AJ165" s="54"/>
      <c r="AK165" s="54"/>
      <c r="AM165" s="54"/>
      <c r="AN165" s="54"/>
      <c r="AO165" s="54"/>
      <c r="AP165" s="54"/>
      <c r="AQ165" s="54"/>
      <c r="AR165" s="54"/>
      <c r="AS165" s="54"/>
      <c r="AV165" s="54"/>
      <c r="AW165" s="54"/>
      <c r="AZ165" s="54"/>
      <c r="BA165" s="54"/>
      <c r="BD165" s="54"/>
      <c r="BE165" s="54"/>
      <c r="BH165" s="54"/>
      <c r="BI165" s="54"/>
      <c r="BL165" s="54"/>
      <c r="BM165" s="54"/>
    </row>
    <row r="166" ht="18.75" customHeight="1" spans="2:65" x14ac:dyDescent="0.25">
      <c r="B166" s="9"/>
      <c r="C166" s="28"/>
      <c r="D166" s="30"/>
      <c r="G166" s="54"/>
      <c r="H166" s="54"/>
      <c r="I166" s="54"/>
      <c r="K166" s="54"/>
      <c r="L166" s="54"/>
      <c r="M166" s="54"/>
      <c r="O166" s="54"/>
      <c r="P166" s="54"/>
      <c r="Q166" s="54"/>
      <c r="S166" s="54"/>
      <c r="T166" s="54"/>
      <c r="U166" s="54"/>
      <c r="W166" s="54"/>
      <c r="X166" s="54"/>
      <c r="Y166" s="54"/>
      <c r="AA166" s="54"/>
      <c r="AB166" s="54"/>
      <c r="AC166" s="54"/>
      <c r="AE166" s="54"/>
      <c r="AF166" s="54"/>
      <c r="AG166" s="54"/>
      <c r="AI166" s="54"/>
      <c r="AJ166" s="54"/>
      <c r="AK166" s="54"/>
      <c r="AM166" s="54"/>
      <c r="AN166" s="54"/>
      <c r="AO166" s="54"/>
      <c r="AP166" s="54"/>
      <c r="AQ166" s="54"/>
      <c r="AR166" s="54"/>
      <c r="AS166" s="54"/>
      <c r="AV166" s="54"/>
      <c r="AW166" s="54"/>
      <c r="AZ166" s="54"/>
      <c r="BA166" s="54"/>
      <c r="BD166" s="54"/>
      <c r="BE166" s="54"/>
      <c r="BH166" s="54"/>
      <c r="BI166" s="54"/>
      <c r="BL166" s="54"/>
      <c r="BM166" s="54"/>
    </row>
    <row r="167" spans="1:67" x14ac:dyDescent="0.25">
      <c r="A167" s="9"/>
      <c r="B167" s="34" t="s">
        <v>58</v>
      </c>
      <c r="C167" s="34"/>
      <c r="D167" s="34"/>
      <c r="E167" s="9"/>
      <c r="F167" s="81">
        <f>F100+F109+F118+F129+F138</f>
        <v>0</v>
      </c>
      <c r="G167" s="9"/>
      <c r="H167" s="81">
        <f>H100+H109+H118+H129+H138</f>
        <v>0</v>
      </c>
      <c r="I167" s="9"/>
      <c r="J167" s="81">
        <f>J100+J109+J118+J129+J138</f>
        <v>0</v>
      </c>
      <c r="K167" s="9"/>
      <c r="L167" s="81">
        <f>L100+L109+L118+L129+L138</f>
        <v>0</v>
      </c>
      <c r="M167" s="9"/>
      <c r="N167" s="81">
        <f>N100+N109+N118+N129+N138</f>
        <v>0</v>
      </c>
      <c r="O167" s="9"/>
      <c r="P167" s="81">
        <f>P100+P109+P118+P129+P138</f>
        <v>0</v>
      </c>
      <c r="Q167" s="9"/>
      <c r="R167" s="81">
        <f>R100+R109+R118+R129+R138</f>
        <v>0</v>
      </c>
      <c r="S167" s="9"/>
      <c r="T167" s="81">
        <f>T100+T109+T118+T129+T138</f>
        <v>0</v>
      </c>
      <c r="U167" s="9"/>
      <c r="V167" s="81">
        <f>V100+V109+V118+V129+V138</f>
        <v>0</v>
      </c>
      <c r="W167" s="9"/>
      <c r="X167" s="81">
        <f>X100+X109+X118+X129+X138</f>
        <v>0</v>
      </c>
      <c r="Y167" s="9"/>
      <c r="Z167" s="81">
        <f>Z100+Z109+Z118+Z129+Z138</f>
        <v>0</v>
      </c>
      <c r="AA167" s="9"/>
      <c r="AB167" s="81">
        <f>AB100+AB109+AB118+AB129+AB138</f>
        <v>0</v>
      </c>
      <c r="AC167" s="9"/>
      <c r="AD167" s="81">
        <f>AD100+AD109+AD118+AD129+AD138</f>
        <v>0</v>
      </c>
      <c r="AE167" s="9"/>
      <c r="AF167" s="81">
        <f>AF100+AF109+AF118+AF129+AF138</f>
        <v>0</v>
      </c>
      <c r="AG167" s="9"/>
      <c r="AH167" s="81">
        <f>AH100+AH109+AH118+AH129+AH138</f>
        <v>0</v>
      </c>
      <c r="AI167" s="9"/>
      <c r="AJ167" s="81">
        <f>AJ100+AJ109+AJ118+AJ129+AJ138</f>
        <v>0</v>
      </c>
      <c r="AK167" s="9"/>
      <c r="AL167" s="81">
        <f>AL100+AL109+AL118+AL129+AL138</f>
        <v>0</v>
      </c>
      <c r="AM167" s="9"/>
      <c r="AN167" s="81">
        <f>AN100+AN109+AN118+AN129+AN138</f>
        <v>0</v>
      </c>
      <c r="AO167" s="9"/>
      <c r="AP167" s="9"/>
      <c r="AQ167" s="81">
        <f>AQ100+AQ109+AQ118+AQ129+AQ138</f>
        <v>2</v>
      </c>
      <c r="AR167" s="9"/>
      <c r="AS167" s="81">
        <f>AS100+AS109+AS118+AS129+AS138</f>
        <v>0</v>
      </c>
      <c r="AT167" s="9"/>
      <c r="AU167" s="81">
        <f>AU100+AU109+AU118+AU129+AU138</f>
        <v>1515</v>
      </c>
      <c r="AV167" s="9"/>
      <c r="AW167" s="81" t="e">
        <f>AW100+AW109+AW118+AW129+AW138</f>
        <v>#REF!</v>
      </c>
      <c r="AX167" s="9"/>
      <c r="AY167" s="81">
        <f>AY100+AY109+AY118+AY129+AY138</f>
        <v>1822.8000000000002</v>
      </c>
      <c r="AZ167" s="9"/>
      <c r="BA167" s="81" t="e">
        <f>BA100+BA109+BA118+BA129+BA138</f>
        <v>#REF!</v>
      </c>
      <c r="BB167" s="9"/>
      <c r="BC167" s="81">
        <f>BC100+BC109+BC118+BC129+BC138</f>
        <v>2177.7599999999998</v>
      </c>
      <c r="BD167" s="9"/>
      <c r="BE167" s="81" t="e">
        <f>BE100+BE109+BE118+BE129+BE138</f>
        <v>#REF!</v>
      </c>
      <c r="BF167" s="9"/>
      <c r="BG167" s="81">
        <f>BG100+BG109+BG118+BG129+BG138</f>
        <v>2710.2</v>
      </c>
      <c r="BH167" s="9"/>
      <c r="BI167" s="81" t="e">
        <f>BI100+BI109+BI118+BI129+BI138</f>
        <v>#REF!</v>
      </c>
      <c r="BJ167" s="9"/>
      <c r="BK167" s="81">
        <f>BK100+BK109+BK118+BK129+BK138</f>
        <v>3109.5299999999997</v>
      </c>
      <c r="BL167" s="9"/>
      <c r="BM167" s="81" t="e">
        <f>BM100+BM109+BM118+BM129+BM138</f>
        <v>#REF!</v>
      </c>
      <c r="BN167" s="9"/>
      <c r="BO167" s="9"/>
    </row>
    <row r="168" spans="2:65" x14ac:dyDescent="0.25">
      <c r="B168" s="84" t="s">
        <v>219</v>
      </c>
      <c r="C168" s="84"/>
      <c r="D168" s="84"/>
      <c r="AS168" s="54">
        <f>AS167/19</f>
        <v>0</v>
      </c>
      <c r="AW168" s="54" t="e">
        <f>AW167/12</f>
        <v>#REF!</v>
      </c>
      <c r="BA168" s="54" t="e">
        <f>BA167/12</f>
        <v>#REF!</v>
      </c>
      <c r="BE168" s="54" t="e">
        <f>BE167/12</f>
        <v>#REF!</v>
      </c>
      <c r="BI168" s="54" t="e">
        <f>BI167/12</f>
        <v>#REF!</v>
      </c>
      <c r="BM168" s="54" t="e">
        <f>BM167/12</f>
        <v>#REF!</v>
      </c>
    </row>
  </sheetData>
  <mergeCells count="63">
    <mergeCell ref="F4:H4"/>
    <mergeCell ref="J4:L4"/>
    <mergeCell ref="N4:P4"/>
    <mergeCell ref="R4:T4"/>
    <mergeCell ref="V4:X4"/>
    <mergeCell ref="Z4:AB4"/>
    <mergeCell ref="AD4:AF4"/>
    <mergeCell ref="AH4:AJ4"/>
    <mergeCell ref="AL4:AN4"/>
    <mergeCell ref="AQ4:AS4"/>
    <mergeCell ref="AU4:AW4"/>
    <mergeCell ref="AY4:BA4"/>
    <mergeCell ref="BC4:BE4"/>
    <mergeCell ref="BG4:BI4"/>
    <mergeCell ref="BK4:BM4"/>
    <mergeCell ref="F5:H5"/>
    <mergeCell ref="J5:L5"/>
    <mergeCell ref="N5:P5"/>
    <mergeCell ref="R5:T5"/>
    <mergeCell ref="V5:X5"/>
    <mergeCell ref="Z5:AB5"/>
    <mergeCell ref="AD5:AF5"/>
    <mergeCell ref="AH5:AJ5"/>
    <mergeCell ref="AL5:AN5"/>
    <mergeCell ref="AQ5:AS5"/>
    <mergeCell ref="AU5:AW5"/>
    <mergeCell ref="AY5:BA5"/>
    <mergeCell ref="BC5:BE5"/>
    <mergeCell ref="BG5:BI5"/>
    <mergeCell ref="BK5:BM5"/>
    <mergeCell ref="C6:D7"/>
    <mergeCell ref="B29:D29"/>
    <mergeCell ref="B38:D38"/>
    <mergeCell ref="F42:G42"/>
    <mergeCell ref="J42:K42"/>
    <mergeCell ref="N42:O42"/>
    <mergeCell ref="R42:S42"/>
    <mergeCell ref="V42:W42"/>
    <mergeCell ref="Z42:AA42"/>
    <mergeCell ref="AD42:AE42"/>
    <mergeCell ref="B47:D47"/>
    <mergeCell ref="B58:D58"/>
    <mergeCell ref="B67:D67"/>
    <mergeCell ref="B75:D75"/>
    <mergeCell ref="B78:D78"/>
    <mergeCell ref="B79:D79"/>
    <mergeCell ref="C83:D84"/>
    <mergeCell ref="B100:D100"/>
    <mergeCell ref="B109:D109"/>
    <mergeCell ref="F113:G113"/>
    <mergeCell ref="J113:K113"/>
    <mergeCell ref="N113:O113"/>
    <mergeCell ref="R113:S113"/>
    <mergeCell ref="V113:W113"/>
    <mergeCell ref="Z113:AA113"/>
    <mergeCell ref="AD113:AE113"/>
    <mergeCell ref="B118:D118"/>
    <mergeCell ref="B129:D129"/>
    <mergeCell ref="B138:D138"/>
    <mergeCell ref="B146:D146"/>
    <mergeCell ref="B159:D159"/>
    <mergeCell ref="B167:D167"/>
    <mergeCell ref="B168:D168"/>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0"/>
  <sheetViews>
    <sheetView workbookViewId="0" zoomScale="100" zoomScaleNormal="100">
      <selection activeCell="C4" sqref="C4"/>
    </sheetView>
  </sheetViews>
  <sheetFormatPr defaultRowHeight="15" outlineLevelRow="0" outlineLevelCol="0" x14ac:dyDescent="0"/>
  <cols>
    <col min="2" max="2" width="12.42578125" customWidth="1"/>
    <col min="3" max="3" width="16.42578125" customWidth="1"/>
    <col min="4" max="4" width="14.28515625" customWidth="1"/>
    <col min="5" max="5" width="16.42578125" customWidth="1"/>
    <col min="6" max="6" width="14.28515625" customWidth="1"/>
  </cols>
  <sheetData>
    <row r="1" spans="1:3" x14ac:dyDescent="0.25">
      <c r="A1" s="321" t="s">
        <v>421</v>
      </c>
      <c r="B1" s="322"/>
      <c r="C1" s="323">
        <v>430000000</v>
      </c>
    </row>
    <row r="2" spans="1:3" x14ac:dyDescent="0.25">
      <c r="A2" s="321" t="s">
        <v>422</v>
      </c>
      <c r="B2" s="322"/>
      <c r="C2" s="324">
        <v>84</v>
      </c>
    </row>
    <row r="3" spans="1:3" x14ac:dyDescent="0.25">
      <c r="A3" s="321" t="s">
        <v>423</v>
      </c>
      <c r="B3" s="322"/>
      <c r="C3" s="324">
        <v>9</v>
      </c>
    </row>
    <row r="4" spans="1:3" x14ac:dyDescent="0.25">
      <c r="A4" s="321" t="s">
        <v>424</v>
      </c>
      <c r="B4" s="322"/>
      <c r="C4" s="325">
        <v>46478</v>
      </c>
    </row>
    <row r="5" spans="1:3" x14ac:dyDescent="0.25">
      <c r="A5" s="321" t="s">
        <v>425</v>
      </c>
      <c r="B5" s="322"/>
      <c r="C5" s="326">
        <f>EDATE(C4,C2)</f>
        <v>49035</v>
      </c>
    </row>
    <row r="6" spans="1:6" x14ac:dyDescent="0.25">
      <c r="A6" s="321" t="s">
        <v>426</v>
      </c>
      <c r="B6" s="322"/>
      <c r="C6" s="327">
        <f>PMT(C3/12/100,C2,-C1)</f>
        <v>6918303.651816577</v>
      </c>
      <c r="E6" s="328" t="s">
        <v>261</v>
      </c>
      <c r="F6" s="329">
        <f>SUMIF(F10:F45,"&gt;0")</f>
        <v>97069454.72908796</v>
      </c>
    </row>
    <row r="8" spans="1:6" x14ac:dyDescent="0.25">
      <c r="A8" s="330" t="s">
        <v>427</v>
      </c>
      <c r="B8" s="331"/>
      <c r="C8" s="331"/>
      <c r="D8" s="331"/>
      <c r="E8" s="331"/>
      <c r="F8" s="332"/>
    </row>
    <row r="9" spans="1:6" x14ac:dyDescent="0.25">
      <c r="A9" s="333" t="s">
        <v>428</v>
      </c>
      <c r="B9" s="333" t="s">
        <v>429</v>
      </c>
      <c r="C9" s="333" t="s">
        <v>430</v>
      </c>
      <c r="D9" s="333" t="s">
        <v>431</v>
      </c>
      <c r="E9" s="333" t="s">
        <v>432</v>
      </c>
      <c r="F9" s="333" t="s">
        <v>433</v>
      </c>
    </row>
    <row r="10" spans="1:6" x14ac:dyDescent="0.25">
      <c r="A10" s="334">
        <v>1</v>
      </c>
      <c r="B10" s="335">
        <f>EDATE($C$4,A10)</f>
        <v>46508</v>
      </c>
      <c r="C10" s="338">
        <f>C1</f>
        <v>430000000</v>
      </c>
      <c r="D10" s="338">
        <f>PPMT($C$3/12/100,A10,$C$2,-$C$1)</f>
        <v>3693303.651816577</v>
      </c>
      <c r="E10" s="338">
        <f>C10-D10</f>
        <v>426306696.3481834</v>
      </c>
      <c r="F10" s="338">
        <f>IPMT($C$3/12/100,A10,$C$2,-$C$1)</f>
        <v>3225000</v>
      </c>
    </row>
    <row r="11" spans="1:6" x14ac:dyDescent="0.25">
      <c r="A11" s="334">
        <v>2</v>
      </c>
      <c r="B11" s="335">
        <f t="shared" ref="B11:B74" si="0">EDATE($C$4,A11)</f>
        <v>46539</v>
      </c>
      <c r="C11" s="338">
        <f>E10</f>
        <v>426306696.3481834</v>
      </c>
      <c r="D11" s="338">
        <f>PPMT($C$3/12/100,A11,$C$2,-$C$1)</f>
        <v>3721003.429205201</v>
      </c>
      <c r="E11" s="338">
        <f>C11-D11</f>
        <v>422585692.9189782</v>
      </c>
      <c r="F11" s="338">
        <f>IPMT($C$3/12/100,A11,$C$2,-$C$1)</f>
        <v>3197300.2226113747</v>
      </c>
    </row>
    <row r="12" spans="1:6" x14ac:dyDescent="0.25">
      <c r="A12" s="334">
        <v>3</v>
      </c>
      <c r="B12" s="335">
        <f t="shared" si="0"/>
        <v>46569</v>
      </c>
      <c r="C12" s="338">
        <f t="shared" ref="C12:C75" si="1">E11</f>
        <v>422585692.9189782</v>
      </c>
      <c r="D12" s="338">
        <f t="shared" ref="D12:D75" si="2">PPMT($C$3/12/100,A12,$C$2,-$C$1)</f>
        <v>3748910.9549242402</v>
      </c>
      <c r="E12" s="338">
        <f t="shared" ref="E12:E75" si="3">C12-D12</f>
        <v>418836781.964054</v>
      </c>
      <c r="F12" s="338">
        <f t="shared" ref="F12:F75" si="4">IPMT($C$3/12/100,A12,$C$2,-$C$1)</f>
        <v>3169392.6968923365</v>
      </c>
    </row>
    <row r="13" spans="1:6" x14ac:dyDescent="0.25">
      <c r="A13" s="334">
        <v>4</v>
      </c>
      <c r="B13" s="335">
        <f t="shared" si="0"/>
        <v>46600</v>
      </c>
      <c r="C13" s="338">
        <f t="shared" si="1"/>
        <v>418836781.964054</v>
      </c>
      <c r="D13" s="338">
        <f t="shared" si="2"/>
        <v>3777027.7870861716</v>
      </c>
      <c r="E13" s="338">
        <f t="shared" si="3"/>
        <v>415059754.1769678</v>
      </c>
      <c r="F13" s="338">
        <f t="shared" si="4"/>
        <v>3141275.864730404</v>
      </c>
    </row>
    <row r="14" spans="1:6" x14ac:dyDescent="0.25">
      <c r="A14" s="334">
        <v>5</v>
      </c>
      <c r="B14" s="335">
        <f t="shared" si="0"/>
        <v>46631</v>
      </c>
      <c r="C14" s="338">
        <f t="shared" si="1"/>
        <v>415059754.1769678</v>
      </c>
      <c r="D14" s="338">
        <f t="shared" si="2"/>
        <v>3805355.4954893184</v>
      </c>
      <c r="E14" s="338">
        <f t="shared" si="3"/>
        <v>411254398.6814785</v>
      </c>
      <c r="F14" s="338">
        <f t="shared" si="4"/>
        <v>3112948.1563272574</v>
      </c>
    </row>
    <row r="15" spans="1:6" x14ac:dyDescent="0.25">
      <c r="A15" s="334">
        <v>6</v>
      </c>
      <c r="B15" s="335">
        <f t="shared" si="0"/>
        <v>46661</v>
      </c>
      <c r="C15" s="338">
        <f t="shared" si="1"/>
        <v>411254398.6814785</v>
      </c>
      <c r="D15" s="338">
        <f t="shared" si="2"/>
        <v>3833895.6617054883</v>
      </c>
      <c r="E15" s="338">
        <f t="shared" si="3"/>
        <v>407420503.019773</v>
      </c>
      <c r="F15" s="338">
        <f t="shared" si="4"/>
        <v>3084407.9901110884</v>
      </c>
    </row>
    <row r="16" spans="1:6" x14ac:dyDescent="0.25">
      <c r="A16" s="334">
        <v>7</v>
      </c>
      <c r="B16" s="335">
        <f t="shared" si="0"/>
        <v>46692</v>
      </c>
      <c r="C16" s="338">
        <f t="shared" si="1"/>
        <v>407420503.019773</v>
      </c>
      <c r="D16" s="338">
        <f t="shared" si="2"/>
        <v>3862649.8791682795</v>
      </c>
      <c r="E16" s="338">
        <f t="shared" si="3"/>
        <v>403557853.14060473</v>
      </c>
      <c r="F16" s="338">
        <f t="shared" si="4"/>
        <v>3055653.7726482973</v>
      </c>
    </row>
    <row r="17" spans="1:6" x14ac:dyDescent="0.25">
      <c r="A17" s="334">
        <v>8</v>
      </c>
      <c r="B17" s="335">
        <f t="shared" si="0"/>
        <v>46722</v>
      </c>
      <c r="C17" s="338">
        <f t="shared" si="1"/>
        <v>403557853.14060473</v>
      </c>
      <c r="D17" s="338">
        <f t="shared" si="2"/>
        <v>3891619.7532620416</v>
      </c>
      <c r="E17" s="338">
        <f t="shared" si="3"/>
        <v>399666233.3873427</v>
      </c>
      <c r="F17" s="338">
        <f t="shared" si="4"/>
        <v>3026683.898554535</v>
      </c>
    </row>
    <row r="18" spans="1:6" x14ac:dyDescent="0.25">
      <c r="A18" s="334">
        <v>9</v>
      </c>
      <c r="B18" s="335">
        <f t="shared" si="0"/>
        <v>46753</v>
      </c>
      <c r="C18" s="338">
        <f t="shared" si="1"/>
        <v>399666233.3873427</v>
      </c>
      <c r="D18" s="338">
        <f t="shared" si="2"/>
        <v>3920806.901411507</v>
      </c>
      <c r="E18" s="338">
        <f t="shared" si="3"/>
        <v>395745426.48593116</v>
      </c>
      <c r="F18" s="338">
        <f t="shared" si="4"/>
        <v>2997496.7504050694</v>
      </c>
    </row>
    <row r="19" spans="1:6" x14ac:dyDescent="0.25">
      <c r="A19" s="334">
        <v>10</v>
      </c>
      <c r="B19" s="335">
        <f t="shared" si="0"/>
        <v>46784</v>
      </c>
      <c r="C19" s="338">
        <f t="shared" si="1"/>
        <v>395745426.48593116</v>
      </c>
      <c r="D19" s="338">
        <f t="shared" si="2"/>
        <v>3950212.9531720933</v>
      </c>
      <c r="E19" s="338">
        <f t="shared" si="3"/>
        <v>391795213.5327591</v>
      </c>
      <c r="F19" s="338">
        <f t="shared" si="4"/>
        <v>2968090.698644483</v>
      </c>
    </row>
    <row r="20" spans="1:6" x14ac:dyDescent="0.25">
      <c r="A20" s="334">
        <v>11</v>
      </c>
      <c r="B20" s="335">
        <f t="shared" si="0"/>
        <v>46813</v>
      </c>
      <c r="C20" s="338">
        <f t="shared" si="1"/>
        <v>391795213.5327591</v>
      </c>
      <c r="D20" s="338">
        <f t="shared" si="2"/>
        <v>3979839.5503208837</v>
      </c>
      <c r="E20" s="338">
        <f t="shared" si="3"/>
        <v>387815373.9824382</v>
      </c>
      <c r="F20" s="338">
        <f t="shared" si="4"/>
        <v>2938464.1014956925</v>
      </c>
    </row>
    <row r="21" spans="1:6" x14ac:dyDescent="0.25">
      <c r="A21" s="334">
        <v>12</v>
      </c>
      <c r="B21" s="335">
        <f t="shared" si="0"/>
        <v>46844</v>
      </c>
      <c r="C21" s="338">
        <f t="shared" si="1"/>
        <v>387815373.9824382</v>
      </c>
      <c r="D21" s="338">
        <f t="shared" si="2"/>
        <v>4009688.3469482902</v>
      </c>
      <c r="E21" s="338">
        <f t="shared" si="3"/>
        <v>383805685.63548994</v>
      </c>
      <c r="F21" s="338">
        <f t="shared" si="4"/>
        <v>2908615.3048682865</v>
      </c>
    </row>
    <row r="22" spans="1:6" x14ac:dyDescent="0.25">
      <c r="A22" s="334">
        <v>13</v>
      </c>
      <c r="B22" s="335">
        <f t="shared" si="0"/>
        <v>46874</v>
      </c>
      <c r="C22" s="338">
        <f t="shared" si="1"/>
        <v>383805685.63548994</v>
      </c>
      <c r="D22" s="338">
        <f t="shared" si="2"/>
        <v>4039761.009550403</v>
      </c>
      <c r="E22" s="338">
        <f t="shared" si="3"/>
        <v>379765924.62593955</v>
      </c>
      <c r="F22" s="338">
        <f t="shared" si="4"/>
        <v>2878542.6422661734</v>
      </c>
    </row>
    <row r="23" spans="1:6" x14ac:dyDescent="0.25">
      <c r="A23" s="334">
        <v>14</v>
      </c>
      <c r="B23" s="335">
        <f>EDATE($C$4,A23)</f>
        <v>46905</v>
      </c>
      <c r="C23" s="338">
        <f t="shared" si="1"/>
        <v>379765924.62593955</v>
      </c>
      <c r="D23" s="338">
        <f t="shared" si="2"/>
        <v>4070059.2171220314</v>
      </c>
      <c r="E23" s="338">
        <f t="shared" si="3"/>
        <v>375695865.4088175</v>
      </c>
      <c r="F23" s="338">
        <f t="shared" si="4"/>
        <v>2848244.434694546</v>
      </c>
    </row>
    <row r="24" spans="1:6" x14ac:dyDescent="0.25">
      <c r="A24" s="334">
        <v>15</v>
      </c>
      <c r="B24" s="335">
        <f t="shared" si="0"/>
        <v>46935</v>
      </c>
      <c r="C24" s="338">
        <f t="shared" si="1"/>
        <v>375695865.4088175</v>
      </c>
      <c r="D24" s="338">
        <f t="shared" si="2"/>
        <v>4100584.661250446</v>
      </c>
      <c r="E24" s="338">
        <f t="shared" si="3"/>
        <v>371595280.74756706</v>
      </c>
      <c r="F24" s="338">
        <f t="shared" si="4"/>
        <v>2817718.9905661307</v>
      </c>
    </row>
    <row r="25" spans="1:6" x14ac:dyDescent="0.25">
      <c r="A25" s="334">
        <v>16</v>
      </c>
      <c r="B25" s="335">
        <f t="shared" si="0"/>
        <v>46966</v>
      </c>
      <c r="C25" s="338">
        <f t="shared" si="1"/>
        <v>371595280.74756706</v>
      </c>
      <c r="D25" s="338">
        <f t="shared" si="2"/>
        <v>4131339.0462098247</v>
      </c>
      <c r="E25" s="338">
        <f t="shared" si="3"/>
        <v>367463941.70135725</v>
      </c>
      <c r="F25" s="338">
        <f t="shared" si="4"/>
        <v>2786964.6056067524</v>
      </c>
    </row>
    <row r="26" spans="1:6" x14ac:dyDescent="0.25">
      <c r="A26" s="334">
        <v>17</v>
      </c>
      <c r="B26" s="335">
        <f t="shared" si="0"/>
        <v>46997</v>
      </c>
      <c r="C26" s="338">
        <f t="shared" si="1"/>
        <v>367463941.70135725</v>
      </c>
      <c r="D26" s="338">
        <f t="shared" si="2"/>
        <v>4162324.0890563983</v>
      </c>
      <c r="E26" s="338">
        <f t="shared" si="3"/>
        <v>363301617.6123009</v>
      </c>
      <c r="F26" s="338">
        <f t="shared" si="4"/>
        <v>2755979.562760179</v>
      </c>
    </row>
    <row r="27" spans="1:6" x14ac:dyDescent="0.25">
      <c r="A27" s="334">
        <v>18</v>
      </c>
      <c r="B27" s="335">
        <f t="shared" si="0"/>
        <v>47027</v>
      </c>
      <c r="C27" s="338">
        <f t="shared" si="1"/>
        <v>363301617.6123009</v>
      </c>
      <c r="D27" s="338">
        <f t="shared" si="2"/>
        <v>4193541.519724321</v>
      </c>
      <c r="E27" s="338">
        <f t="shared" si="3"/>
        <v>359108076.09257656</v>
      </c>
      <c r="F27" s="338">
        <f t="shared" si="4"/>
        <v>2724762.1320922556</v>
      </c>
    </row>
    <row r="28" spans="1:6" x14ac:dyDescent="0.25">
      <c r="A28" s="334">
        <v>19</v>
      </c>
      <c r="B28" s="335">
        <f t="shared" si="0"/>
        <v>47058</v>
      </c>
      <c r="C28" s="338">
        <f t="shared" si="1"/>
        <v>359108076.09257656</v>
      </c>
      <c r="D28" s="338">
        <f t="shared" si="2"/>
        <v>4224993.081122254</v>
      </c>
      <c r="E28" s="338">
        <f t="shared" si="3"/>
        <v>354883083.0114543</v>
      </c>
      <c r="F28" s="338">
        <f t="shared" si="4"/>
        <v>2693310.570694323</v>
      </c>
    </row>
    <row r="29" spans="1:6" x14ac:dyDescent="0.25">
      <c r="A29" s="334">
        <v>20</v>
      </c>
      <c r="B29" s="335">
        <f t="shared" si="0"/>
        <v>47088</v>
      </c>
      <c r="C29" s="338">
        <f t="shared" si="1"/>
        <v>354883083.0114543</v>
      </c>
      <c r="D29" s="338">
        <f t="shared" si="2"/>
        <v>4256680.52923067</v>
      </c>
      <c r="E29" s="338">
        <f t="shared" si="3"/>
        <v>350626402.48222363</v>
      </c>
      <c r="F29" s="338">
        <f t="shared" si="4"/>
        <v>2661623.122585906</v>
      </c>
    </row>
    <row r="30" spans="1:6" x14ac:dyDescent="0.25">
      <c r="A30" s="334">
        <v>21</v>
      </c>
      <c r="B30" s="335">
        <f t="shared" si="0"/>
        <v>47119</v>
      </c>
      <c r="C30" s="338">
        <f t="shared" si="1"/>
        <v>350626402.48222363</v>
      </c>
      <c r="D30" s="338">
        <f t="shared" si="2"/>
        <v>4288605.6331999</v>
      </c>
      <c r="E30" s="338">
        <f t="shared" si="3"/>
        <v>346337796.8490237</v>
      </c>
      <c r="F30" s="338">
        <f t="shared" si="4"/>
        <v>2629698.0186166763</v>
      </c>
    </row>
    <row r="31" spans="1:6" x14ac:dyDescent="0.25">
      <c r="A31" s="334">
        <v>22</v>
      </c>
      <c r="B31" s="335">
        <f t="shared" si="0"/>
        <v>47150</v>
      </c>
      <c r="C31" s="338">
        <f t="shared" si="1"/>
        <v>346337796.8490237</v>
      </c>
      <c r="D31" s="338">
        <f t="shared" si="2"/>
        <v>4320770.1754489</v>
      </c>
      <c r="E31" s="338">
        <f t="shared" si="3"/>
        <v>342017026.6735748</v>
      </c>
      <c r="F31" s="338">
        <f t="shared" si="4"/>
        <v>2597533.4763676766</v>
      </c>
    </row>
    <row r="32" spans="1:6" x14ac:dyDescent="0.25">
      <c r="A32" s="334">
        <v>23</v>
      </c>
      <c r="B32" s="335">
        <f t="shared" si="0"/>
        <v>47178</v>
      </c>
      <c r="C32" s="338">
        <f t="shared" si="1"/>
        <v>342017026.6735748</v>
      </c>
      <c r="D32" s="338">
        <f t="shared" si="2"/>
        <v>4353175.951764766</v>
      </c>
      <c r="E32" s="338">
        <f t="shared" si="3"/>
        <v>337663850.72181004</v>
      </c>
      <c r="F32" s="338">
        <f t="shared" si="4"/>
        <v>2565127.70005181</v>
      </c>
    </row>
    <row r="33" spans="1:6" x14ac:dyDescent="0.25">
      <c r="A33" s="334">
        <v>24</v>
      </c>
      <c r="B33" s="335">
        <f t="shared" si="0"/>
        <v>47209</v>
      </c>
      <c r="C33" s="338">
        <f t="shared" si="1"/>
        <v>337663850.72181004</v>
      </c>
      <c r="D33" s="338">
        <f t="shared" si="2"/>
        <v>4385824.771403003</v>
      </c>
      <c r="E33" s="338">
        <f t="shared" si="3"/>
        <v>333278025.950407</v>
      </c>
      <c r="F33" s="338">
        <f t="shared" si="4"/>
        <v>2532478.8804135746</v>
      </c>
    </row>
    <row r="34" spans="1:6" x14ac:dyDescent="0.25">
      <c r="A34" s="334">
        <v>25</v>
      </c>
      <c r="B34" s="335">
        <f t="shared" si="0"/>
        <v>47239</v>
      </c>
      <c r="C34" s="338">
        <f t="shared" si="1"/>
        <v>333278025.950407</v>
      </c>
      <c r="D34" s="338">
        <f t="shared" si="2"/>
        <v>4418718.457188524</v>
      </c>
      <c r="E34" s="338">
        <f t="shared" si="3"/>
        <v>328859307.4932185</v>
      </c>
      <c r="F34" s="338">
        <f t="shared" si="4"/>
        <v>2499585.194628052</v>
      </c>
    </row>
    <row r="35" spans="1:6" x14ac:dyDescent="0.25">
      <c r="A35" s="334">
        <v>26</v>
      </c>
      <c r="B35" s="335">
        <f t="shared" si="0"/>
        <v>47270</v>
      </c>
      <c r="C35" s="338">
        <f t="shared" si="1"/>
        <v>328859307.4932185</v>
      </c>
      <c r="D35" s="338">
        <f t="shared" si="2"/>
        <v>4451858.845617439</v>
      </c>
      <c r="E35" s="338">
        <f t="shared" si="3"/>
        <v>324407448.64760107</v>
      </c>
      <c r="F35" s="338">
        <f t="shared" si="4"/>
        <v>2466444.806199138</v>
      </c>
    </row>
    <row r="36" spans="1:6" x14ac:dyDescent="0.25">
      <c r="A36" s="334">
        <v>27</v>
      </c>
      <c r="B36" s="335">
        <f t="shared" si="0"/>
        <v>47300</v>
      </c>
      <c r="C36" s="338">
        <f t="shared" si="1"/>
        <v>324407448.64760107</v>
      </c>
      <c r="D36" s="338">
        <f t="shared" si="2"/>
        <v>4485247.786959569</v>
      </c>
      <c r="E36" s="338">
        <f t="shared" si="3"/>
        <v>319922200.8606415</v>
      </c>
      <c r="F36" s="338">
        <f t="shared" si="4"/>
        <v>2433055.864857007</v>
      </c>
    </row>
    <row r="37" spans="1:6" x14ac:dyDescent="0.25">
      <c r="A37" s="334">
        <v>28</v>
      </c>
      <c r="B37" s="335">
        <f t="shared" si="0"/>
        <v>47331</v>
      </c>
      <c r="C37" s="338">
        <f t="shared" si="1"/>
        <v>319922200.8606415</v>
      </c>
      <c r="D37" s="338">
        <f t="shared" si="2"/>
        <v>4518887.145361766</v>
      </c>
      <c r="E37" s="338">
        <f t="shared" si="3"/>
        <v>315403313.7152797</v>
      </c>
      <c r="F37" s="338">
        <f t="shared" si="4"/>
        <v>2399416.50645481</v>
      </c>
    </row>
    <row r="38" spans="1:6" x14ac:dyDescent="0.25">
      <c r="A38" s="334">
        <v>29</v>
      </c>
      <c r="B38" s="335">
        <f t="shared" si="0"/>
        <v>47362</v>
      </c>
      <c r="C38" s="338">
        <f t="shared" si="1"/>
        <v>315403313.7152797</v>
      </c>
      <c r="D38" s="338">
        <f t="shared" si="2"/>
        <v>4552778.798951979</v>
      </c>
      <c r="E38" s="338">
        <f t="shared" si="3"/>
        <v>310850534.9163277</v>
      </c>
      <c r="F38" s="338">
        <f t="shared" si="4"/>
        <v>2365524.852864597</v>
      </c>
    </row>
    <row r="39" spans="1:6" x14ac:dyDescent="0.25">
      <c r="A39" s="334">
        <v>30</v>
      </c>
      <c r="B39" s="335">
        <f t="shared" si="0"/>
        <v>47392</v>
      </c>
      <c r="C39" s="338">
        <f t="shared" si="1"/>
        <v>310850534.9163277</v>
      </c>
      <c r="D39" s="338">
        <f t="shared" si="2"/>
        <v>4586924.639944119</v>
      </c>
      <c r="E39" s="338">
        <f t="shared" si="3"/>
        <v>306263610.2763836</v>
      </c>
      <c r="F39" s="338">
        <f t="shared" si="4"/>
        <v>2331379.011872458</v>
      </c>
    </row>
    <row r="40" spans="1:6" x14ac:dyDescent="0.25">
      <c r="A40" s="334">
        <v>31</v>
      </c>
      <c r="B40" s="335">
        <f t="shared" si="0"/>
        <v>47423</v>
      </c>
      <c r="C40" s="338">
        <f t="shared" si="1"/>
        <v>306263610.2763836</v>
      </c>
      <c r="D40" s="338">
        <f t="shared" si="2"/>
        <v>4621326.5747437</v>
      </c>
      <c r="E40" s="338">
        <f t="shared" si="3"/>
        <v>301642283.7016399</v>
      </c>
      <c r="F40" s="338">
        <f t="shared" si="4"/>
        <v>2296977.0770728765</v>
      </c>
    </row>
    <row r="41" spans="1:6" x14ac:dyDescent="0.25">
      <c r="A41" s="334">
        <v>32</v>
      </c>
      <c r="B41" s="335">
        <f t="shared" si="0"/>
        <v>47453</v>
      </c>
      <c r="C41" s="338">
        <f t="shared" si="1"/>
        <v>301642283.7016399</v>
      </c>
      <c r="D41" s="338">
        <f t="shared" si="2"/>
        <v>4655986.524054278</v>
      </c>
      <c r="E41" s="338">
        <f t="shared" si="3"/>
        <v>296986297.1775856</v>
      </c>
      <c r="F41" s="338">
        <f t="shared" si="4"/>
        <v>2262317.1277622986</v>
      </c>
    </row>
    <row r="42" spans="1:6" x14ac:dyDescent="0.25">
      <c r="A42" s="334">
        <v>33</v>
      </c>
      <c r="B42" s="335">
        <f t="shared" si="0"/>
        <v>47484</v>
      </c>
      <c r="C42" s="338">
        <f t="shared" si="1"/>
        <v>296986297.1775856</v>
      </c>
      <c r="D42" s="338">
        <f t="shared" si="2"/>
        <v>4690906.422984685</v>
      </c>
      <c r="E42" s="338">
        <f t="shared" si="3"/>
        <v>292295390.75460094</v>
      </c>
      <c r="F42" s="338">
        <f t="shared" si="4"/>
        <v>2227397.2288318914</v>
      </c>
    </row>
    <row r="43" spans="1:6" x14ac:dyDescent="0.25">
      <c r="A43" s="334">
        <v>34</v>
      </c>
      <c r="B43" s="335">
        <f t="shared" si="0"/>
        <v>47515</v>
      </c>
      <c r="C43" s="338">
        <f t="shared" si="1"/>
        <v>292295390.75460094</v>
      </c>
      <c r="D43" s="338">
        <f t="shared" si="2"/>
        <v>4726088.22115707</v>
      </c>
      <c r="E43" s="338">
        <f t="shared" si="3"/>
        <v>287569302.53344387</v>
      </c>
      <c r="F43" s="338">
        <f t="shared" si="4"/>
        <v>2192215.4306595065</v>
      </c>
    </row>
    <row r="44" spans="1:6" x14ac:dyDescent="0.25">
      <c r="A44" s="334">
        <v>35</v>
      </c>
      <c r="B44" s="335">
        <f t="shared" si="0"/>
        <v>47543</v>
      </c>
      <c r="C44" s="338">
        <f t="shared" si="1"/>
        <v>287569302.53344387</v>
      </c>
      <c r="D44" s="338">
        <f t="shared" si="2"/>
        <v>4761533.8828157475</v>
      </c>
      <c r="E44" s="338">
        <f t="shared" si="3"/>
        <v>282807768.65062815</v>
      </c>
      <c r="F44" s="338">
        <f t="shared" si="4"/>
        <v>2156769.7690008283</v>
      </c>
    </row>
    <row r="45" spans="1:6" x14ac:dyDescent="0.25">
      <c r="A45" s="334">
        <v>36</v>
      </c>
      <c r="B45" s="335">
        <f t="shared" si="0"/>
        <v>47574</v>
      </c>
      <c r="C45" s="338">
        <f t="shared" si="1"/>
        <v>282807768.65062815</v>
      </c>
      <c r="D45" s="338">
        <f t="shared" si="2"/>
        <v>4797245.386936866</v>
      </c>
      <c r="E45" s="338">
        <f t="shared" si="3"/>
        <v>278010523.2636913</v>
      </c>
      <c r="F45" s="338">
        <f t="shared" si="4"/>
        <v>2121058.2648797105</v>
      </c>
    </row>
    <row r="46" spans="1:6" x14ac:dyDescent="0.25">
      <c r="A46" s="334">
        <v>37</v>
      </c>
      <c r="B46" s="335">
        <f t="shared" si="0"/>
        <v>47604</v>
      </c>
      <c r="C46" s="338">
        <f t="shared" si="1"/>
        <v>278010523.2636913</v>
      </c>
      <c r="D46" s="338">
        <f t="shared" si="2"/>
        <v>4833224.727338892</v>
      </c>
      <c r="E46" s="338">
        <f t="shared" si="3"/>
        <v>273177298.5363524</v>
      </c>
      <c r="F46" s="338">
        <f t="shared" si="4"/>
        <v>2085078.9244776834</v>
      </c>
    </row>
    <row r="47" spans="1:6" x14ac:dyDescent="0.25">
      <c r="A47" s="334">
        <v>38</v>
      </c>
      <c r="B47" s="335">
        <f t="shared" si="0"/>
        <v>47635</v>
      </c>
      <c r="C47" s="338">
        <f t="shared" si="1"/>
        <v>273177298.5363524</v>
      </c>
      <c r="D47" s="338">
        <f t="shared" si="2"/>
        <v>4869473.912793934</v>
      </c>
      <c r="E47" s="338">
        <f t="shared" si="3"/>
        <v>268307824.62355846</v>
      </c>
      <c r="F47" s="338">
        <f t="shared" si="4"/>
        <v>2048829.7390226424</v>
      </c>
    </row>
    <row r="48" spans="1:6" x14ac:dyDescent="0.25">
      <c r="A48" s="334">
        <v>39</v>
      </c>
      <c r="B48" s="335">
        <f t="shared" si="0"/>
        <v>47665</v>
      </c>
      <c r="C48" s="338">
        <f t="shared" si="1"/>
        <v>268307824.62355846</v>
      </c>
      <c r="D48" s="338">
        <f t="shared" si="2"/>
        <v>4905994.9671398895</v>
      </c>
      <c r="E48" s="338">
        <f t="shared" si="3"/>
        <v>263401829.65641856</v>
      </c>
      <c r="F48" s="338">
        <f t="shared" si="4"/>
        <v>2012308.6846766875</v>
      </c>
    </row>
    <row r="49" spans="1:6" x14ac:dyDescent="0.25">
      <c r="A49" s="334">
        <v>40</v>
      </c>
      <c r="B49" s="335">
        <f t="shared" si="0"/>
        <v>47696</v>
      </c>
      <c r="C49" s="338">
        <f t="shared" si="1"/>
        <v>263401829.65641856</v>
      </c>
      <c r="D49" s="338">
        <f t="shared" si="2"/>
        <v>4942789.929393439</v>
      </c>
      <c r="E49" s="338">
        <f t="shared" si="3"/>
        <v>258459039.72702512</v>
      </c>
      <c r="F49" s="338">
        <f t="shared" si="4"/>
        <v>1975513.7224231386</v>
      </c>
    </row>
    <row r="50" spans="1:6" x14ac:dyDescent="0.25">
      <c r="A50" s="334">
        <v>41</v>
      </c>
      <c r="B50" s="335">
        <f t="shared" si="0"/>
        <v>47727</v>
      </c>
      <c r="C50" s="338">
        <f t="shared" si="1"/>
        <v>258459039.72702512</v>
      </c>
      <c r="D50" s="338">
        <f t="shared" si="2"/>
        <v>4979860.853863888</v>
      </c>
      <c r="E50" s="338">
        <f t="shared" si="3"/>
        <v>253479178.87316123</v>
      </c>
      <c r="F50" s="338">
        <f t="shared" si="4"/>
        <v>1938442.7979526874</v>
      </c>
    </row>
    <row r="51" spans="1:6" x14ac:dyDescent="0.25">
      <c r="A51" s="334">
        <v>42</v>
      </c>
      <c r="B51" s="335">
        <f t="shared" si="0"/>
        <v>47757</v>
      </c>
      <c r="C51" s="338">
        <f t="shared" si="1"/>
        <v>253479178.87316123</v>
      </c>
      <c r="D51" s="338">
        <f t="shared" si="2"/>
        <v>5017209.8102678675</v>
      </c>
      <c r="E51" s="338">
        <f t="shared" si="3"/>
        <v>248461969.06289336</v>
      </c>
      <c r="F51" s="338">
        <f t="shared" si="4"/>
        <v>1901093.8415487087</v>
      </c>
    </row>
    <row r="52" spans="1:6" x14ac:dyDescent="0.25">
      <c r="A52" s="334">
        <v>43</v>
      </c>
      <c r="B52" s="335">
        <f t="shared" si="0"/>
        <v>47788</v>
      </c>
      <c r="C52" s="338">
        <f t="shared" si="1"/>
        <v>248461969.06289336</v>
      </c>
      <c r="D52" s="338">
        <f t="shared" si="2"/>
        <v>5054838.883844877</v>
      </c>
      <c r="E52" s="338">
        <f t="shared" si="3"/>
        <v>243407130.17904848</v>
      </c>
      <c r="F52" s="338">
        <f t="shared" si="4"/>
        <v>1863464.7679716994</v>
      </c>
    </row>
    <row r="53" spans="1:6" x14ac:dyDescent="0.25">
      <c r="A53" s="334">
        <v>44</v>
      </c>
      <c r="B53" s="335">
        <f t="shared" si="0"/>
        <v>47818</v>
      </c>
      <c r="C53" s="338">
        <f t="shared" si="1"/>
        <v>243407130.17904848</v>
      </c>
      <c r="D53" s="338">
        <f t="shared" si="2"/>
        <v>5092750.175473713</v>
      </c>
      <c r="E53" s="338">
        <f t="shared" si="3"/>
        <v>238314380.00357476</v>
      </c>
      <c r="F53" s="338">
        <f t="shared" si="4"/>
        <v>1825553.4763428632</v>
      </c>
    </row>
    <row r="54" spans="1:6" x14ac:dyDescent="0.25">
      <c r="A54" s="334">
        <v>45</v>
      </c>
      <c r="B54" s="335">
        <f t="shared" si="0"/>
        <v>47849</v>
      </c>
      <c r="C54" s="338">
        <f t="shared" si="1"/>
        <v>238314380.00357476</v>
      </c>
      <c r="D54" s="338">
        <f t="shared" si="2"/>
        <v>5130945.801789766</v>
      </c>
      <c r="E54" s="338">
        <f t="shared" si="3"/>
        <v>233183434.201785</v>
      </c>
      <c r="F54" s="338">
        <f t="shared" si="4"/>
        <v>1787357.8500268098</v>
      </c>
    </row>
    <row r="55" spans="1:6" x14ac:dyDescent="0.25">
      <c r="A55" s="334">
        <v>46</v>
      </c>
      <c r="B55" s="335">
        <f t="shared" si="0"/>
        <v>47880</v>
      </c>
      <c r="C55" s="338">
        <f t="shared" si="1"/>
        <v>233183434.201785</v>
      </c>
      <c r="D55" s="338">
        <f t="shared" si="2"/>
        <v>5169427.895303189</v>
      </c>
      <c r="E55" s="338">
        <f t="shared" si="3"/>
        <v>228014006.3064818</v>
      </c>
      <c r="F55" s="338">
        <f t="shared" si="4"/>
        <v>1748875.756513387</v>
      </c>
    </row>
    <row r="56" spans="1:6" x14ac:dyDescent="0.25">
      <c r="A56" s="334">
        <v>47</v>
      </c>
      <c r="B56" s="335">
        <f t="shared" si="0"/>
        <v>47908</v>
      </c>
      <c r="C56" s="338">
        <f t="shared" si="1"/>
        <v>228014006.3064818</v>
      </c>
      <c r="D56" s="338">
        <f t="shared" si="2"/>
        <v>5208198.604517964</v>
      </c>
      <c r="E56" s="338">
        <f t="shared" si="3"/>
        <v>222805807.70196384</v>
      </c>
      <c r="F56" s="338">
        <f t="shared" si="4"/>
        <v>1710105.0472986128</v>
      </c>
    </row>
    <row r="57" spans="1:6" x14ac:dyDescent="0.25">
      <c r="A57" s="334">
        <v>48</v>
      </c>
      <c r="B57" s="335">
        <f t="shared" si="0"/>
        <v>47939</v>
      </c>
      <c r="C57" s="338">
        <f t="shared" si="1"/>
        <v>222805807.70196384</v>
      </c>
      <c r="D57" s="338">
        <f t="shared" si="2"/>
        <v>5247260.094051849</v>
      </c>
      <c r="E57" s="338">
        <f t="shared" si="3"/>
        <v>217558547.607912</v>
      </c>
      <c r="F57" s="338">
        <f t="shared" si="4"/>
        <v>1671043.557764728</v>
      </c>
    </row>
    <row r="58" spans="1:6" x14ac:dyDescent="0.25">
      <c r="A58" s="334">
        <v>49</v>
      </c>
      <c r="B58" s="335">
        <f t="shared" si="0"/>
        <v>47969</v>
      </c>
      <c r="C58" s="338">
        <f t="shared" si="1"/>
        <v>217558547.607912</v>
      </c>
      <c r="D58" s="338">
        <f t="shared" si="2"/>
        <v>5286614.544757238</v>
      </c>
      <c r="E58" s="338">
        <f t="shared" si="3"/>
        <v>212271933.06315476</v>
      </c>
      <c r="F58" s="338">
        <f t="shared" si="4"/>
        <v>1631689.107059339</v>
      </c>
    </row>
    <row r="59" spans="1:6" x14ac:dyDescent="0.25">
      <c r="A59" s="334">
        <v>50</v>
      </c>
      <c r="B59" s="335">
        <f t="shared" si="0"/>
        <v>48000</v>
      </c>
      <c r="C59" s="338">
        <f t="shared" si="1"/>
        <v>212271933.06315476</v>
      </c>
      <c r="D59" s="338">
        <f t="shared" si="2"/>
        <v>5326264.153842917</v>
      </c>
      <c r="E59" s="338">
        <f t="shared" si="3"/>
        <v>206945668.90931183</v>
      </c>
      <c r="F59" s="338">
        <f t="shared" si="4"/>
        <v>1592039.49797366</v>
      </c>
    </row>
    <row r="60" spans="1:6" x14ac:dyDescent="0.25">
      <c r="A60" s="334">
        <v>51</v>
      </c>
      <c r="B60" s="335">
        <f t="shared" si="0"/>
        <v>48030</v>
      </c>
      <c r="C60" s="338">
        <f t="shared" si="1"/>
        <v>206945668.90931183</v>
      </c>
      <c r="D60" s="338">
        <f t="shared" si="2"/>
        <v>5366211.134996738</v>
      </c>
      <c r="E60" s="338">
        <f t="shared" si="3"/>
        <v>201579457.7743151</v>
      </c>
      <c r="F60" s="338">
        <f t="shared" si="4"/>
        <v>1552092.516819838</v>
      </c>
    </row>
    <row r="61" spans="1:6" x14ac:dyDescent="0.25">
      <c r="A61" s="334">
        <v>52</v>
      </c>
      <c r="B61" s="335">
        <f t="shared" si="0"/>
        <v>48061</v>
      </c>
      <c r="C61" s="338">
        <f t="shared" si="1"/>
        <v>201579457.7743151</v>
      </c>
      <c r="D61" s="338">
        <f t="shared" si="2"/>
        <v>5406457.718509214</v>
      </c>
      <c r="E61" s="338">
        <f t="shared" si="3"/>
        <v>196173000.05580586</v>
      </c>
      <c r="F61" s="338">
        <f t="shared" si="4"/>
        <v>1511845.9333073627</v>
      </c>
    </row>
    <row r="62" spans="1:6" x14ac:dyDescent="0.25">
      <c r="A62" s="334">
        <v>53</v>
      </c>
      <c r="B62" s="335">
        <f t="shared" si="0"/>
        <v>48092</v>
      </c>
      <c r="C62" s="338">
        <f t="shared" si="1"/>
        <v>196173000.05580586</v>
      </c>
      <c r="D62" s="338">
        <f t="shared" si="2"/>
        <v>5447006.151398033</v>
      </c>
      <c r="E62" s="338">
        <f t="shared" si="3"/>
        <v>190725993.90440783</v>
      </c>
      <c r="F62" s="338">
        <f t="shared" si="4"/>
        <v>1471297.5004185433</v>
      </c>
    </row>
    <row r="63" spans="1:6" x14ac:dyDescent="0.25">
      <c r="A63" s="334">
        <v>54</v>
      </c>
      <c r="B63" s="335">
        <f t="shared" si="0"/>
        <v>48122</v>
      </c>
      <c r="C63" s="338">
        <f t="shared" si="1"/>
        <v>190725993.90440783</v>
      </c>
      <c r="D63" s="338">
        <f t="shared" si="2"/>
        <v>5487858.697533518</v>
      </c>
      <c r="E63" s="338">
        <f t="shared" si="3"/>
        <v>185238135.2068743</v>
      </c>
      <c r="F63" s="338">
        <f t="shared" si="4"/>
        <v>1430444.9542830582</v>
      </c>
    </row>
    <row r="64" spans="1:6" x14ac:dyDescent="0.25">
      <c r="A64" s="334">
        <v>55</v>
      </c>
      <c r="B64" s="335">
        <f t="shared" si="0"/>
        <v>48153</v>
      </c>
      <c r="C64" s="338">
        <f t="shared" si="1"/>
        <v>185238135.2068743</v>
      </c>
      <c r="D64" s="338">
        <f t="shared" si="2"/>
        <v>5529017.637765019</v>
      </c>
      <c r="E64" s="338">
        <f t="shared" si="3"/>
        <v>179709117.5691093</v>
      </c>
      <c r="F64" s="338">
        <f t="shared" si="4"/>
        <v>1389286.0140515568</v>
      </c>
    </row>
    <row r="65" spans="1:6" x14ac:dyDescent="0.25">
      <c r="A65" s="334">
        <v>56</v>
      </c>
      <c r="B65" s="335">
        <f t="shared" si="0"/>
        <v>48183</v>
      </c>
      <c r="C65" s="338">
        <f t="shared" si="1"/>
        <v>179709117.5691093</v>
      </c>
      <c r="D65" s="338">
        <f t="shared" si="2"/>
        <v>5570485.270048258</v>
      </c>
      <c r="E65" s="338">
        <f t="shared" si="3"/>
        <v>174138632.29906103</v>
      </c>
      <c r="F65" s="338">
        <f t="shared" si="4"/>
        <v>1347818.381768319</v>
      </c>
    </row>
    <row r="66" spans="1:6" x14ac:dyDescent="0.25">
      <c r="A66" s="334">
        <v>57</v>
      </c>
      <c r="B66" s="335">
        <f t="shared" si="0"/>
        <v>48214</v>
      </c>
      <c r="C66" s="338">
        <f t="shared" si="1"/>
        <v>174138632.29906103</v>
      </c>
      <c r="D66" s="338">
        <f t="shared" si="2"/>
        <v>5612263.909573619</v>
      </c>
      <c r="E66" s="338">
        <f t="shared" si="3"/>
        <v>168526368.38948742</v>
      </c>
      <c r="F66" s="338">
        <f t="shared" si="4"/>
        <v>1306039.7422429572</v>
      </c>
    </row>
    <row r="67" spans="1:6" x14ac:dyDescent="0.25">
      <c r="A67" s="334">
        <v>58</v>
      </c>
      <c r="B67" s="335">
        <f t="shared" si="0"/>
        <v>48245</v>
      </c>
      <c r="C67" s="338">
        <f t="shared" si="1"/>
        <v>168526368.38948742</v>
      </c>
      <c r="D67" s="338">
        <f t="shared" si="2"/>
        <v>5654355.888895422</v>
      </c>
      <c r="E67" s="338">
        <f t="shared" si="3"/>
        <v>162872012.500592</v>
      </c>
      <c r="F67" s="338">
        <f t="shared" si="4"/>
        <v>1263947.762921155</v>
      </c>
    </row>
    <row r="68" spans="1:6" x14ac:dyDescent="0.25">
      <c r="A68" s="334">
        <v>59</v>
      </c>
      <c r="B68" s="335">
        <f t="shared" si="0"/>
        <v>48274</v>
      </c>
      <c r="C68" s="338">
        <f t="shared" si="1"/>
        <v>162872012.500592</v>
      </c>
      <c r="D68" s="338">
        <f t="shared" si="2"/>
        <v>5696763.558062137</v>
      </c>
      <c r="E68" s="338">
        <f t="shared" si="3"/>
        <v>157175248.94252986</v>
      </c>
      <c r="F68" s="338">
        <f t="shared" si="4"/>
        <v>1221540.0937544394</v>
      </c>
    </row>
    <row r="69" spans="1:6" x14ac:dyDescent="0.25">
      <c r="A69" s="334">
        <v>60</v>
      </c>
      <c r="B69" s="335">
        <f t="shared" si="0"/>
        <v>48305</v>
      </c>
      <c r="C69" s="338">
        <f t="shared" si="1"/>
        <v>157175248.94252986</v>
      </c>
      <c r="D69" s="338">
        <f t="shared" si="2"/>
        <v>5739489.284747603</v>
      </c>
      <c r="E69" s="338">
        <f t="shared" si="3"/>
        <v>151435759.65778226</v>
      </c>
      <c r="F69" s="338">
        <f t="shared" si="4"/>
        <v>1178814.3670689731</v>
      </c>
    </row>
    <row r="70" spans="1:6" x14ac:dyDescent="0.25">
      <c r="A70" s="334">
        <v>61</v>
      </c>
      <c r="B70" s="335">
        <f t="shared" si="0"/>
        <v>48335</v>
      </c>
      <c r="C70" s="338">
        <f t="shared" si="1"/>
        <v>151435759.65778226</v>
      </c>
      <c r="D70" s="338">
        <f t="shared" si="2"/>
        <v>5782535.45438321</v>
      </c>
      <c r="E70" s="338">
        <f t="shared" si="3"/>
        <v>145653224.20339903</v>
      </c>
      <c r="F70" s="338">
        <f t="shared" si="4"/>
        <v>1135768.1974333662</v>
      </c>
    </row>
    <row r="71" spans="1:6" x14ac:dyDescent="0.25">
      <c r="A71" s="334">
        <v>62</v>
      </c>
      <c r="B71" s="335">
        <f t="shared" si="0"/>
        <v>48366</v>
      </c>
      <c r="C71" s="338">
        <f t="shared" si="1"/>
        <v>145653224.20339903</v>
      </c>
      <c r="D71" s="338">
        <f t="shared" si="2"/>
        <v>5825904.470291085</v>
      </c>
      <c r="E71" s="338">
        <f t="shared" si="3"/>
        <v>139827319.73310795</v>
      </c>
      <c r="F71" s="338">
        <f t="shared" si="4"/>
        <v>1092399.1815254923</v>
      </c>
    </row>
    <row r="72" spans="1:6" x14ac:dyDescent="0.25">
      <c r="A72" s="334">
        <v>63</v>
      </c>
      <c r="B72" s="335">
        <f t="shared" si="0"/>
        <v>48396</v>
      </c>
      <c r="C72" s="338">
        <f t="shared" si="1"/>
        <v>139827319.73310795</v>
      </c>
      <c r="D72" s="338">
        <f t="shared" si="2"/>
        <v>5869598.753818267</v>
      </c>
      <c r="E72" s="338">
        <f t="shared" si="3"/>
        <v>133957720.97928968</v>
      </c>
      <c r="F72" s="338">
        <f t="shared" si="4"/>
        <v>1048704.8979983092</v>
      </c>
    </row>
    <row r="73" spans="1:6" x14ac:dyDescent="0.25">
      <c r="A73" s="334">
        <v>64</v>
      </c>
      <c r="B73" s="335">
        <f t="shared" si="0"/>
        <v>48427</v>
      </c>
      <c r="C73" s="338">
        <f t="shared" si="1"/>
        <v>133957720.97928968</v>
      </c>
      <c r="D73" s="338">
        <f t="shared" si="2"/>
        <v>5913620.744471904</v>
      </c>
      <c r="E73" s="338">
        <f t="shared" si="3"/>
        <v>128044100.23481777</v>
      </c>
      <c r="F73" s="338">
        <f t="shared" si="4"/>
        <v>1004682.907344672</v>
      </c>
    </row>
    <row r="74" spans="1:6" x14ac:dyDescent="0.25">
      <c r="A74" s="334">
        <v>65</v>
      </c>
      <c r="B74" s="335">
        <f t="shared" si="0"/>
        <v>48458</v>
      </c>
      <c r="C74" s="338">
        <f t="shared" si="1"/>
        <v>128044100.23481777</v>
      </c>
      <c r="D74" s="338">
        <f t="shared" si="2"/>
        <v>5957972.900055444</v>
      </c>
      <c r="E74" s="338">
        <f t="shared" si="3"/>
        <v>122086127.33476233</v>
      </c>
      <c r="F74" s="338">
        <f t="shared" si="4"/>
        <v>960330.7517611327</v>
      </c>
    </row>
    <row r="75" spans="1:6" x14ac:dyDescent="0.25">
      <c r="A75" s="334">
        <v>66</v>
      </c>
      <c r="B75" s="335">
        <f t="shared" ref="B75:B93" si="5">EDATE($C$4,A75)</f>
        <v>48488</v>
      </c>
      <c r="C75" s="338">
        <f t="shared" si="1"/>
        <v>122086127.33476233</v>
      </c>
      <c r="D75" s="338">
        <f t="shared" si="2"/>
        <v>6002657.69680586</v>
      </c>
      <c r="E75" s="338">
        <f t="shared" si="3"/>
        <v>116083469.63795647</v>
      </c>
      <c r="F75" s="338">
        <f t="shared" si="4"/>
        <v>915645.955010717</v>
      </c>
    </row>
    <row r="76" spans="1:6" x14ac:dyDescent="0.25">
      <c r="A76" s="334">
        <v>67</v>
      </c>
      <c r="B76" s="335">
        <f t="shared" si="5"/>
        <v>48519</v>
      </c>
      <c r="C76" s="338">
        <f t="shared" ref="C76:C93" si="6">E75</f>
        <v>116083469.63795647</v>
      </c>
      <c r="D76" s="338">
        <f t="shared" ref="D76:D93" si="7">PPMT($C$3/12/100,A76,$C$2,-$C$1)</f>
        <v>6047677.629531903</v>
      </c>
      <c r="E76" s="338">
        <f t="shared" ref="E76:E93" si="8">C76-D76</f>
        <v>110035792.00842457</v>
      </c>
      <c r="F76" s="338">
        <f t="shared" ref="F76:F93" si="9">IPMT($C$3/12/100,A76,$C$2,-$C$1)</f>
        <v>870626.022284673</v>
      </c>
    </row>
    <row r="77" spans="1:6" x14ac:dyDescent="0.25">
      <c r="A77" s="334">
        <v>68</v>
      </c>
      <c r="B77" s="335">
        <f t="shared" si="5"/>
        <v>48549</v>
      </c>
      <c r="C77" s="338">
        <f t="shared" si="6"/>
        <v>110035792.00842457</v>
      </c>
      <c r="D77" s="338">
        <f t="shared" si="7"/>
        <v>6093035.2117533935</v>
      </c>
      <c r="E77" s="338">
        <f t="shared" si="8"/>
        <v>103942756.79667117</v>
      </c>
      <c r="F77" s="338">
        <f t="shared" si="9"/>
        <v>825268.4400631838</v>
      </c>
    </row>
    <row r="78" spans="1:6" x14ac:dyDescent="0.25">
      <c r="A78" s="334">
        <v>69</v>
      </c>
      <c r="B78" s="335">
        <f t="shared" si="5"/>
        <v>48580</v>
      </c>
      <c r="C78" s="338">
        <f t="shared" si="6"/>
        <v>103942756.79667117</v>
      </c>
      <c r="D78" s="338">
        <f t="shared" si="7"/>
        <v>6138732.975841543</v>
      </c>
      <c r="E78" s="338">
        <f t="shared" si="8"/>
        <v>97804023.82082963</v>
      </c>
      <c r="F78" s="338">
        <f t="shared" si="9"/>
        <v>779570.6759750333</v>
      </c>
    </row>
    <row r="79" spans="1:6" x14ac:dyDescent="0.25">
      <c r="A79" s="334">
        <v>70</v>
      </c>
      <c r="B79" s="335">
        <f t="shared" si="5"/>
        <v>48611</v>
      </c>
      <c r="C79" s="338">
        <f t="shared" si="6"/>
        <v>97804023.82082963</v>
      </c>
      <c r="D79" s="338">
        <f t="shared" si="7"/>
        <v>6184773.473160355</v>
      </c>
      <c r="E79" s="338">
        <f t="shared" si="8"/>
        <v>91619250.34766927</v>
      </c>
      <c r="F79" s="338">
        <f t="shared" si="9"/>
        <v>733530.1786562218</v>
      </c>
    </row>
    <row r="80" spans="1:6" x14ac:dyDescent="0.25">
      <c r="A80" s="334">
        <v>71</v>
      </c>
      <c r="B80" s="335">
        <f t="shared" si="5"/>
        <v>48639</v>
      </c>
      <c r="C80" s="338">
        <f t="shared" si="6"/>
        <v>91619250.34766927</v>
      </c>
      <c r="D80" s="338">
        <f t="shared" si="7"/>
        <v>6231159.274209057</v>
      </c>
      <c r="E80" s="338">
        <f t="shared" si="8"/>
        <v>85388091.07346022</v>
      </c>
      <c r="F80" s="338">
        <f t="shared" si="9"/>
        <v>687144.377607519</v>
      </c>
    </row>
    <row r="81" spans="1:6" x14ac:dyDescent="0.25">
      <c r="A81" s="334">
        <v>72</v>
      </c>
      <c r="B81" s="335">
        <f t="shared" si="5"/>
        <v>48670</v>
      </c>
      <c r="C81" s="338">
        <f t="shared" si="6"/>
        <v>85388091.07346022</v>
      </c>
      <c r="D81" s="338">
        <f t="shared" si="7"/>
        <v>6277892.968765625</v>
      </c>
      <c r="E81" s="338">
        <f t="shared" si="8"/>
        <v>79110198.10469459</v>
      </c>
      <c r="F81" s="338">
        <f t="shared" si="9"/>
        <v>640410.6830509513</v>
      </c>
    </row>
    <row r="82" spans="1:6" x14ac:dyDescent="0.25">
      <c r="A82" s="334">
        <v>73</v>
      </c>
      <c r="B82" s="335">
        <f t="shared" si="5"/>
        <v>48700</v>
      </c>
      <c r="C82" s="338">
        <f t="shared" si="6"/>
        <v>79110198.10469459</v>
      </c>
      <c r="D82" s="338">
        <f t="shared" si="7"/>
        <v>6324977.166031368</v>
      </c>
      <c r="E82" s="338">
        <f t="shared" si="8"/>
        <v>72785220.93866321</v>
      </c>
      <c r="F82" s="338">
        <f t="shared" si="9"/>
        <v>593326.485785209</v>
      </c>
    </row>
    <row r="83" spans="1:6" x14ac:dyDescent="0.25">
      <c r="A83" s="334">
        <v>74</v>
      </c>
      <c r="B83" s="335">
        <f t="shared" si="5"/>
        <v>48731</v>
      </c>
      <c r="C83" s="338">
        <f t="shared" si="6"/>
        <v>72785220.93866321</v>
      </c>
      <c r="D83" s="338">
        <f t="shared" si="7"/>
        <v>6372414.494776602</v>
      </c>
      <c r="E83" s="338">
        <f t="shared" si="8"/>
        <v>66412806.443886615</v>
      </c>
      <c r="F83" s="338">
        <f t="shared" si="9"/>
        <v>545889.1570399738</v>
      </c>
    </row>
    <row r="84" spans="1:6" x14ac:dyDescent="0.25">
      <c r="A84" s="334">
        <v>75</v>
      </c>
      <c r="B84" s="335">
        <f t="shared" si="5"/>
        <v>48761</v>
      </c>
      <c r="C84" s="338">
        <f t="shared" si="6"/>
        <v>66412806.443886615</v>
      </c>
      <c r="D84" s="338">
        <f t="shared" si="7"/>
        <v>6420207.603487427</v>
      </c>
      <c r="E84" s="338">
        <f t="shared" si="8"/>
        <v>59992598.84039919</v>
      </c>
      <c r="F84" s="338">
        <f t="shared" si="9"/>
        <v>498096.04832914914</v>
      </c>
    </row>
    <row r="85" spans="1:6" x14ac:dyDescent="0.25">
      <c r="A85" s="334">
        <v>76</v>
      </c>
      <c r="B85" s="335">
        <f t="shared" si="5"/>
        <v>48792</v>
      </c>
      <c r="C85" s="338">
        <f t="shared" si="6"/>
        <v>59992598.84039919</v>
      </c>
      <c r="D85" s="338">
        <f t="shared" si="7"/>
        <v>6468359.160513583</v>
      </c>
      <c r="E85" s="338">
        <f t="shared" si="8"/>
        <v>53524239.67988561</v>
      </c>
      <c r="F85" s="338">
        <f t="shared" si="9"/>
        <v>449944.49130299344</v>
      </c>
    </row>
    <row r="86" spans="1:6" x14ac:dyDescent="0.25">
      <c r="A86" s="334">
        <v>77</v>
      </c>
      <c r="B86" s="335">
        <f t="shared" si="5"/>
        <v>48823</v>
      </c>
      <c r="C86" s="338">
        <f t="shared" si="6"/>
        <v>53524239.67988561</v>
      </c>
      <c r="D86" s="338">
        <f t="shared" si="7"/>
        <v>6516871.854217434</v>
      </c>
      <c r="E86" s="338">
        <f t="shared" si="8"/>
        <v>47007367.82566818</v>
      </c>
      <c r="F86" s="338">
        <f t="shared" si="9"/>
        <v>401431.7975991416</v>
      </c>
    </row>
    <row r="87" spans="1:6" x14ac:dyDescent="0.25">
      <c r="A87" s="334">
        <v>78</v>
      </c>
      <c r="B87" s="335">
        <f t="shared" si="5"/>
        <v>48853</v>
      </c>
      <c r="C87" s="338">
        <f t="shared" si="6"/>
        <v>47007367.82566818</v>
      </c>
      <c r="D87" s="338">
        <f t="shared" si="7"/>
        <v>6565748.393124064</v>
      </c>
      <c r="E87" s="338">
        <f t="shared" si="8"/>
        <v>40441619.43254411</v>
      </c>
      <c r="F87" s="338">
        <f t="shared" si="9"/>
        <v>352555.25869251083</v>
      </c>
    </row>
    <row r="88" spans="1:6" x14ac:dyDescent="0.25">
      <c r="A88" s="334">
        <v>79</v>
      </c>
      <c r="B88" s="335">
        <f t="shared" si="5"/>
        <v>48884</v>
      </c>
      <c r="C88" s="338">
        <f t="shared" si="6"/>
        <v>40441619.43254411</v>
      </c>
      <c r="D88" s="338">
        <f t="shared" si="7"/>
        <v>6614991.506072496</v>
      </c>
      <c r="E88" s="338">
        <f t="shared" si="8"/>
        <v>33826627.92647161</v>
      </c>
      <c r="F88" s="338">
        <f t="shared" si="9"/>
        <v>303312.1457440803</v>
      </c>
    </row>
    <row r="89" spans="1:6" x14ac:dyDescent="0.25">
      <c r="A89" s="334">
        <v>80</v>
      </c>
      <c r="B89" s="335">
        <f t="shared" si="5"/>
        <v>48914</v>
      </c>
      <c r="C89" s="338">
        <f t="shared" si="6"/>
        <v>33826627.92647161</v>
      </c>
      <c r="D89" s="338">
        <f t="shared" si="7"/>
        <v>6664603.942368041</v>
      </c>
      <c r="E89" s="338">
        <f t="shared" si="8"/>
        <v>27162023.98410357</v>
      </c>
      <c r="F89" s="338">
        <f t="shared" si="9"/>
        <v>253699.70944853665</v>
      </c>
    </row>
    <row r="90" spans="1:6" x14ac:dyDescent="0.25">
      <c r="A90" s="334">
        <v>81</v>
      </c>
      <c r="B90" s="335">
        <f t="shared" si="5"/>
        <v>48945</v>
      </c>
      <c r="C90" s="338">
        <f t="shared" si="6"/>
        <v>27162023.98410357</v>
      </c>
      <c r="D90" s="338">
        <f t="shared" si="7"/>
        <v>6714588.4719358</v>
      </c>
      <c r="E90" s="338">
        <f t="shared" si="8"/>
        <v>20447435.51216777</v>
      </c>
      <c r="F90" s="338">
        <f t="shared" si="9"/>
        <v>203715.17988077633</v>
      </c>
    </row>
    <row r="91" spans="1:6" x14ac:dyDescent="0.25">
      <c r="A91" s="334">
        <v>82</v>
      </c>
      <c r="B91" s="335">
        <f t="shared" si="5"/>
        <v>48976</v>
      </c>
      <c r="C91" s="338">
        <f t="shared" si="6"/>
        <v>20447435.51216777</v>
      </c>
      <c r="D91" s="338">
        <f t="shared" si="7"/>
        <v>6764947.885475319</v>
      </c>
      <c r="E91" s="338">
        <f t="shared" si="8"/>
        <v>13682487.626692452</v>
      </c>
      <c r="F91" s="338">
        <f t="shared" si="9"/>
        <v>153355.7663412578</v>
      </c>
    </row>
    <row r="92" spans="1:6" x14ac:dyDescent="0.25">
      <c r="A92" s="334">
        <v>83</v>
      </c>
      <c r="B92" s="335">
        <f t="shared" si="5"/>
        <v>49004</v>
      </c>
      <c r="C92" s="338">
        <f t="shared" si="6"/>
        <v>13682487.626692452</v>
      </c>
      <c r="D92" s="338">
        <f t="shared" si="7"/>
        <v>6815684.994616384</v>
      </c>
      <c r="E92" s="338">
        <f t="shared" si="8"/>
        <v>6866802.632076068</v>
      </c>
      <c r="F92" s="338">
        <f t="shared" si="9"/>
        <v>102618.65720019293</v>
      </c>
    </row>
    <row r="93" spans="1:6" x14ac:dyDescent="0.25">
      <c r="A93" s="334">
        <v>84</v>
      </c>
      <c r="B93" s="335">
        <f t="shared" si="5"/>
        <v>49035</v>
      </c>
      <c r="C93" s="338">
        <f t="shared" si="6"/>
        <v>6866802.632076068</v>
      </c>
      <c r="D93" s="338">
        <f t="shared" si="7"/>
        <v>6866802.632076006</v>
      </c>
      <c r="E93" s="338">
        <f t="shared" si="8"/>
        <v>6.146728992462158e-8</v>
      </c>
      <c r="F93" s="338">
        <f t="shared" si="9"/>
        <v>51501.01974057005</v>
      </c>
    </row>
    <row r="94" spans="1:6" x14ac:dyDescent="0.25">
      <c r="A94" s="334"/>
      <c r="B94" s="335"/>
      <c r="C94" s="339"/>
      <c r="D94" s="339"/>
      <c r="E94" s="339"/>
      <c r="F94" s="339"/>
    </row>
    <row r="95" spans="1:6" x14ac:dyDescent="0.25">
      <c r="A95" s="334"/>
      <c r="B95" s="335"/>
      <c r="C95" s="339"/>
      <c r="D95" s="339"/>
      <c r="E95" s="339"/>
      <c r="F95" s="339"/>
    </row>
    <row r="96" spans="1:6" x14ac:dyDescent="0.25">
      <c r="A96" s="334"/>
      <c r="B96" s="335"/>
      <c r="C96" s="339"/>
      <c r="D96" s="339"/>
      <c r="E96" s="339"/>
      <c r="F96" s="339"/>
    </row>
    <row r="97" spans="1:6" x14ac:dyDescent="0.25">
      <c r="A97" s="334"/>
      <c r="B97" s="335"/>
      <c r="C97" s="339"/>
      <c r="D97" s="339"/>
      <c r="E97" s="339"/>
      <c r="F97" s="339"/>
    </row>
    <row r="98" spans="1:6" x14ac:dyDescent="0.25">
      <c r="A98" s="334"/>
      <c r="B98" s="335"/>
      <c r="C98" s="339"/>
      <c r="D98" s="339"/>
      <c r="E98" s="339"/>
      <c r="F98" s="339"/>
    </row>
    <row r="99" spans="1:6" x14ac:dyDescent="0.25">
      <c r="A99" s="334"/>
      <c r="B99" s="335"/>
      <c r="C99" s="339"/>
      <c r="D99" s="339"/>
      <c r="E99" s="339"/>
      <c r="F99" s="339"/>
    </row>
    <row r="100" spans="1:6" x14ac:dyDescent="0.25">
      <c r="A100" s="334"/>
      <c r="B100" s="335"/>
      <c r="C100" s="339"/>
      <c r="D100" s="339"/>
      <c r="E100" s="339"/>
      <c r="F100" s="339"/>
    </row>
  </sheetData>
  <mergeCells count="7">
    <mergeCell ref="A1:B1"/>
    <mergeCell ref="A2:B2"/>
    <mergeCell ref="A3:B3"/>
    <mergeCell ref="A4:B4"/>
    <mergeCell ref="A5:B5"/>
    <mergeCell ref="A6:B6"/>
    <mergeCell ref="A8:F8"/>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3"/>
  <sheetViews>
    <sheetView workbookViewId="0" zoomScale="100" zoomScaleNormal="100">
      <selection activeCell="C5" sqref="C5"/>
    </sheetView>
  </sheetViews>
  <sheetFormatPr defaultRowHeight="15" outlineLevelRow="0" outlineLevelCol="0" x14ac:dyDescent="0"/>
  <cols>
    <col min="2" max="2" width="12.42578125" customWidth="1"/>
    <col min="3" max="3" width="16" customWidth="1"/>
    <col min="4" max="4" width="14.28515625" customWidth="1"/>
    <col min="5" max="5" width="16" customWidth="1"/>
    <col min="6" max="6" width="14.28515625" customWidth="1"/>
    <col min="8" max="8" width="16" customWidth="1"/>
  </cols>
  <sheetData>
    <row r="1" spans="1:3" x14ac:dyDescent="0.25">
      <c r="A1" s="321" t="s">
        <v>421</v>
      </c>
      <c r="B1" s="322"/>
      <c r="C1" s="323">
        <v>400000000</v>
      </c>
    </row>
    <row r="2" spans="1:3" x14ac:dyDescent="0.25">
      <c r="A2" s="321" t="s">
        <v>422</v>
      </c>
      <c r="B2" s="322"/>
      <c r="C2" s="324">
        <v>84</v>
      </c>
    </row>
    <row r="3" spans="1:3" x14ac:dyDescent="0.25">
      <c r="A3" s="321" t="s">
        <v>423</v>
      </c>
      <c r="B3" s="322"/>
      <c r="C3" s="324">
        <v>9</v>
      </c>
    </row>
    <row r="4" spans="1:3" x14ac:dyDescent="0.25">
      <c r="A4" s="321" t="s">
        <v>424</v>
      </c>
      <c r="B4" s="322"/>
      <c r="C4" s="325">
        <v>46296</v>
      </c>
    </row>
    <row r="5" spans="1:3" x14ac:dyDescent="0.25">
      <c r="A5" s="321" t="s">
        <v>425</v>
      </c>
      <c r="B5" s="322"/>
      <c r="C5" s="326">
        <f>EDATE(C4,C2)</f>
        <v>48853</v>
      </c>
    </row>
    <row r="6" spans="1:6" x14ac:dyDescent="0.25">
      <c r="A6" s="321" t="s">
        <v>426</v>
      </c>
      <c r="B6" s="322"/>
      <c r="C6" s="327">
        <f>PMT(C3/12/100,C2,-C1)</f>
        <v>6435631.304015419</v>
      </c>
      <c r="E6" s="328" t="s">
        <v>261</v>
      </c>
      <c r="F6" s="329">
        <f>SUMIF(F10:F45,"&gt;0")</f>
        <v>90297167.18984929</v>
      </c>
    </row>
    <row r="8" spans="1:6" x14ac:dyDescent="0.25">
      <c r="A8" s="330" t="s">
        <v>427</v>
      </c>
      <c r="B8" s="331"/>
      <c r="C8" s="331"/>
      <c r="D8" s="331"/>
      <c r="E8" s="331"/>
      <c r="F8" s="332"/>
    </row>
    <row r="9" spans="1:6" x14ac:dyDescent="0.25">
      <c r="A9" s="333" t="s">
        <v>428</v>
      </c>
      <c r="B9" s="333" t="s">
        <v>429</v>
      </c>
      <c r="C9" s="333" t="s">
        <v>430</v>
      </c>
      <c r="D9" s="333" t="s">
        <v>431</v>
      </c>
      <c r="E9" s="333" t="s">
        <v>432</v>
      </c>
      <c r="F9" s="333" t="s">
        <v>433</v>
      </c>
    </row>
    <row r="10" spans="1:8" x14ac:dyDescent="0.25">
      <c r="A10" s="334">
        <v>1</v>
      </c>
      <c r="B10" s="335">
        <f>EDATE($C$4,A10)</f>
        <v>46327</v>
      </c>
      <c r="C10" s="336">
        <f>C1</f>
        <v>400000000</v>
      </c>
      <c r="D10" s="336">
        <f>PPMT($C$3/12/100,A10,$C$2,-$C$1)</f>
        <v>3435631.3040154204</v>
      </c>
      <c r="E10" s="336">
        <f>C10-D10</f>
        <v>396564368.6959846</v>
      </c>
      <c r="F10" s="336">
        <f t="shared" ref="F10:F15" si="0">IPMT($C$3/12/100,A10,$C$2,-$C$1)</f>
        <v>3000000</v>
      </c>
      <c r="H10" s="337">
        <f>SUM(F10:F76)</f>
        <v>133546173.65593976</v>
      </c>
    </row>
    <row r="11" spans="1:6" x14ac:dyDescent="0.25">
      <c r="A11" s="334">
        <v>2</v>
      </c>
      <c r="B11" s="335">
        <f t="shared" ref="B11:B74" si="1">EDATE($C$4,A11)</f>
        <v>46357</v>
      </c>
      <c r="C11" s="336">
        <f>E10</f>
        <v>396564368.6959846</v>
      </c>
      <c r="D11" s="336">
        <f>PPMT($C$3/12/100,A11,$C$2,-$C$1)</f>
        <v>3461398.538795536</v>
      </c>
      <c r="E11" s="336">
        <f>C11-D11</f>
        <v>393102970.1571891</v>
      </c>
      <c r="F11" s="336">
        <f t="shared" si="0"/>
        <v>2974232.7652198835</v>
      </c>
    </row>
    <row r="12" spans="1:6" x14ac:dyDescent="0.25">
      <c r="A12" s="334">
        <v>3</v>
      </c>
      <c r="B12" s="335">
        <f t="shared" si="1"/>
        <v>46388</v>
      </c>
      <c r="C12" s="336">
        <f t="shared" ref="C12:C75" si="2">E11</f>
        <v>393102970.1571891</v>
      </c>
      <c r="D12" s="336">
        <f t="shared" ref="D12:D75" si="3">PPMT($C$3/12/100,A12,$C$2,-$C$1)</f>
        <v>3487359.0278365025</v>
      </c>
      <c r="E12" s="336">
        <f t="shared" ref="E12:E75" si="4">C12-D12</f>
        <v>389615611.12935257</v>
      </c>
      <c r="F12" s="336">
        <f t="shared" si="0"/>
        <v>2948272.2761789174</v>
      </c>
    </row>
    <row r="13" spans="1:6" x14ac:dyDescent="0.25">
      <c r="A13" s="334">
        <v>4</v>
      </c>
      <c r="B13" s="335">
        <f t="shared" si="1"/>
        <v>46419</v>
      </c>
      <c r="C13" s="336">
        <f t="shared" si="2"/>
        <v>389615611.12935257</v>
      </c>
      <c r="D13" s="336">
        <f t="shared" si="3"/>
        <v>3513514.2205452756</v>
      </c>
      <c r="E13" s="336">
        <f t="shared" si="4"/>
        <v>386102096.9088073</v>
      </c>
      <c r="F13" s="336">
        <f t="shared" si="0"/>
        <v>2922117.0834701434</v>
      </c>
    </row>
    <row r="14" spans="1:6" x14ac:dyDescent="0.25">
      <c r="A14" s="334">
        <v>5</v>
      </c>
      <c r="B14" s="335">
        <f t="shared" si="1"/>
        <v>46447</v>
      </c>
      <c r="C14" s="336">
        <f t="shared" si="2"/>
        <v>386102096.9088073</v>
      </c>
      <c r="D14" s="336">
        <f t="shared" si="3"/>
        <v>3539865.5771993664</v>
      </c>
      <c r="E14" s="336">
        <f t="shared" si="4"/>
        <v>382562231.33160794</v>
      </c>
      <c r="F14" s="336">
        <f t="shared" si="0"/>
        <v>2895765.726816053</v>
      </c>
    </row>
    <row r="15" spans="1:6" x14ac:dyDescent="0.25">
      <c r="A15" s="334">
        <v>6</v>
      </c>
      <c r="B15" s="335">
        <f t="shared" si="1"/>
        <v>46478</v>
      </c>
      <c r="C15" s="336">
        <f t="shared" si="2"/>
        <v>382562231.33160794</v>
      </c>
      <c r="D15" s="336">
        <f t="shared" si="3"/>
        <v>3566414.569028361</v>
      </c>
      <c r="E15" s="336">
        <f t="shared" si="4"/>
        <v>378995816.76257956</v>
      </c>
      <c r="F15" s="336">
        <f t="shared" si="0"/>
        <v>2869216.734987059</v>
      </c>
    </row>
    <row r="16" spans="1:6" x14ac:dyDescent="0.25">
      <c r="A16" s="334">
        <v>7</v>
      </c>
      <c r="B16" s="335">
        <f t="shared" si="1"/>
        <v>46508</v>
      </c>
      <c r="C16" s="336">
        <f t="shared" si="2"/>
        <v>378995816.76257956</v>
      </c>
      <c r="D16" s="336">
        <f t="shared" si="3"/>
        <v>3593162.6782960743</v>
      </c>
      <c r="E16" s="336">
        <f t="shared" si="4"/>
        <v>375402654.0842835</v>
      </c>
      <c r="F16" s="336">
        <f t="shared" ref="F16:F75" si="5">IPMT($C$3/12/100,A16,$C$2,-$C$1)</f>
        <v>2842468.625719346</v>
      </c>
    </row>
    <row r="17" spans="1:6" x14ac:dyDescent="0.25">
      <c r="A17" s="334">
        <v>8</v>
      </c>
      <c r="B17" s="335">
        <f t="shared" si="1"/>
        <v>46539</v>
      </c>
      <c r="C17" s="336">
        <f t="shared" si="2"/>
        <v>375402654.0842835</v>
      </c>
      <c r="D17" s="336">
        <f t="shared" si="3"/>
        <v>3620111.398383294</v>
      </c>
      <c r="E17" s="336">
        <f t="shared" si="4"/>
        <v>371782542.68590015</v>
      </c>
      <c r="F17" s="336">
        <f t="shared" si="5"/>
        <v>2815519.9056321257</v>
      </c>
    </row>
    <row r="18" spans="1:6" x14ac:dyDescent="0.25">
      <c r="A18" s="334">
        <v>9</v>
      </c>
      <c r="B18" s="335">
        <f t="shared" si="1"/>
        <v>46569</v>
      </c>
      <c r="C18" s="336">
        <f t="shared" si="2"/>
        <v>371782542.68590015</v>
      </c>
      <c r="D18" s="336">
        <f t="shared" si="3"/>
        <v>3647262.2338711694</v>
      </c>
      <c r="E18" s="336">
        <f t="shared" si="4"/>
        <v>368135280.452029</v>
      </c>
      <c r="F18" s="336">
        <f t="shared" si="5"/>
        <v>2788369.0701442505</v>
      </c>
    </row>
    <row r="19" spans="1:6" x14ac:dyDescent="0.25">
      <c r="A19" s="334">
        <v>10</v>
      </c>
      <c r="B19" s="335">
        <f t="shared" si="1"/>
        <v>46600</v>
      </c>
      <c r="C19" s="336">
        <f t="shared" si="2"/>
        <v>368135280.452029</v>
      </c>
      <c r="D19" s="336">
        <f t="shared" si="3"/>
        <v>3674616.700625203</v>
      </c>
      <c r="E19" s="336">
        <f t="shared" si="4"/>
        <v>364460663.7514038</v>
      </c>
      <c r="F19" s="336">
        <f t="shared" si="5"/>
        <v>2761014.603390217</v>
      </c>
    </row>
    <row r="20" spans="1:6" x14ac:dyDescent="0.25">
      <c r="A20" s="334">
        <v>11</v>
      </c>
      <c r="B20" s="335">
        <f t="shared" si="1"/>
        <v>46631</v>
      </c>
      <c r="C20" s="336">
        <f t="shared" si="2"/>
        <v>364460663.7514038</v>
      </c>
      <c r="D20" s="336">
        <f t="shared" si="3"/>
        <v>3702176.3258798914</v>
      </c>
      <c r="E20" s="336">
        <f t="shared" si="4"/>
        <v>360758487.42552394</v>
      </c>
      <c r="F20" s="336">
        <f t="shared" si="5"/>
        <v>2733454.978135528</v>
      </c>
    </row>
    <row r="21" spans="1:6" x14ac:dyDescent="0.25">
      <c r="A21" s="334">
        <v>12</v>
      </c>
      <c r="B21" s="335">
        <f t="shared" si="1"/>
        <v>46661</v>
      </c>
      <c r="C21" s="336">
        <f t="shared" si="2"/>
        <v>360758487.42552394</v>
      </c>
      <c r="D21" s="336">
        <f t="shared" si="3"/>
        <v>3729942.648323991</v>
      </c>
      <c r="E21" s="336">
        <f t="shared" si="4"/>
        <v>357028544.7771999</v>
      </c>
      <c r="F21" s="336">
        <f t="shared" si="5"/>
        <v>2705688.655691429</v>
      </c>
    </row>
    <row r="22" spans="1:6" x14ac:dyDescent="0.25">
      <c r="A22" s="334">
        <v>13</v>
      </c>
      <c r="B22" s="335">
        <f t="shared" si="1"/>
        <v>46692</v>
      </c>
      <c r="C22" s="336">
        <f t="shared" si="2"/>
        <v>357028544.7771999</v>
      </c>
      <c r="D22" s="336">
        <f t="shared" si="3"/>
        <v>3757917.2181864213</v>
      </c>
      <c r="E22" s="336">
        <f t="shared" si="4"/>
        <v>353270627.5590135</v>
      </c>
      <c r="F22" s="336">
        <f t="shared" si="5"/>
        <v>2677714.0858289986</v>
      </c>
    </row>
    <row r="23" spans="1:6" x14ac:dyDescent="0.25">
      <c r="A23" s="334">
        <v>14</v>
      </c>
      <c r="B23" s="335">
        <f>EDATE($C$4,A23)</f>
        <v>46722</v>
      </c>
      <c r="C23" s="336">
        <f t="shared" si="2"/>
        <v>353270627.5590135</v>
      </c>
      <c r="D23" s="336">
        <f t="shared" si="3"/>
        <v>3786101.5973228198</v>
      </c>
      <c r="E23" s="336">
        <f t="shared" si="4"/>
        <v>349484525.96169066</v>
      </c>
      <c r="F23" s="336">
        <f t="shared" si="5"/>
        <v>2649529.7066926006</v>
      </c>
    </row>
    <row r="24" spans="1:6" x14ac:dyDescent="0.25">
      <c r="A24" s="334">
        <v>15</v>
      </c>
      <c r="B24" s="335">
        <f t="shared" si="1"/>
        <v>46753</v>
      </c>
      <c r="C24" s="336">
        <f t="shared" si="2"/>
        <v>349484525.96169066</v>
      </c>
      <c r="D24" s="336">
        <f t="shared" si="3"/>
        <v>3814497.3593027405</v>
      </c>
      <c r="E24" s="336">
        <f t="shared" si="4"/>
        <v>345670028.6023879</v>
      </c>
      <c r="F24" s="336">
        <f t="shared" si="5"/>
        <v>2621133.94471268</v>
      </c>
    </row>
    <row r="25" spans="1:6" x14ac:dyDescent="0.25">
      <c r="A25" s="334">
        <v>16</v>
      </c>
      <c r="B25" s="335">
        <f t="shared" si="1"/>
        <v>46784</v>
      </c>
      <c r="C25" s="336">
        <f t="shared" si="2"/>
        <v>345670028.6023879</v>
      </c>
      <c r="D25" s="336">
        <f t="shared" si="3"/>
        <v>3843106.0894975113</v>
      </c>
      <c r="E25" s="336">
        <f t="shared" si="4"/>
        <v>341826922.5128904</v>
      </c>
      <c r="F25" s="336">
        <f t="shared" si="5"/>
        <v>2592525.2145179086</v>
      </c>
    </row>
    <row r="26" spans="1:6" x14ac:dyDescent="0.25">
      <c r="A26" s="334">
        <v>17</v>
      </c>
      <c r="B26" s="335">
        <f t="shared" si="1"/>
        <v>46813</v>
      </c>
      <c r="C26" s="336">
        <f t="shared" si="2"/>
        <v>341826922.5128904</v>
      </c>
      <c r="D26" s="336">
        <f t="shared" si="3"/>
        <v>3871929.385168743</v>
      </c>
      <c r="E26" s="336">
        <f t="shared" si="4"/>
        <v>337954993.12772167</v>
      </c>
      <c r="F26" s="336">
        <f t="shared" si="5"/>
        <v>2563701.918846678</v>
      </c>
    </row>
    <row r="27" spans="1:6" x14ac:dyDescent="0.25">
      <c r="A27" s="334">
        <v>18</v>
      </c>
      <c r="B27" s="335">
        <f t="shared" si="1"/>
        <v>46844</v>
      </c>
      <c r="C27" s="336">
        <f t="shared" si="2"/>
        <v>337954993.12772167</v>
      </c>
      <c r="D27" s="336">
        <f t="shared" si="3"/>
        <v>3900968.8555575074</v>
      </c>
      <c r="E27" s="336">
        <f t="shared" si="4"/>
        <v>334054024.27216417</v>
      </c>
      <c r="F27" s="336">
        <f t="shared" si="5"/>
        <v>2534662.4484579125</v>
      </c>
    </row>
    <row r="28" spans="1:6" x14ac:dyDescent="0.25">
      <c r="A28" s="334">
        <v>19</v>
      </c>
      <c r="B28" s="335">
        <f t="shared" si="1"/>
        <v>46874</v>
      </c>
      <c r="C28" s="336">
        <f t="shared" si="2"/>
        <v>334054024.27216417</v>
      </c>
      <c r="D28" s="336">
        <f t="shared" si="3"/>
        <v>3930226.1219741893</v>
      </c>
      <c r="E28" s="336">
        <f t="shared" si="4"/>
        <v>330123798.15019</v>
      </c>
      <c r="F28" s="336">
        <f t="shared" si="5"/>
        <v>2505405.1820412306</v>
      </c>
    </row>
    <row r="29" spans="1:6" x14ac:dyDescent="0.25">
      <c r="A29" s="334">
        <v>20</v>
      </c>
      <c r="B29" s="335">
        <f t="shared" si="1"/>
        <v>46905</v>
      </c>
      <c r="C29" s="336">
        <f t="shared" si="2"/>
        <v>330123798.15019</v>
      </c>
      <c r="D29" s="336">
        <f t="shared" si="3"/>
        <v>3959702.8178889956</v>
      </c>
      <c r="E29" s="336">
        <f t="shared" si="4"/>
        <v>326164095.332301</v>
      </c>
      <c r="F29" s="336">
        <f t="shared" si="5"/>
        <v>2475928.4861264243</v>
      </c>
    </row>
    <row r="30" spans="1:6" x14ac:dyDescent="0.25">
      <c r="A30" s="334">
        <v>21</v>
      </c>
      <c r="B30" s="335">
        <f t="shared" si="1"/>
        <v>46935</v>
      </c>
      <c r="C30" s="336">
        <f t="shared" si="2"/>
        <v>326164095.332301</v>
      </c>
      <c r="D30" s="336">
        <f t="shared" si="3"/>
        <v>3989400.5890231626</v>
      </c>
      <c r="E30" s="336">
        <f t="shared" si="4"/>
        <v>322174694.74327785</v>
      </c>
      <c r="F30" s="336">
        <f t="shared" si="5"/>
        <v>2446230.7149922573</v>
      </c>
    </row>
    <row r="31" spans="1:6" x14ac:dyDescent="0.25">
      <c r="A31" s="334">
        <v>22</v>
      </c>
      <c r="B31" s="335">
        <f t="shared" si="1"/>
        <v>46966</v>
      </c>
      <c r="C31" s="336">
        <f t="shared" si="2"/>
        <v>322174694.74327785</v>
      </c>
      <c r="D31" s="336">
        <f t="shared" si="3"/>
        <v>4019321.0934408363</v>
      </c>
      <c r="E31" s="336">
        <f t="shared" si="4"/>
        <v>318155373.649837</v>
      </c>
      <c r="F31" s="336">
        <f t="shared" si="5"/>
        <v>2416310.2105745827</v>
      </c>
    </row>
    <row r="32" spans="1:6" x14ac:dyDescent="0.25">
      <c r="A32" s="334">
        <v>23</v>
      </c>
      <c r="B32" s="335">
        <f t="shared" si="1"/>
        <v>46997</v>
      </c>
      <c r="C32" s="336">
        <f t="shared" si="2"/>
        <v>318155373.649837</v>
      </c>
      <c r="D32" s="336">
        <f t="shared" si="3"/>
        <v>4049466.0016416432</v>
      </c>
      <c r="E32" s="336">
        <f t="shared" si="4"/>
        <v>314105907.6481954</v>
      </c>
      <c r="F32" s="336">
        <f t="shared" si="5"/>
        <v>2386165.302373777</v>
      </c>
    </row>
    <row r="33" spans="1:6" x14ac:dyDescent="0.25">
      <c r="A33" s="334">
        <v>24</v>
      </c>
      <c r="B33" s="335">
        <f t="shared" si="1"/>
        <v>47027</v>
      </c>
      <c r="C33" s="336">
        <f t="shared" si="2"/>
        <v>314105907.6481954</v>
      </c>
      <c r="D33" s="336">
        <f t="shared" si="3"/>
        <v>4079836.9966539554</v>
      </c>
      <c r="E33" s="336">
        <f t="shared" si="4"/>
        <v>310026070.6515414</v>
      </c>
      <c r="F33" s="336">
        <f t="shared" si="5"/>
        <v>2355794.307361465</v>
      </c>
    </row>
    <row r="34" spans="1:6" x14ac:dyDescent="0.25">
      <c r="A34" s="334">
        <v>25</v>
      </c>
      <c r="B34" s="335">
        <f t="shared" si="1"/>
        <v>47058</v>
      </c>
      <c r="C34" s="336">
        <f t="shared" si="2"/>
        <v>310026070.6515414</v>
      </c>
      <c r="D34" s="336">
        <f t="shared" si="3"/>
        <v>4110435.77412886</v>
      </c>
      <c r="E34" s="336">
        <f t="shared" si="4"/>
        <v>305915634.87741256</v>
      </c>
      <c r="F34" s="336">
        <f t="shared" si="5"/>
        <v>2325195.52988656</v>
      </c>
    </row>
    <row r="35" spans="1:6" x14ac:dyDescent="0.25">
      <c r="A35" s="334">
        <v>26</v>
      </c>
      <c r="B35" s="335">
        <f t="shared" si="1"/>
        <v>47088</v>
      </c>
      <c r="C35" s="336">
        <f t="shared" si="2"/>
        <v>305915634.87741256</v>
      </c>
      <c r="D35" s="336">
        <f t="shared" si="3"/>
        <v>4141264.0424348256</v>
      </c>
      <c r="E35" s="336">
        <f t="shared" si="4"/>
        <v>301774370.83497775</v>
      </c>
      <c r="F35" s="336">
        <f t="shared" si="5"/>
        <v>2294367.2615805934</v>
      </c>
    </row>
    <row r="36" spans="1:6" x14ac:dyDescent="0.25">
      <c r="A36" s="334">
        <v>27</v>
      </c>
      <c r="B36" s="335">
        <f t="shared" si="1"/>
        <v>47119</v>
      </c>
      <c r="C36" s="336">
        <f t="shared" si="2"/>
        <v>301774370.83497775</v>
      </c>
      <c r="D36" s="336">
        <f t="shared" si="3"/>
        <v>4172323.522753088</v>
      </c>
      <c r="E36" s="336">
        <f t="shared" si="4"/>
        <v>297602047.3122247</v>
      </c>
      <c r="F36" s="336">
        <f t="shared" si="5"/>
        <v>2263307.781262332</v>
      </c>
    </row>
    <row r="37" spans="1:6" x14ac:dyDescent="0.25">
      <c r="A37" s="334">
        <v>28</v>
      </c>
      <c r="B37" s="335">
        <f t="shared" si="1"/>
        <v>47150</v>
      </c>
      <c r="C37" s="336">
        <f t="shared" si="2"/>
        <v>297602047.3122247</v>
      </c>
      <c r="D37" s="336">
        <f t="shared" si="3"/>
        <v>4203615.949173736</v>
      </c>
      <c r="E37" s="336">
        <f t="shared" si="4"/>
        <v>293398431.36305094</v>
      </c>
      <c r="F37" s="336">
        <f t="shared" si="5"/>
        <v>2232015.354841684</v>
      </c>
    </row>
    <row r="38" spans="1:6" x14ac:dyDescent="0.25">
      <c r="A38" s="334">
        <v>29</v>
      </c>
      <c r="B38" s="335">
        <f t="shared" si="1"/>
        <v>47178</v>
      </c>
      <c r="C38" s="336">
        <f t="shared" si="2"/>
        <v>293398431.36305094</v>
      </c>
      <c r="D38" s="336">
        <f t="shared" si="3"/>
        <v>4235143.068792539</v>
      </c>
      <c r="E38" s="336">
        <f t="shared" si="4"/>
        <v>289163288.2942584</v>
      </c>
      <c r="F38" s="336">
        <f t="shared" si="5"/>
        <v>2200488.235222881</v>
      </c>
    </row>
    <row r="39" spans="1:6" x14ac:dyDescent="0.25">
      <c r="A39" s="334">
        <v>30</v>
      </c>
      <c r="B39" s="335">
        <f t="shared" si="1"/>
        <v>47209</v>
      </c>
      <c r="C39" s="336">
        <f t="shared" si="2"/>
        <v>289163288.2942584</v>
      </c>
      <c r="D39" s="336">
        <f t="shared" si="3"/>
        <v>4266906.641808483</v>
      </c>
      <c r="E39" s="336">
        <f t="shared" si="4"/>
        <v>284896381.6524499</v>
      </c>
      <c r="F39" s="336">
        <f t="shared" si="5"/>
        <v>2168724.662206937</v>
      </c>
    </row>
    <row r="40" spans="1:6" x14ac:dyDescent="0.25">
      <c r="A40" s="334">
        <v>31</v>
      </c>
      <c r="B40" s="335">
        <f t="shared" si="1"/>
        <v>47239</v>
      </c>
      <c r="C40" s="336">
        <f t="shared" si="2"/>
        <v>284896381.6524499</v>
      </c>
      <c r="D40" s="336">
        <f t="shared" si="3"/>
        <v>4298908.441622046</v>
      </c>
      <c r="E40" s="336">
        <f t="shared" si="4"/>
        <v>280597473.2108279</v>
      </c>
      <c r="F40" s="336">
        <f t="shared" si="5"/>
        <v>2136722.862393373</v>
      </c>
    </row>
    <row r="41" spans="1:6" x14ac:dyDescent="0.25">
      <c r="A41" s="334">
        <v>32</v>
      </c>
      <c r="B41" s="335">
        <f t="shared" si="1"/>
        <v>47270</v>
      </c>
      <c r="C41" s="336">
        <f t="shared" si="2"/>
        <v>280597473.2108279</v>
      </c>
      <c r="D41" s="336">
        <f t="shared" si="3"/>
        <v>4331150.254934211</v>
      </c>
      <c r="E41" s="336">
        <f t="shared" si="4"/>
        <v>276266322.9558937</v>
      </c>
      <c r="F41" s="336">
        <f t="shared" si="5"/>
        <v>2104481.049081208</v>
      </c>
    </row>
    <row r="42" spans="1:6" x14ac:dyDescent="0.25">
      <c r="A42" s="334">
        <v>33</v>
      </c>
      <c r="B42" s="335">
        <f t="shared" si="1"/>
        <v>47300</v>
      </c>
      <c r="C42" s="336">
        <f t="shared" si="2"/>
        <v>276266322.9558937</v>
      </c>
      <c r="D42" s="336">
        <f t="shared" si="3"/>
        <v>4363633.881846218</v>
      </c>
      <c r="E42" s="336">
        <f t="shared" si="4"/>
        <v>271902689.0740475</v>
      </c>
      <c r="F42" s="336">
        <f t="shared" si="5"/>
        <v>2071997.4221692013</v>
      </c>
    </row>
    <row r="43" spans="1:6" x14ac:dyDescent="0.25">
      <c r="A43" s="334">
        <v>34</v>
      </c>
      <c r="B43" s="335">
        <f t="shared" si="1"/>
        <v>47331</v>
      </c>
      <c r="C43" s="336">
        <f t="shared" si="2"/>
        <v>271902689.0740475</v>
      </c>
      <c r="D43" s="336">
        <f t="shared" si="3"/>
        <v>4396361.135960065</v>
      </c>
      <c r="E43" s="336">
        <f t="shared" si="4"/>
        <v>267506327.93808743</v>
      </c>
      <c r="F43" s="336">
        <f t="shared" si="5"/>
        <v>2039270.1680553549</v>
      </c>
    </row>
    <row r="44" spans="1:6" x14ac:dyDescent="0.25">
      <c r="A44" s="334">
        <v>35</v>
      </c>
      <c r="B44" s="335">
        <f t="shared" si="1"/>
        <v>47362</v>
      </c>
      <c r="C44" s="336">
        <f t="shared" si="2"/>
        <v>267506327.93808743</v>
      </c>
      <c r="D44" s="336">
        <f t="shared" si="3"/>
        <v>4429333.844479766</v>
      </c>
      <c r="E44" s="336">
        <f t="shared" si="4"/>
        <v>263076994.09360766</v>
      </c>
      <c r="F44" s="336">
        <f t="shared" si="5"/>
        <v>2006297.4595356542</v>
      </c>
    </row>
    <row r="45" spans="1:6" x14ac:dyDescent="0.25">
      <c r="A45" s="334">
        <v>36</v>
      </c>
      <c r="B45" s="335">
        <f t="shared" si="1"/>
        <v>47392</v>
      </c>
      <c r="C45" s="336">
        <f t="shared" si="2"/>
        <v>263076994.09360766</v>
      </c>
      <c r="D45" s="336">
        <f t="shared" si="3"/>
        <v>4462553.848313364</v>
      </c>
      <c r="E45" s="336">
        <f t="shared" si="4"/>
        <v>258614440.2452943</v>
      </c>
      <c r="F45" s="336">
        <f t="shared" si="5"/>
        <v>1973077.4557020562</v>
      </c>
    </row>
    <row r="46" spans="1:6" x14ac:dyDescent="0.25">
      <c r="A46" s="334">
        <v>37</v>
      </c>
      <c r="B46" s="335">
        <f t="shared" si="1"/>
        <v>47423</v>
      </c>
      <c r="C46" s="336">
        <f t="shared" si="2"/>
        <v>258614440.2452943</v>
      </c>
      <c r="D46" s="336">
        <f t="shared" si="3"/>
        <v>4496023.002175714</v>
      </c>
      <c r="E46" s="336">
        <f t="shared" si="4"/>
        <v>254118417.24311858</v>
      </c>
      <c r="F46" s="336">
        <f t="shared" si="5"/>
        <v>1939608.3018397056</v>
      </c>
    </row>
    <row r="47" spans="1:6" x14ac:dyDescent="0.25">
      <c r="A47" s="334">
        <v>38</v>
      </c>
      <c r="B47" s="335">
        <f t="shared" si="1"/>
        <v>47453</v>
      </c>
      <c r="C47" s="336">
        <f t="shared" si="2"/>
        <v>254118417.24311858</v>
      </c>
      <c r="D47" s="336">
        <f t="shared" si="3"/>
        <v>4529743.174692032</v>
      </c>
      <c r="E47" s="336">
        <f t="shared" si="4"/>
        <v>249588674.06842655</v>
      </c>
      <c r="F47" s="336">
        <f t="shared" si="5"/>
        <v>1905888.1293233882</v>
      </c>
    </row>
    <row r="48" spans="1:6" x14ac:dyDescent="0.25">
      <c r="A48" s="334">
        <v>39</v>
      </c>
      <c r="B48" s="335">
        <f t="shared" si="1"/>
        <v>47484</v>
      </c>
      <c r="C48" s="336">
        <f t="shared" si="2"/>
        <v>249588674.06842655</v>
      </c>
      <c r="D48" s="336">
        <f t="shared" si="3"/>
        <v>4563716.248502222</v>
      </c>
      <c r="E48" s="336">
        <f t="shared" si="4"/>
        <v>245024957.81992432</v>
      </c>
      <c r="F48" s="336">
        <f t="shared" si="5"/>
        <v>1871915.0555131978</v>
      </c>
    </row>
    <row r="49" spans="1:6" x14ac:dyDescent="0.25">
      <c r="A49" s="334">
        <v>40</v>
      </c>
      <c r="B49" s="335">
        <f t="shared" si="1"/>
        <v>47515</v>
      </c>
      <c r="C49" s="336">
        <f t="shared" si="2"/>
        <v>245024957.81992432</v>
      </c>
      <c r="D49" s="336">
        <f t="shared" si="3"/>
        <v>4597944.120365989</v>
      </c>
      <c r="E49" s="336">
        <f t="shared" si="4"/>
        <v>240427013.69955835</v>
      </c>
      <c r="F49" s="336">
        <f t="shared" si="5"/>
        <v>1837687.183649431</v>
      </c>
    </row>
    <row r="50" spans="1:6" x14ac:dyDescent="0.25">
      <c r="A50" s="334">
        <v>41</v>
      </c>
      <c r="B50" s="335">
        <f t="shared" si="1"/>
        <v>47543</v>
      </c>
      <c r="C50" s="336">
        <f t="shared" si="2"/>
        <v>240427013.69955835</v>
      </c>
      <c r="D50" s="336">
        <f t="shared" si="3"/>
        <v>4632428.7012687335</v>
      </c>
      <c r="E50" s="336">
        <f t="shared" si="4"/>
        <v>235794584.99828961</v>
      </c>
      <c r="F50" s="336">
        <f t="shared" si="5"/>
        <v>1803202.602746686</v>
      </c>
    </row>
    <row r="51" spans="1:6" x14ac:dyDescent="0.25">
      <c r="A51" s="334">
        <v>42</v>
      </c>
      <c r="B51" s="335">
        <f t="shared" si="1"/>
        <v>47574</v>
      </c>
      <c r="C51" s="336">
        <f t="shared" si="2"/>
        <v>235794584.99828961</v>
      </c>
      <c r="D51" s="336">
        <f t="shared" si="3"/>
        <v>4667171.916528249</v>
      </c>
      <c r="E51" s="336">
        <f t="shared" si="4"/>
        <v>231127413.08176136</v>
      </c>
      <c r="F51" s="336">
        <f t="shared" si="5"/>
        <v>1768459.387487171</v>
      </c>
    </row>
    <row r="52" spans="1:6" x14ac:dyDescent="0.25">
      <c r="A52" s="334">
        <v>43</v>
      </c>
      <c r="B52" s="335">
        <f t="shared" si="1"/>
        <v>47604</v>
      </c>
      <c r="C52" s="336">
        <f t="shared" si="2"/>
        <v>231127413.08176136</v>
      </c>
      <c r="D52" s="336">
        <f t="shared" si="3"/>
        <v>4702175.70590221</v>
      </c>
      <c r="E52" s="336">
        <f t="shared" si="4"/>
        <v>226425237.37585914</v>
      </c>
      <c r="F52" s="336">
        <f t="shared" si="5"/>
        <v>1733455.5981132085</v>
      </c>
    </row>
    <row r="53" spans="1:6" x14ac:dyDescent="0.25">
      <c r="A53" s="334">
        <v>44</v>
      </c>
      <c r="B53" s="335">
        <f t="shared" si="1"/>
        <v>47635</v>
      </c>
      <c r="C53" s="336">
        <f t="shared" si="2"/>
        <v>226425237.37585914</v>
      </c>
      <c r="D53" s="336">
        <f t="shared" si="3"/>
        <v>4737442.023696478</v>
      </c>
      <c r="E53" s="336">
        <f t="shared" si="4"/>
        <v>221687795.35216266</v>
      </c>
      <c r="F53" s="336">
        <f t="shared" si="5"/>
        <v>1698189.2803189424</v>
      </c>
    </row>
    <row r="54" spans="1:6" x14ac:dyDescent="0.25">
      <c r="A54" s="334">
        <v>45</v>
      </c>
      <c r="B54" s="335">
        <f t="shared" si="1"/>
        <v>47665</v>
      </c>
      <c r="C54" s="336">
        <f t="shared" si="2"/>
        <v>221687795.35216266</v>
      </c>
      <c r="D54" s="336">
        <f t="shared" si="3"/>
        <v>4772972.838874201</v>
      </c>
      <c r="E54" s="336">
        <f t="shared" si="4"/>
        <v>216914822.51328847</v>
      </c>
      <c r="F54" s="336">
        <f t="shared" si="5"/>
        <v>1662658.4651412186</v>
      </c>
    </row>
    <row r="55" spans="1:6" x14ac:dyDescent="0.25">
      <c r="A55" s="334">
        <v>46</v>
      </c>
      <c r="B55" s="335">
        <f t="shared" si="1"/>
        <v>47696</v>
      </c>
      <c r="C55" s="336">
        <f t="shared" si="2"/>
        <v>216914822.51328847</v>
      </c>
      <c r="D55" s="336">
        <f t="shared" si="3"/>
        <v>4808770.1351657575</v>
      </c>
      <c r="E55" s="336">
        <f t="shared" si="4"/>
        <v>212106052.37812272</v>
      </c>
      <c r="F55" s="336">
        <f t="shared" si="5"/>
        <v>1626861.1688496624</v>
      </c>
    </row>
    <row r="56" spans="1:6" x14ac:dyDescent="0.25">
      <c r="A56" s="334">
        <v>47</v>
      </c>
      <c r="B56" s="335">
        <f t="shared" si="1"/>
        <v>47727</v>
      </c>
      <c r="C56" s="336">
        <f t="shared" si="2"/>
        <v>212106052.37812272</v>
      </c>
      <c r="D56" s="336">
        <f t="shared" si="3"/>
        <v>4844835.911179502</v>
      </c>
      <c r="E56" s="336">
        <f t="shared" si="4"/>
        <v>207261216.4669432</v>
      </c>
      <c r="F56" s="336">
        <f t="shared" si="5"/>
        <v>1590795.392835919</v>
      </c>
    </row>
    <row r="57" spans="1:6" x14ac:dyDescent="0.25">
      <c r="A57" s="334">
        <v>48</v>
      </c>
      <c r="B57" s="335">
        <f t="shared" si="1"/>
        <v>47757</v>
      </c>
      <c r="C57" s="336">
        <f t="shared" si="2"/>
        <v>207261216.4669432</v>
      </c>
      <c r="D57" s="336">
        <f t="shared" si="3"/>
        <v>4881172.1805133475</v>
      </c>
      <c r="E57" s="336">
        <f t="shared" si="4"/>
        <v>202380044.28642985</v>
      </c>
      <c r="F57" s="336">
        <f t="shared" si="5"/>
        <v>1554459.1235020726</v>
      </c>
    </row>
    <row r="58" spans="1:6" x14ac:dyDescent="0.25">
      <c r="A58" s="334">
        <v>49</v>
      </c>
      <c r="B58" s="335">
        <f t="shared" si="1"/>
        <v>47788</v>
      </c>
      <c r="C58" s="336">
        <f t="shared" si="2"/>
        <v>202380044.28642985</v>
      </c>
      <c r="D58" s="336">
        <f t="shared" si="3"/>
        <v>4917780.971867197</v>
      </c>
      <c r="E58" s="336">
        <f t="shared" si="4"/>
        <v>197462263.31456265</v>
      </c>
      <c r="F58" s="336">
        <f t="shared" si="5"/>
        <v>1517850.3321482225</v>
      </c>
    </row>
    <row r="59" spans="1:6" x14ac:dyDescent="0.25">
      <c r="A59" s="334">
        <v>50</v>
      </c>
      <c r="B59" s="335">
        <f t="shared" si="1"/>
        <v>47818</v>
      </c>
      <c r="C59" s="336">
        <f t="shared" si="2"/>
        <v>197462263.31456265</v>
      </c>
      <c r="D59" s="336">
        <f t="shared" si="3"/>
        <v>4954664.3291562</v>
      </c>
      <c r="E59" s="336">
        <f t="shared" si="4"/>
        <v>192507598.98540646</v>
      </c>
      <c r="F59" s="336">
        <f t="shared" si="5"/>
        <v>1480966.9748592186</v>
      </c>
    </row>
    <row r="60" spans="1:6" x14ac:dyDescent="0.25">
      <c r="A60" s="334">
        <v>51</v>
      </c>
      <c r="B60" s="335">
        <f t="shared" si="1"/>
        <v>47849</v>
      </c>
      <c r="C60" s="336">
        <f t="shared" si="2"/>
        <v>192507598.98540646</v>
      </c>
      <c r="D60" s="336">
        <f t="shared" si="3"/>
        <v>4991824.3116248725</v>
      </c>
      <c r="E60" s="336">
        <f t="shared" si="4"/>
        <v>187515774.67378157</v>
      </c>
      <c r="F60" s="336">
        <f t="shared" si="5"/>
        <v>1443806.9923905467</v>
      </c>
    </row>
    <row r="61" spans="1:6" x14ac:dyDescent="0.25">
      <c r="A61" s="334">
        <v>52</v>
      </c>
      <c r="B61" s="335">
        <f t="shared" si="1"/>
        <v>47880</v>
      </c>
      <c r="C61" s="336">
        <f t="shared" si="2"/>
        <v>187515774.67378157</v>
      </c>
      <c r="D61" s="336">
        <f t="shared" si="3"/>
        <v>5029262.99396206</v>
      </c>
      <c r="E61" s="336">
        <f t="shared" si="4"/>
        <v>182486511.67981952</v>
      </c>
      <c r="F61" s="336">
        <f t="shared" si="5"/>
        <v>1406368.3100533606</v>
      </c>
    </row>
    <row r="62" spans="1:6" x14ac:dyDescent="0.25">
      <c r="A62" s="334">
        <v>53</v>
      </c>
      <c r="B62" s="335">
        <f t="shared" si="1"/>
        <v>47908</v>
      </c>
      <c r="C62" s="336">
        <f t="shared" si="2"/>
        <v>182486511.67981952</v>
      </c>
      <c r="D62" s="336">
        <f t="shared" si="3"/>
        <v>5066982.466416775</v>
      </c>
      <c r="E62" s="336">
        <f t="shared" si="4"/>
        <v>177419529.21340275</v>
      </c>
      <c r="F62" s="336">
        <f t="shared" si="5"/>
        <v>1368648.8375986451</v>
      </c>
    </row>
    <row r="63" spans="1:6" x14ac:dyDescent="0.25">
      <c r="A63" s="334">
        <v>54</v>
      </c>
      <c r="B63" s="335">
        <f t="shared" si="1"/>
        <v>47939</v>
      </c>
      <c r="C63" s="336">
        <f t="shared" si="2"/>
        <v>177419529.21340275</v>
      </c>
      <c r="D63" s="336">
        <f t="shared" si="3"/>
        <v>5104984.8349149</v>
      </c>
      <c r="E63" s="336">
        <f t="shared" si="4"/>
        <v>172314544.37848786</v>
      </c>
      <c r="F63" s="336">
        <f t="shared" si="5"/>
        <v>1330646.4691005193</v>
      </c>
    </row>
    <row r="64" spans="1:6" x14ac:dyDescent="0.25">
      <c r="A64" s="334">
        <v>55</v>
      </c>
      <c r="B64" s="335">
        <f t="shared" si="1"/>
        <v>47969</v>
      </c>
      <c r="C64" s="336">
        <f t="shared" si="2"/>
        <v>172314544.37848786</v>
      </c>
      <c r="D64" s="336">
        <f t="shared" si="3"/>
        <v>5143272.221176762</v>
      </c>
      <c r="E64" s="336">
        <f t="shared" si="4"/>
        <v>167171272.15731108</v>
      </c>
      <c r="F64" s="336">
        <f t="shared" si="5"/>
        <v>1292359.0828386575</v>
      </c>
    </row>
    <row r="65" spans="1:6" x14ac:dyDescent="0.25">
      <c r="A65" s="334">
        <v>56</v>
      </c>
      <c r="B65" s="335">
        <f t="shared" si="1"/>
        <v>48000</v>
      </c>
      <c r="C65" s="336">
        <f t="shared" si="2"/>
        <v>167171272.15731108</v>
      </c>
      <c r="D65" s="336">
        <f t="shared" si="3"/>
        <v>5181846.762835588</v>
      </c>
      <c r="E65" s="336">
        <f t="shared" si="4"/>
        <v>161989425.3944755</v>
      </c>
      <c r="F65" s="336">
        <f t="shared" si="5"/>
        <v>1253784.5411798318</v>
      </c>
    </row>
    <row r="66" spans="1:6" x14ac:dyDescent="0.25">
      <c r="A66" s="334">
        <v>57</v>
      </c>
      <c r="B66" s="335">
        <f t="shared" si="1"/>
        <v>48030</v>
      </c>
      <c r="C66" s="336">
        <f t="shared" si="2"/>
        <v>161989425.3944755</v>
      </c>
      <c r="D66" s="336">
        <f t="shared" si="3"/>
        <v>5220710.613556855</v>
      </c>
      <c r="E66" s="336">
        <f t="shared" si="4"/>
        <v>156768714.78091863</v>
      </c>
      <c r="F66" s="336">
        <f t="shared" si="5"/>
        <v>1214920.690458565</v>
      </c>
    </row>
    <row r="67" spans="1:6" x14ac:dyDescent="0.25">
      <c r="A67" s="334">
        <v>58</v>
      </c>
      <c r="B67" s="335">
        <f t="shared" si="1"/>
        <v>48061</v>
      </c>
      <c r="C67" s="336">
        <f t="shared" si="2"/>
        <v>156768714.78091863</v>
      </c>
      <c r="D67" s="336">
        <f t="shared" si="3"/>
        <v>5259865.9431585325</v>
      </c>
      <c r="E67" s="336">
        <f t="shared" si="4"/>
        <v>151508848.8377601</v>
      </c>
      <c r="F67" s="336">
        <f t="shared" si="5"/>
        <v>1175765.3608568884</v>
      </c>
    </row>
    <row r="68" spans="1:6" x14ac:dyDescent="0.25">
      <c r="A68" s="334">
        <v>59</v>
      </c>
      <c r="B68" s="335">
        <f t="shared" si="1"/>
        <v>48092</v>
      </c>
      <c r="C68" s="336">
        <f t="shared" si="2"/>
        <v>151508848.8377601</v>
      </c>
      <c r="D68" s="336">
        <f t="shared" si="3"/>
        <v>5299314.937732221</v>
      </c>
      <c r="E68" s="336">
        <f t="shared" si="4"/>
        <v>146209533.90002787</v>
      </c>
      <c r="F68" s="336">
        <f t="shared" si="5"/>
        <v>1136316.3662831995</v>
      </c>
    </row>
    <row r="69" spans="1:6" x14ac:dyDescent="0.25">
      <c r="A69" s="334">
        <v>60</v>
      </c>
      <c r="B69" s="335">
        <f t="shared" si="1"/>
        <v>48122</v>
      </c>
      <c r="C69" s="336">
        <f t="shared" si="2"/>
        <v>146209533.90002787</v>
      </c>
      <c r="D69" s="336">
        <f t="shared" si="3"/>
        <v>5339059.7997652115</v>
      </c>
      <c r="E69" s="336">
        <f t="shared" si="4"/>
        <v>140870474.10026267</v>
      </c>
      <c r="F69" s="336">
        <f t="shared" si="5"/>
        <v>1096571.5042502077</v>
      </c>
    </row>
    <row r="70" spans="1:6" x14ac:dyDescent="0.25">
      <c r="A70" s="334">
        <v>61</v>
      </c>
      <c r="B70" s="335">
        <f t="shared" si="1"/>
        <v>48153</v>
      </c>
      <c r="C70" s="336">
        <f t="shared" si="2"/>
        <v>140870474.10026267</v>
      </c>
      <c r="D70" s="336">
        <f t="shared" si="3"/>
        <v>5379102.748263451</v>
      </c>
      <c r="E70" s="336">
        <f t="shared" si="4"/>
        <v>135491371.35199922</v>
      </c>
      <c r="F70" s="336">
        <f t="shared" si="5"/>
        <v>1056528.5557519686</v>
      </c>
    </row>
    <row r="71" spans="1:6" x14ac:dyDescent="0.25">
      <c r="A71" s="334">
        <v>62</v>
      </c>
      <c r="B71" s="335">
        <f t="shared" si="1"/>
        <v>48183</v>
      </c>
      <c r="C71" s="336">
        <f t="shared" si="2"/>
        <v>135491371.35199922</v>
      </c>
      <c r="D71" s="336">
        <f t="shared" si="3"/>
        <v>5419446.018875427</v>
      </c>
      <c r="E71" s="336">
        <f t="shared" si="4"/>
        <v>130071925.3331238</v>
      </c>
      <c r="F71" s="336">
        <f t="shared" si="5"/>
        <v>1016185.2851399928</v>
      </c>
    </row>
    <row r="72" spans="1:6" x14ac:dyDescent="0.25">
      <c r="A72" s="334">
        <v>63</v>
      </c>
      <c r="B72" s="335">
        <f t="shared" si="1"/>
        <v>48214</v>
      </c>
      <c r="C72" s="336">
        <f t="shared" si="2"/>
        <v>130071925.3331238</v>
      </c>
      <c r="D72" s="336">
        <f t="shared" si="3"/>
        <v>5460091.864016992</v>
      </c>
      <c r="E72" s="336">
        <f t="shared" si="4"/>
        <v>124611833.46910681</v>
      </c>
      <c r="F72" s="336">
        <f t="shared" si="5"/>
        <v>975539.439998427</v>
      </c>
    </row>
    <row r="73" spans="1:6" x14ac:dyDescent="0.25">
      <c r="A73" s="334">
        <v>64</v>
      </c>
      <c r="B73" s="335">
        <f t="shared" si="1"/>
        <v>48245</v>
      </c>
      <c r="C73" s="336">
        <f t="shared" si="2"/>
        <v>124611833.46910681</v>
      </c>
      <c r="D73" s="336">
        <f t="shared" si="3"/>
        <v>5501042.552997121</v>
      </c>
      <c r="E73" s="336">
        <f t="shared" si="4"/>
        <v>119110790.91610968</v>
      </c>
      <c r="F73" s="336">
        <f t="shared" si="5"/>
        <v>934588.7510182996</v>
      </c>
    </row>
    <row r="74" spans="1:6" x14ac:dyDescent="0.25">
      <c r="A74" s="334">
        <v>65</v>
      </c>
      <c r="B74" s="335">
        <f t="shared" si="1"/>
        <v>48274</v>
      </c>
      <c r="C74" s="336">
        <f t="shared" si="2"/>
        <v>119110790.91610968</v>
      </c>
      <c r="D74" s="336">
        <f t="shared" si="3"/>
        <v>5542300.3721445985</v>
      </c>
      <c r="E74" s="336">
        <f t="shared" si="4"/>
        <v>113568490.54396509</v>
      </c>
      <c r="F74" s="336">
        <f t="shared" si="5"/>
        <v>893330.9318708212</v>
      </c>
    </row>
    <row r="75" spans="1:6" x14ac:dyDescent="0.25">
      <c r="A75" s="334">
        <v>66</v>
      </c>
      <c r="B75" s="335">
        <f t="shared" ref="B75:B93" si="6">EDATE($C$4,A75)</f>
        <v>48305</v>
      </c>
      <c r="C75" s="336">
        <f t="shared" si="2"/>
        <v>113568490.54396509</v>
      </c>
      <c r="D75" s="336">
        <f t="shared" si="3"/>
        <v>5583867.624935684</v>
      </c>
      <c r="E75" s="336">
        <f t="shared" si="4"/>
        <v>107984622.9190294</v>
      </c>
      <c r="F75" s="336">
        <f t="shared" si="5"/>
        <v>851763.6790797368</v>
      </c>
    </row>
    <row r="76" spans="1:6" x14ac:dyDescent="0.25">
      <c r="A76" s="334">
        <v>67</v>
      </c>
      <c r="B76" s="335">
        <f t="shared" si="6"/>
        <v>48335</v>
      </c>
      <c r="C76" s="336">
        <f t="shared" ref="C76:C93" si="7">E75</f>
        <v>107984622.9190294</v>
      </c>
      <c r="D76" s="336">
        <f t="shared" ref="D76:D93" si="8">PPMT($C$3/12/100,A76,$C$2,-$C$1)</f>
        <v>5625746.632122701</v>
      </c>
      <c r="E76" s="336">
        <f t="shared" ref="E76:E93" si="9">C76-D76</f>
        <v>102358876.2869067</v>
      </c>
      <c r="F76" s="336">
        <f t="shared" ref="F76:F93" si="10">IPMT($C$3/12/100,A76,$C$2,-$C$1)</f>
        <v>809884.671892719</v>
      </c>
    </row>
    <row r="77" spans="1:6" x14ac:dyDescent="0.25">
      <c r="A77" s="334">
        <v>68</v>
      </c>
      <c r="B77" s="335">
        <f t="shared" si="6"/>
        <v>48366</v>
      </c>
      <c r="C77" s="336">
        <f t="shared" si="7"/>
        <v>102358876.2869067</v>
      </c>
      <c r="D77" s="336">
        <f t="shared" si="8"/>
        <v>5667939.731863622</v>
      </c>
      <c r="E77" s="336">
        <f t="shared" si="9"/>
        <v>96690936.55504309</v>
      </c>
      <c r="F77" s="336">
        <f t="shared" si="10"/>
        <v>767691.5721517988</v>
      </c>
    </row>
    <row r="78" spans="1:6" x14ac:dyDescent="0.25">
      <c r="A78" s="334">
        <v>69</v>
      </c>
      <c r="B78" s="335">
        <f t="shared" si="6"/>
        <v>48396</v>
      </c>
      <c r="C78" s="336">
        <f t="shared" si="7"/>
        <v>96690936.55504309</v>
      </c>
      <c r="D78" s="336">
        <f t="shared" si="8"/>
        <v>5710449.279852597</v>
      </c>
      <c r="E78" s="336">
        <f t="shared" si="9"/>
        <v>90980487.27519049</v>
      </c>
      <c r="F78" s="336">
        <f t="shared" si="10"/>
        <v>725182.0241628217</v>
      </c>
    </row>
    <row r="79" spans="1:6" x14ac:dyDescent="0.25">
      <c r="A79" s="334">
        <v>70</v>
      </c>
      <c r="B79" s="335">
        <f t="shared" si="6"/>
        <v>48427</v>
      </c>
      <c r="C79" s="336">
        <f t="shared" si="7"/>
        <v>90980487.27519049</v>
      </c>
      <c r="D79" s="336">
        <f t="shared" si="8"/>
        <v>5753277.649451493</v>
      </c>
      <c r="E79" s="336">
        <f t="shared" si="9"/>
        <v>85227209.625739</v>
      </c>
      <c r="F79" s="336">
        <f t="shared" si="10"/>
        <v>682353.6545639273</v>
      </c>
    </row>
    <row r="80" spans="1:6" x14ac:dyDescent="0.25">
      <c r="A80" s="334">
        <v>71</v>
      </c>
      <c r="B80" s="335">
        <f t="shared" si="6"/>
        <v>48458</v>
      </c>
      <c r="C80" s="336">
        <f t="shared" si="7"/>
        <v>85227209.625739</v>
      </c>
      <c r="D80" s="336">
        <f t="shared" si="8"/>
        <v>5796427.231822378</v>
      </c>
      <c r="E80" s="336">
        <f t="shared" si="9"/>
        <v>79430782.39391662</v>
      </c>
      <c r="F80" s="336">
        <f t="shared" si="10"/>
        <v>639204.072193041</v>
      </c>
    </row>
    <row r="81" spans="1:6" x14ac:dyDescent="0.25">
      <c r="A81" s="334">
        <v>72</v>
      </c>
      <c r="B81" s="335">
        <f t="shared" si="6"/>
        <v>48488</v>
      </c>
      <c r="C81" s="336">
        <f t="shared" si="7"/>
        <v>79430782.39391662</v>
      </c>
      <c r="D81" s="336">
        <f t="shared" si="8"/>
        <v>5839900.436061046</v>
      </c>
      <c r="E81" s="336">
        <f t="shared" si="9"/>
        <v>73590881.95785558</v>
      </c>
      <c r="F81" s="336">
        <f t="shared" si="10"/>
        <v>595730.8679543732</v>
      </c>
    </row>
    <row r="82" spans="1:6" x14ac:dyDescent="0.25">
      <c r="A82" s="334">
        <v>73</v>
      </c>
      <c r="B82" s="335">
        <f t="shared" si="6"/>
        <v>48519</v>
      </c>
      <c r="C82" s="336">
        <f t="shared" si="7"/>
        <v>73590881.95785558</v>
      </c>
      <c r="D82" s="336">
        <f t="shared" si="8"/>
        <v>5883699.6893315045</v>
      </c>
      <c r="E82" s="336">
        <f t="shared" si="9"/>
        <v>67707182.26852408</v>
      </c>
      <c r="F82" s="336">
        <f t="shared" si="10"/>
        <v>551931.6146839154</v>
      </c>
    </row>
    <row r="83" spans="1:6" x14ac:dyDescent="0.25">
      <c r="A83" s="334">
        <v>74</v>
      </c>
      <c r="B83" s="335">
        <f t="shared" si="6"/>
        <v>48549</v>
      </c>
      <c r="C83" s="336">
        <f t="shared" si="7"/>
        <v>67707182.26852408</v>
      </c>
      <c r="D83" s="336">
        <f t="shared" si="8"/>
        <v>5927827.43700149</v>
      </c>
      <c r="E83" s="336">
        <f t="shared" si="9"/>
        <v>61779354.83152259</v>
      </c>
      <c r="F83" s="336">
        <f t="shared" si="10"/>
        <v>507803.867013929</v>
      </c>
    </row>
    <row r="84" spans="1:6" x14ac:dyDescent="0.25">
      <c r="A84" s="334">
        <v>75</v>
      </c>
      <c r="B84" s="335">
        <f t="shared" si="6"/>
        <v>48580</v>
      </c>
      <c r="C84" s="336">
        <f t="shared" si="7"/>
        <v>61779354.83152259</v>
      </c>
      <c r="D84" s="336">
        <f t="shared" si="8"/>
        <v>5972286.142779002</v>
      </c>
      <c r="E84" s="336">
        <f t="shared" si="9"/>
        <v>55807068.68874359</v>
      </c>
      <c r="F84" s="336">
        <f t="shared" si="10"/>
        <v>463345.16123641777</v>
      </c>
    </row>
    <row r="85" spans="1:6" x14ac:dyDescent="0.25">
      <c r="A85" s="334">
        <v>76</v>
      </c>
      <c r="B85" s="335">
        <f t="shared" si="6"/>
        <v>48611</v>
      </c>
      <c r="C85" s="336">
        <f t="shared" si="7"/>
        <v>55807068.68874359</v>
      </c>
      <c r="D85" s="336">
        <f t="shared" si="8"/>
        <v>6017078.288849845</v>
      </c>
      <c r="E85" s="336">
        <f t="shared" si="9"/>
        <v>49789990.399893746</v>
      </c>
      <c r="F85" s="336">
        <f t="shared" si="10"/>
        <v>418553.01516557526</v>
      </c>
    </row>
    <row r="86" spans="1:6" x14ac:dyDescent="0.25">
      <c r="A86" s="334">
        <v>77</v>
      </c>
      <c r="B86" s="335">
        <f t="shared" si="6"/>
        <v>48639</v>
      </c>
      <c r="C86" s="336">
        <f t="shared" si="7"/>
        <v>49789990.399893746</v>
      </c>
      <c r="D86" s="336">
        <f t="shared" si="8"/>
        <v>6062206.376016218</v>
      </c>
      <c r="E86" s="336">
        <f t="shared" si="9"/>
        <v>43727784.02387753</v>
      </c>
      <c r="F86" s="336">
        <f t="shared" si="10"/>
        <v>373424.9279992015</v>
      </c>
    </row>
    <row r="87" spans="1:6" x14ac:dyDescent="0.25">
      <c r="A87" s="334">
        <v>78</v>
      </c>
      <c r="B87" s="335">
        <f t="shared" si="6"/>
        <v>48670</v>
      </c>
      <c r="C87" s="336">
        <f t="shared" si="7"/>
        <v>43727784.02387753</v>
      </c>
      <c r="D87" s="336">
        <f t="shared" si="8"/>
        <v>6107672.923836339</v>
      </c>
      <c r="E87" s="336">
        <f t="shared" si="9"/>
        <v>37620111.100041196</v>
      </c>
      <c r="F87" s="336">
        <f t="shared" si="10"/>
        <v>327958.38017907983</v>
      </c>
    </row>
    <row r="88" spans="1:6" x14ac:dyDescent="0.25">
      <c r="A88" s="334">
        <v>79</v>
      </c>
      <c r="B88" s="335">
        <f t="shared" si="6"/>
        <v>48700</v>
      </c>
      <c r="C88" s="336">
        <f t="shared" si="7"/>
        <v>37620111.100041196</v>
      </c>
      <c r="D88" s="336">
        <f t="shared" si="8"/>
        <v>6153480.470765112</v>
      </c>
      <c r="E88" s="336">
        <f t="shared" si="9"/>
        <v>31466630.629276082</v>
      </c>
      <c r="F88" s="336">
        <f t="shared" si="10"/>
        <v>282150.8332503073</v>
      </c>
    </row>
    <row r="89" spans="1:6" x14ac:dyDescent="0.25">
      <c r="A89" s="334">
        <v>80</v>
      </c>
      <c r="B89" s="335">
        <f t="shared" si="6"/>
        <v>48731</v>
      </c>
      <c r="C89" s="336">
        <f t="shared" si="7"/>
        <v>31466630.629276082</v>
      </c>
      <c r="D89" s="336">
        <f t="shared" si="8"/>
        <v>6199631.574295851</v>
      </c>
      <c r="E89" s="336">
        <f t="shared" si="9"/>
        <v>25266999.05498023</v>
      </c>
      <c r="F89" s="336">
        <f t="shared" si="10"/>
        <v>235999.72971956895</v>
      </c>
    </row>
    <row r="90" spans="1:6" x14ac:dyDescent="0.25">
      <c r="A90" s="334">
        <v>81</v>
      </c>
      <c r="B90" s="335">
        <f t="shared" si="6"/>
        <v>48761</v>
      </c>
      <c r="C90" s="336">
        <f t="shared" si="7"/>
        <v>25266999.05498023</v>
      </c>
      <c r="D90" s="336">
        <f t="shared" si="8"/>
        <v>6246128.811103069</v>
      </c>
      <c r="E90" s="336">
        <f t="shared" si="9"/>
        <v>19020870.24387716</v>
      </c>
      <c r="F90" s="336">
        <f t="shared" si="10"/>
        <v>189502.4929123501</v>
      </c>
    </row>
    <row r="91" spans="1:6" x14ac:dyDescent="0.25">
      <c r="A91" s="334">
        <v>82</v>
      </c>
      <c r="B91" s="335">
        <f t="shared" si="6"/>
        <v>48792</v>
      </c>
      <c r="C91" s="336">
        <f t="shared" si="7"/>
        <v>19020870.24387716</v>
      </c>
      <c r="D91" s="336">
        <f t="shared" si="8"/>
        <v>6292974.7771863425</v>
      </c>
      <c r="E91" s="336">
        <f t="shared" si="9"/>
        <v>12727895.46669082</v>
      </c>
      <c r="F91" s="336">
        <f t="shared" si="10"/>
        <v>142656.52682907702</v>
      </c>
    </row>
    <row r="92" spans="1:6" x14ac:dyDescent="0.25">
      <c r="A92" s="334">
        <v>83</v>
      </c>
      <c r="B92" s="335">
        <f t="shared" si="6"/>
        <v>48823</v>
      </c>
      <c r="C92" s="336">
        <f t="shared" si="7"/>
        <v>12727895.46669082</v>
      </c>
      <c r="D92" s="336">
        <f t="shared" si="8"/>
        <v>6340172.08801524</v>
      </c>
      <c r="E92" s="336">
        <f t="shared" si="9"/>
        <v>6387723.37867558</v>
      </c>
      <c r="F92" s="336">
        <f t="shared" si="10"/>
        <v>95459.21600017947</v>
      </c>
    </row>
    <row r="93" spans="1:6" x14ac:dyDescent="0.25">
      <c r="A93" s="334">
        <v>84</v>
      </c>
      <c r="B93" s="335">
        <f t="shared" si="6"/>
        <v>48853</v>
      </c>
      <c r="C93" s="336">
        <f t="shared" si="7"/>
        <v>6387723.37867558</v>
      </c>
      <c r="D93" s="336">
        <f t="shared" si="8"/>
        <v>6387723.378675355</v>
      </c>
      <c r="E93" s="336">
        <f t="shared" si="9"/>
        <v>2.253800630569458e-7</v>
      </c>
      <c r="F93" s="336">
        <f t="shared" si="10"/>
        <v>47907.925340065165</v>
      </c>
    </row>
  </sheetData>
  <mergeCells count="7">
    <mergeCell ref="A1:B1"/>
    <mergeCell ref="A2:B2"/>
    <mergeCell ref="A3:B3"/>
    <mergeCell ref="A4:B4"/>
    <mergeCell ref="A5:B5"/>
    <mergeCell ref="A6:B6"/>
    <mergeCell ref="A8:F8"/>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B2:D13"/>
  <sheetViews>
    <sheetView workbookViewId="0" showGridLines="0" zoomScale="100" zoomScaleNormal="100">
      <selection activeCell="C24" sqref="C24"/>
    </sheetView>
  </sheetViews>
  <sheetFormatPr defaultRowHeight="15" outlineLevelRow="0" outlineLevelCol="0" x14ac:dyDescent="0"/>
  <cols>
    <col min="3" max="3" width="36.5703125" customWidth="1"/>
    <col min="4" max="4" width="36.42578125" customWidth="1"/>
  </cols>
  <sheetData>
    <row r="2" ht="30" customHeight="1" spans="3:3" x14ac:dyDescent="0.25">
      <c r="C2" s="13" t="s">
        <v>17</v>
      </c>
    </row>
    <row r="3" spans="4:4" x14ac:dyDescent="0.25">
      <c r="D3" s="9" t="s">
        <v>18</v>
      </c>
    </row>
    <row r="4" ht="30" customHeight="1" spans="2:4" s="9" customFormat="1" x14ac:dyDescent="0.25">
      <c r="B4" s="9" t="s">
        <v>19</v>
      </c>
      <c r="C4" s="14" t="s">
        <v>20</v>
      </c>
      <c r="D4" s="15" t="s">
        <v>21</v>
      </c>
    </row>
    <row r="7" spans="2:4" s="9" customFormat="1" x14ac:dyDescent="0.25">
      <c r="B7" s="9" t="s">
        <v>22</v>
      </c>
      <c r="C7" s="9" t="s">
        <v>23</v>
      </c>
      <c r="D7" s="9" t="s">
        <v>24</v>
      </c>
    </row>
    <row r="9" spans="2:4" x14ac:dyDescent="0.25">
      <c r="B9" s="9" t="s">
        <v>25</v>
      </c>
      <c r="C9" s="9" t="s">
        <v>26</v>
      </c>
      <c r="D9" s="16" t="str">
        <f>A.IIOPEX!C2</f>
        <v>Opex, Click on the link to refer to OPEX</v>
      </c>
    </row>
    <row r="11" spans="2:4" s="9" customFormat="1" x14ac:dyDescent="0.25">
      <c r="B11" s="9" t="s">
        <v>27</v>
      </c>
      <c r="C11" s="9" t="s">
        <v>28</v>
      </c>
      <c r="D11" s="16" t="s">
        <v>29</v>
      </c>
    </row>
    <row r="13" spans="2:3" s="9" customFormat="1" x14ac:dyDescent="0.25">
      <c r="B13" s="9" t="s">
        <v>30</v>
      </c>
      <c r="C13" s="9" t="s">
        <v>31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C1:V200"/>
  <sheetViews>
    <sheetView workbookViewId="0" showGridLines="0" zoomScale="100" zoomScaleNormal="100">
      <pane xSplit="6" ySplit="8" topLeftCell="R15" activePane="bottomRight" state="frozen"/>
      <selection pane="bottomRight" activeCell="D19" sqref="D19"/>
    </sheetView>
  </sheetViews>
  <sheetFormatPr defaultRowHeight="15" outlineLevelRow="0" outlineLevelCol="0" x14ac:dyDescent="0"/>
  <cols>
    <col min="1" max="1" width="2.5703125" customWidth="1"/>
    <col min="3" max="3" width="10.28515625" customWidth="1"/>
    <col min="4" max="4" width="42.7109375" customWidth="1"/>
    <col min="5" max="5" width="27.5703125" customWidth="1"/>
    <col min="6" max="6" width="3.7109375" customWidth="1"/>
    <col min="7" max="7" width="39.5703125" customWidth="1"/>
    <col min="8" max="8" width="2.7109375" customWidth="1"/>
    <col min="9" max="9" width="31.28515625" customWidth="1"/>
    <col min="10" max="10" width="2.7109375" customWidth="1"/>
    <col min="11" max="11" width="34.7109375" customWidth="1"/>
    <col min="12" max="12" width="2.7109375" customWidth="1"/>
    <col min="13" max="13" width="39.42578125" customWidth="1"/>
    <col min="14" max="14" width="2.7109375" customWidth="1"/>
    <col min="15" max="15" width="43.28515625" customWidth="1"/>
    <col min="16" max="16" width="2.7109375" customWidth="1"/>
    <col min="17" max="17" width="40.28515625" customWidth="1"/>
    <col min="18" max="18" width="2.7109375" customWidth="1"/>
    <col min="19" max="19" width="40.28515625" customWidth="1"/>
    <col min="20" max="20" width="2.7109375" customWidth="1"/>
    <col min="21" max="21" width="40.28515625" customWidth="1"/>
    <col min="16303" max="16307" width="9.28515625" customWidth="1"/>
  </cols>
  <sheetData>
    <row r="1" ht="18.75" customHeight="1" spans="3:4" x14ac:dyDescent="0.25">
      <c r="C1" s="9"/>
      <c r="D1" s="17"/>
    </row>
    <row r="2" ht="26.25" customHeight="1" spans="3:6" x14ac:dyDescent="0.25">
      <c r="C2" s="18" t="s">
        <v>32</v>
      </c>
      <c r="D2" s="19"/>
      <c r="E2" s="19"/>
      <c r="F2" s="20"/>
    </row>
    <row r="3" spans="3:6" x14ac:dyDescent="0.25">
      <c r="C3" s="21" t="s">
        <v>33</v>
      </c>
      <c r="D3" s="21"/>
      <c r="E3" s="20"/>
      <c r="F3" s="20"/>
    </row>
    <row r="4" spans="3:6" x14ac:dyDescent="0.25">
      <c r="C4" s="9"/>
      <c r="D4" s="20"/>
      <c r="E4" s="20"/>
      <c r="F4" s="20"/>
    </row>
    <row r="5" ht="15" customHeight="1" spans="3:6" x14ac:dyDescent="0.25">
      <c r="C5" s="9" t="s">
        <v>34</v>
      </c>
      <c r="D5" s="9"/>
      <c r="E5" s="22">
        <f>'1. Basics'!D16</f>
        <v>46112</v>
      </c>
      <c r="F5" s="20"/>
    </row>
    <row r="6" spans="3:21" s="23" customFormat="1" x14ac:dyDescent="0.25">
      <c r="C6" s="21"/>
      <c r="D6" s="21"/>
      <c r="E6" s="21"/>
      <c r="F6" s="21"/>
      <c r="K6" s="23" t="s">
        <v>35</v>
      </c>
      <c r="M6" s="23" t="s">
        <v>36</v>
      </c>
      <c r="O6" s="23" t="s">
        <v>37</v>
      </c>
      <c r="Q6" s="23" t="s">
        <v>38</v>
      </c>
      <c r="S6" s="23" t="s">
        <v>39</v>
      </c>
      <c r="U6" s="23" t="s">
        <v>40</v>
      </c>
    </row>
    <row r="7" ht="9.75" customHeight="1" spans="3:6" s="23" customFormat="1" x14ac:dyDescent="0.25">
      <c r="C7" s="21"/>
      <c r="D7" s="21"/>
      <c r="E7" s="21"/>
      <c r="F7" s="21"/>
    </row>
    <row r="8" ht="19.5" customHeight="1" spans="3:21" s="17" customFormat="1" x14ac:dyDescent="0.25">
      <c r="C8" s="24"/>
      <c r="D8" s="24" t="s">
        <v>41</v>
      </c>
      <c r="E8" s="24" t="s">
        <v>42</v>
      </c>
      <c r="G8" s="25" t="s">
        <v>43</v>
      </c>
      <c r="I8" s="25" t="s">
        <v>44</v>
      </c>
      <c r="K8" s="25" t="s">
        <v>45</v>
      </c>
      <c r="M8" s="24" t="s">
        <v>46</v>
      </c>
      <c r="O8" s="25" t="s">
        <v>47</v>
      </c>
      <c r="Q8" s="25" t="s">
        <v>48</v>
      </c>
      <c r="S8" s="25" t="s">
        <v>49</v>
      </c>
      <c r="U8" s="25" t="s">
        <v>50</v>
      </c>
    </row>
    <row r="9" ht="18.75" customHeight="1" spans="3:6" x14ac:dyDescent="0.25">
      <c r="C9" s="5">
        <v>1</v>
      </c>
      <c r="D9" s="26" t="s">
        <v>51</v>
      </c>
      <c r="E9" s="27"/>
      <c r="F9" s="28"/>
    </row>
    <row r="10" ht="21" customHeight="1" spans="3:22" x14ac:dyDescent="0.25">
      <c r="C10" s="5" t="s">
        <v>52</v>
      </c>
      <c r="D10" s="29"/>
      <c r="E10" s="26" t="s">
        <v>53</v>
      </c>
      <c r="F10" s="30"/>
      <c r="G10" s="31">
        <f>2000*50%*28</f>
        <v>28000</v>
      </c>
      <c r="I10" s="31">
        <v>30</v>
      </c>
      <c r="K10" s="32">
        <v>0.01</v>
      </c>
      <c r="M10" s="32">
        <v>0.82</v>
      </c>
      <c r="O10" s="32">
        <v>0.7</v>
      </c>
      <c r="Q10" s="32">
        <v>0.55</v>
      </c>
      <c r="S10" s="32">
        <v>0.45</v>
      </c>
      <c r="U10" s="32">
        <v>0.4</v>
      </c>
    </row>
    <row r="11" ht="18.75" customHeight="1" spans="3:22" x14ac:dyDescent="0.25">
      <c r="C11" s="5" t="s">
        <v>54</v>
      </c>
      <c r="D11" s="29"/>
      <c r="E11" s="26"/>
      <c r="F11" s="30"/>
      <c r="G11" s="31"/>
      <c r="I11" s="31"/>
      <c r="K11" s="33">
        <f>$K$10</f>
        <v>0.01</v>
      </c>
      <c r="M11" s="33">
        <f>$M$10</f>
        <v>0.82</v>
      </c>
      <c r="O11" s="33">
        <f>$O$10</f>
        <v>0.7</v>
      </c>
      <c r="Q11" s="33">
        <f>$Q$10</f>
        <v>0.55</v>
      </c>
      <c r="S11" s="33">
        <f>$S$10</f>
        <v>0.45</v>
      </c>
      <c r="U11" s="33">
        <f>$U$10</f>
        <v>0.4</v>
      </c>
    </row>
    <row r="12" ht="18.75" customHeight="1" spans="3:22" x14ac:dyDescent="0.25">
      <c r="C12" s="5" t="s">
        <v>55</v>
      </c>
      <c r="D12" s="29"/>
      <c r="E12" s="26"/>
      <c r="F12" s="30"/>
      <c r="G12" s="31"/>
      <c r="I12" s="31"/>
      <c r="K12" s="33">
        <f>$K$10</f>
        <v>0.01</v>
      </c>
      <c r="M12" s="33">
        <f>$M$10</f>
        <v>0.82</v>
      </c>
      <c r="O12" s="33">
        <f>$O$10</f>
        <v>0.7</v>
      </c>
      <c r="Q12" s="33">
        <f>$Q$10</f>
        <v>0.55</v>
      </c>
      <c r="S12" s="33">
        <f>$S$10</f>
        <v>0.45</v>
      </c>
      <c r="U12" s="33">
        <f>$U$10</f>
        <v>0.4</v>
      </c>
    </row>
    <row r="13" ht="18.75" customHeight="1" spans="3:22" x14ac:dyDescent="0.25">
      <c r="C13" s="5" t="s">
        <v>56</v>
      </c>
      <c r="D13" s="29"/>
      <c r="E13" s="26"/>
      <c r="F13" s="30"/>
      <c r="G13" s="31"/>
      <c r="I13" s="31"/>
      <c r="K13" s="33">
        <f>$K$10</f>
        <v>0.01</v>
      </c>
      <c r="M13" s="33">
        <f>$M$10</f>
        <v>0.82</v>
      </c>
      <c r="O13" s="33">
        <f>$O$10</f>
        <v>0.7</v>
      </c>
      <c r="Q13" s="33">
        <f>$Q$10</f>
        <v>0.55</v>
      </c>
      <c r="S13" s="33">
        <f>$S$10</f>
        <v>0.45</v>
      </c>
      <c r="U13" s="33">
        <f>$U$10</f>
        <v>0.4</v>
      </c>
    </row>
    <row r="14" ht="18.75" customHeight="1" spans="3:22" x14ac:dyDescent="0.25">
      <c r="C14" s="5" t="s">
        <v>57</v>
      </c>
      <c r="D14" s="29"/>
      <c r="E14" s="26"/>
      <c r="F14" s="30"/>
      <c r="G14" s="31"/>
      <c r="I14" s="31"/>
      <c r="K14" s="33">
        <f>$K$10</f>
        <v>0.01</v>
      </c>
      <c r="M14" s="33">
        <f>$M$10</f>
        <v>0.82</v>
      </c>
      <c r="O14" s="33">
        <f>$O$10</f>
        <v>0.7</v>
      </c>
      <c r="Q14" s="33">
        <f>$Q$10</f>
        <v>0.55</v>
      </c>
      <c r="S14" s="33">
        <f>$S$10</f>
        <v>0.45</v>
      </c>
      <c r="U14" s="33">
        <f>$U$10</f>
        <v>0.4</v>
      </c>
    </row>
    <row r="15" ht="18.75" customHeight="1" spans="3:22" s="9" customFormat="1" x14ac:dyDescent="0.25">
      <c r="C15" s="34" t="s">
        <v>58</v>
      </c>
      <c r="D15" s="34"/>
      <c r="E15" s="34"/>
      <c r="F15" s="35"/>
      <c r="H15" s="9"/>
      <c r="J15" s="9"/>
      <c r="K15" s="36"/>
      <c r="L15" s="9"/>
      <c r="M15" s="36"/>
      <c r="N15" s="9"/>
      <c r="O15" s="36"/>
      <c r="P15" s="9"/>
      <c r="Q15" s="36"/>
      <c r="R15" s="9"/>
      <c r="S15" s="36"/>
      <c r="T15" s="9"/>
      <c r="U15" s="36"/>
      <c r="V15" s="9"/>
    </row>
    <row r="16" ht="9.75" customHeight="1" spans="3:22" x14ac:dyDescent="0.25">
      <c r="C16" s="9"/>
      <c r="D16" s="30"/>
      <c r="E16" s="30"/>
      <c r="F16" s="30"/>
      <c r="K16" s="37"/>
      <c r="M16" s="37"/>
      <c r="O16" s="37"/>
      <c r="Q16" s="37"/>
      <c r="S16" s="37"/>
      <c r="U16" s="37"/>
    </row>
    <row r="17" ht="18.75" customHeight="1" spans="3:22" x14ac:dyDescent="0.25">
      <c r="C17" s="9"/>
      <c r="D17" s="30"/>
      <c r="E17" s="28"/>
      <c r="F17" s="28"/>
      <c r="K17" s="37"/>
      <c r="M17" s="37"/>
      <c r="O17" s="37"/>
      <c r="Q17" s="37"/>
      <c r="S17" s="37"/>
      <c r="U17" s="37"/>
    </row>
    <row r="18" ht="18.75" customHeight="1" spans="3:22" x14ac:dyDescent="0.25">
      <c r="C18" s="5">
        <v>2</v>
      </c>
      <c r="D18" s="26" t="s">
        <v>59</v>
      </c>
      <c r="E18" s="27"/>
      <c r="F18" s="28"/>
      <c r="K18" s="37"/>
      <c r="M18" s="37"/>
      <c r="O18" s="37"/>
      <c r="Q18" s="37"/>
      <c r="S18" s="37"/>
      <c r="U18" s="37"/>
    </row>
    <row r="19" ht="18.75" customHeight="1" spans="3:22" x14ac:dyDescent="0.25">
      <c r="C19" s="5" t="s">
        <v>60</v>
      </c>
      <c r="D19" s="29"/>
      <c r="E19" s="26" t="s">
        <v>59</v>
      </c>
      <c r="F19" s="30"/>
      <c r="G19" s="31"/>
      <c r="I19" s="31"/>
      <c r="K19" s="32">
        <v>0</v>
      </c>
      <c r="M19" s="32">
        <v>0</v>
      </c>
      <c r="O19" s="32">
        <v>0</v>
      </c>
      <c r="Q19" s="32">
        <v>0</v>
      </c>
      <c r="S19" s="32">
        <v>0</v>
      </c>
      <c r="U19" s="32">
        <v>0</v>
      </c>
    </row>
    <row r="20" ht="18.75" customHeight="1" spans="3:22" x14ac:dyDescent="0.25">
      <c r="C20" s="5" t="s">
        <v>61</v>
      </c>
      <c r="D20" s="29"/>
      <c r="E20" s="38"/>
      <c r="F20" s="30"/>
      <c r="G20" s="31"/>
      <c r="I20" s="31"/>
      <c r="K20" s="33">
        <f>$K$19</f>
        <v>0</v>
      </c>
      <c r="M20" s="33">
        <f>$M$19</f>
        <v>0</v>
      </c>
      <c r="O20" s="33">
        <f>$O$19</f>
        <v>0</v>
      </c>
      <c r="Q20" s="33">
        <f>$Q$19</f>
        <v>0</v>
      </c>
      <c r="S20" s="33">
        <f>$S$19</f>
        <v>0</v>
      </c>
      <c r="U20" s="33">
        <f>$U$19</f>
        <v>0</v>
      </c>
    </row>
    <row r="21" ht="18.75" customHeight="1" spans="3:22" x14ac:dyDescent="0.25">
      <c r="C21" s="5" t="s">
        <v>62</v>
      </c>
      <c r="D21" s="29"/>
      <c r="E21" s="26"/>
      <c r="F21" s="30"/>
      <c r="G21" s="31"/>
      <c r="I21" s="31"/>
      <c r="K21" s="33">
        <f>$K$19</f>
        <v>0</v>
      </c>
      <c r="M21" s="33">
        <f>$M$19</f>
        <v>0</v>
      </c>
      <c r="O21" s="33">
        <f>$O$19</f>
        <v>0</v>
      </c>
      <c r="Q21" s="33">
        <f>$Q$19</f>
        <v>0</v>
      </c>
      <c r="S21" s="33">
        <f>$S$19</f>
        <v>0</v>
      </c>
      <c r="U21" s="33">
        <f>$U$19</f>
        <v>0</v>
      </c>
    </row>
    <row r="22" ht="18.75" customHeight="1" spans="3:22" x14ac:dyDescent="0.25">
      <c r="C22" s="5" t="s">
        <v>63</v>
      </c>
      <c r="D22" s="29"/>
      <c r="E22" s="26"/>
      <c r="F22" s="30"/>
      <c r="G22" s="31"/>
      <c r="I22" s="31"/>
      <c r="K22" s="33">
        <f>$K$19</f>
        <v>0</v>
      </c>
      <c r="M22" s="33">
        <f>$M$19</f>
        <v>0</v>
      </c>
      <c r="O22" s="33">
        <f>$O$19</f>
        <v>0</v>
      </c>
      <c r="Q22" s="33">
        <f>$Q$19</f>
        <v>0</v>
      </c>
      <c r="S22" s="33">
        <f>$S$19</f>
        <v>0</v>
      </c>
      <c r="U22" s="33">
        <f>$U$19</f>
        <v>0</v>
      </c>
    </row>
    <row r="23" ht="18.75" customHeight="1" spans="3:22" x14ac:dyDescent="0.25">
      <c r="C23" s="5" t="s">
        <v>64</v>
      </c>
      <c r="D23" s="29"/>
      <c r="E23" s="26"/>
      <c r="F23" s="30"/>
      <c r="G23" s="31"/>
      <c r="I23" s="31"/>
      <c r="K23" s="33">
        <f>$K$19</f>
        <v>0</v>
      </c>
      <c r="M23" s="33">
        <f>$M$19</f>
        <v>0</v>
      </c>
      <c r="O23" s="33">
        <f>$O$19</f>
        <v>0</v>
      </c>
      <c r="Q23" s="33">
        <f>$Q$19</f>
        <v>0</v>
      </c>
      <c r="S23" s="33">
        <f>$S$19</f>
        <v>0</v>
      </c>
      <c r="U23" s="33">
        <f>$U$19</f>
        <v>0</v>
      </c>
    </row>
    <row r="24" ht="18.75" customHeight="1" spans="3:22" x14ac:dyDescent="0.25">
      <c r="C24" s="34" t="s">
        <v>58</v>
      </c>
      <c r="D24" s="34"/>
      <c r="E24" s="34"/>
      <c r="F24" s="30"/>
      <c r="K24" s="37"/>
      <c r="M24" s="37"/>
      <c r="O24" s="37"/>
      <c r="Q24" s="37"/>
      <c r="S24" s="37"/>
      <c r="U24" s="37"/>
    </row>
    <row r="25" ht="9.75" customHeight="1" spans="3:22" x14ac:dyDescent="0.25">
      <c r="C25" s="9"/>
      <c r="D25" s="30"/>
      <c r="E25" s="30"/>
      <c r="F25" s="30"/>
      <c r="K25" s="37"/>
      <c r="M25" s="37"/>
      <c r="O25" s="37"/>
      <c r="Q25" s="37"/>
      <c r="S25" s="37"/>
      <c r="U25" s="37"/>
    </row>
    <row r="26" ht="18.75" customHeight="1" spans="3:22" x14ac:dyDescent="0.25">
      <c r="C26" s="9"/>
      <c r="D26" s="30"/>
      <c r="E26" s="28"/>
      <c r="F26" s="28"/>
      <c r="K26" s="37"/>
      <c r="M26" s="37"/>
      <c r="O26" s="37"/>
      <c r="Q26" s="37"/>
      <c r="S26" s="37"/>
      <c r="U26" s="37"/>
    </row>
    <row r="27" ht="18.75" customHeight="1" spans="3:22" x14ac:dyDescent="0.25">
      <c r="C27" s="5">
        <v>3</v>
      </c>
      <c r="D27" s="26"/>
      <c r="E27" s="27"/>
      <c r="F27" s="28"/>
      <c r="K27" s="37"/>
      <c r="M27" s="37"/>
      <c r="O27" s="37"/>
      <c r="Q27" s="37"/>
      <c r="S27" s="37"/>
      <c r="U27" s="37"/>
    </row>
    <row r="28" ht="18.75" customHeight="1" spans="3:22" x14ac:dyDescent="0.25">
      <c r="C28" s="5" t="s">
        <v>65</v>
      </c>
      <c r="D28" s="29"/>
      <c r="E28" s="26"/>
      <c r="F28" s="30"/>
      <c r="G28" s="31"/>
      <c r="I28" s="31"/>
      <c r="K28" s="32">
        <v>0</v>
      </c>
      <c r="M28" s="32">
        <v>0</v>
      </c>
      <c r="O28" s="32">
        <v>1.23</v>
      </c>
      <c r="Q28" s="32">
        <v>1.23</v>
      </c>
      <c r="S28" s="32">
        <v>0</v>
      </c>
      <c r="U28" s="32">
        <v>0</v>
      </c>
    </row>
    <row r="29" ht="18.75" customHeight="1" spans="3:21" x14ac:dyDescent="0.25">
      <c r="C29" s="5" t="s">
        <v>66</v>
      </c>
      <c r="D29" s="29"/>
      <c r="E29" s="26"/>
      <c r="F29" s="30"/>
      <c r="G29" s="31"/>
      <c r="I29" s="31"/>
      <c r="K29" s="33">
        <f>$K$28</f>
        <v>0</v>
      </c>
      <c r="M29" s="33">
        <f>$M$28</f>
        <v>0</v>
      </c>
      <c r="O29" s="33">
        <f>$O$28</f>
        <v>1.23</v>
      </c>
      <c r="Q29" s="33">
        <f>$Q$28</f>
        <v>1.23</v>
      </c>
      <c r="S29" s="33">
        <f>$S$28</f>
        <v>0</v>
      </c>
      <c r="U29" s="33">
        <f>$U$28</f>
        <v>0</v>
      </c>
    </row>
    <row r="30" ht="18.75" customHeight="1" spans="3:21" x14ac:dyDescent="0.25">
      <c r="C30" s="5" t="s">
        <v>67</v>
      </c>
      <c r="D30" s="29"/>
      <c r="E30" s="26"/>
      <c r="F30" s="30"/>
      <c r="G30" s="31"/>
      <c r="I30" s="31"/>
      <c r="K30" s="33">
        <f>$K$28</f>
        <v>0</v>
      </c>
      <c r="M30" s="33">
        <f>$M$28</f>
        <v>0</v>
      </c>
      <c r="O30" s="33">
        <f>$O$28</f>
        <v>1.23</v>
      </c>
      <c r="Q30" s="33">
        <f>$Q$28</f>
        <v>1.23</v>
      </c>
      <c r="S30" s="33">
        <f>$S$28</f>
        <v>0</v>
      </c>
      <c r="U30" s="33">
        <f>$U$28</f>
        <v>0</v>
      </c>
    </row>
    <row r="31" ht="18.75" customHeight="1" spans="3:22" x14ac:dyDescent="0.25">
      <c r="C31" s="5" t="s">
        <v>68</v>
      </c>
      <c r="D31" s="29"/>
      <c r="E31" s="26"/>
      <c r="F31" s="30"/>
      <c r="G31" s="31"/>
      <c r="I31" s="31"/>
      <c r="K31" s="33">
        <f>$K$28</f>
        <v>0</v>
      </c>
      <c r="M31" s="33">
        <f>$M$28</f>
        <v>0</v>
      </c>
      <c r="O31" s="33">
        <f>$O$28</f>
        <v>1.23</v>
      </c>
      <c r="Q31" s="33">
        <f>$Q$28</f>
        <v>1.23</v>
      </c>
      <c r="S31" s="33">
        <f>$S$28</f>
        <v>0</v>
      </c>
      <c r="U31" s="33">
        <f>$U$28</f>
        <v>0</v>
      </c>
    </row>
    <row r="32" ht="18.75" customHeight="1" spans="3:22" x14ac:dyDescent="0.25">
      <c r="C32" s="5" t="s">
        <v>69</v>
      </c>
      <c r="D32" s="29"/>
      <c r="E32" s="26"/>
      <c r="F32" s="30"/>
      <c r="G32" s="31"/>
      <c r="I32" s="31"/>
      <c r="K32" s="33">
        <f>$K$28</f>
        <v>0</v>
      </c>
      <c r="M32" s="33">
        <f>$M$28</f>
        <v>0</v>
      </c>
      <c r="O32" s="33">
        <f>$O$28</f>
        <v>1.23</v>
      </c>
      <c r="Q32" s="33">
        <f>$Q$28</f>
        <v>1.23</v>
      </c>
      <c r="S32" s="33">
        <f>$S$28</f>
        <v>0</v>
      </c>
      <c r="U32" s="33">
        <f>$U$28</f>
        <v>0</v>
      </c>
    </row>
    <row r="33" ht="18.75" customHeight="1" spans="3:22" x14ac:dyDescent="0.25">
      <c r="C33" s="34" t="s">
        <v>58</v>
      </c>
      <c r="D33" s="34"/>
      <c r="E33" s="34"/>
      <c r="F33" s="30"/>
      <c r="K33" s="37"/>
      <c r="M33" s="37"/>
      <c r="O33" s="37"/>
      <c r="Q33" s="37"/>
      <c r="S33" s="37"/>
      <c r="U33" s="37"/>
    </row>
    <row r="34" ht="9.75" customHeight="1" spans="3:21" x14ac:dyDescent="0.25">
      <c r="C34" s="9"/>
      <c r="D34" s="30"/>
      <c r="E34" s="30"/>
      <c r="F34" s="30"/>
      <c r="K34" s="37"/>
      <c r="M34" s="37"/>
      <c r="O34" s="37"/>
      <c r="Q34" s="37"/>
      <c r="S34" s="37"/>
      <c r="U34" s="37"/>
    </row>
    <row r="35" ht="18.75" customHeight="1" spans="3:21" x14ac:dyDescent="0.25">
      <c r="C35" s="9"/>
      <c r="D35" s="30"/>
      <c r="E35" s="28"/>
      <c r="F35" s="28"/>
      <c r="K35" s="37"/>
      <c r="M35" s="37"/>
      <c r="O35" s="37"/>
      <c r="Q35" s="37"/>
      <c r="S35" s="37"/>
      <c r="U35" s="37"/>
    </row>
    <row r="36" ht="18.75" customHeight="1" spans="3:22" x14ac:dyDescent="0.25">
      <c r="C36" s="5">
        <v>4</v>
      </c>
      <c r="D36" s="26"/>
      <c r="E36" s="27"/>
      <c r="F36" s="28"/>
      <c r="K36" s="37"/>
      <c r="M36" s="37"/>
      <c r="O36" s="37"/>
      <c r="Q36" s="37"/>
      <c r="S36" s="37"/>
      <c r="U36" s="37"/>
    </row>
    <row r="37" ht="18.75" customHeight="1" spans="3:22" x14ac:dyDescent="0.25">
      <c r="C37" s="5" t="s">
        <v>70</v>
      </c>
      <c r="D37" s="27"/>
      <c r="E37" s="26"/>
      <c r="F37" s="30"/>
      <c r="G37" s="31"/>
      <c r="I37" s="31"/>
      <c r="K37" s="32">
        <v>0</v>
      </c>
      <c r="M37" s="32">
        <v>0</v>
      </c>
      <c r="O37" s="32">
        <v>1.23</v>
      </c>
      <c r="Q37" s="32">
        <v>1.23</v>
      </c>
      <c r="S37" s="32">
        <v>0</v>
      </c>
      <c r="U37" s="32">
        <v>0</v>
      </c>
    </row>
    <row r="38" ht="18.75" customHeight="1" spans="3:22" x14ac:dyDescent="0.25">
      <c r="C38" s="5" t="s">
        <v>71</v>
      </c>
      <c r="D38" s="27"/>
      <c r="E38" s="26"/>
      <c r="F38" s="30"/>
      <c r="G38" s="31"/>
      <c r="I38" s="31"/>
      <c r="K38" s="33">
        <f>$K$37</f>
        <v>0</v>
      </c>
      <c r="M38" s="33">
        <f>$M$37</f>
        <v>0</v>
      </c>
      <c r="O38" s="33">
        <f>$O$37</f>
        <v>1.23</v>
      </c>
      <c r="Q38" s="33">
        <f>$Q$37</f>
        <v>1.23</v>
      </c>
      <c r="S38" s="33">
        <f>$S$37</f>
        <v>0</v>
      </c>
      <c r="U38" s="33">
        <f>$U$37</f>
        <v>0</v>
      </c>
    </row>
    <row r="39" ht="18.75" customHeight="1" spans="3:22" x14ac:dyDescent="0.25">
      <c r="C39" s="5" t="s">
        <v>72</v>
      </c>
      <c r="D39" s="27"/>
      <c r="E39" s="26"/>
      <c r="F39" s="30"/>
      <c r="G39" s="31"/>
      <c r="I39" s="31"/>
      <c r="K39" s="33">
        <f>$K$37</f>
        <v>0</v>
      </c>
      <c r="M39" s="33">
        <f>$M$37</f>
        <v>0</v>
      </c>
      <c r="O39" s="33">
        <f>$O$37</f>
        <v>1.23</v>
      </c>
      <c r="Q39" s="33">
        <f>$Q$37</f>
        <v>1.23</v>
      </c>
      <c r="S39" s="33">
        <f>$S$37</f>
        <v>0</v>
      </c>
      <c r="U39" s="33">
        <f>$U$37</f>
        <v>0</v>
      </c>
    </row>
    <row r="40" ht="18.75" customHeight="1" spans="3:22" x14ac:dyDescent="0.25">
      <c r="C40" s="5" t="s">
        <v>73</v>
      </c>
      <c r="D40" s="27"/>
      <c r="E40" s="26"/>
      <c r="F40" s="30"/>
      <c r="G40" s="31"/>
      <c r="I40" s="31"/>
      <c r="K40" s="33">
        <f>$K$37</f>
        <v>0</v>
      </c>
      <c r="M40" s="33">
        <f>$M$37</f>
        <v>0</v>
      </c>
      <c r="O40" s="33">
        <f>$O$37</f>
        <v>1.23</v>
      </c>
      <c r="Q40" s="33">
        <f>$Q$37</f>
        <v>1.23</v>
      </c>
      <c r="S40" s="33">
        <f>$S$37</f>
        <v>0</v>
      </c>
      <c r="U40" s="33">
        <f>$U$37</f>
        <v>0</v>
      </c>
    </row>
    <row r="41" ht="18.75" customHeight="1" spans="3:22" x14ac:dyDescent="0.25">
      <c r="C41" s="5" t="s">
        <v>74</v>
      </c>
      <c r="D41" s="27"/>
      <c r="E41" s="26"/>
      <c r="F41" s="30"/>
      <c r="G41" s="31"/>
      <c r="I41" s="31"/>
      <c r="K41" s="33">
        <f>$K$37</f>
        <v>0</v>
      </c>
      <c r="M41" s="33">
        <f>$M$37</f>
        <v>0</v>
      </c>
      <c r="O41" s="33">
        <f>$O$37</f>
        <v>1.23</v>
      </c>
      <c r="Q41" s="33">
        <f>$Q$37</f>
        <v>1.23</v>
      </c>
      <c r="S41" s="33">
        <f>$S$37</f>
        <v>0</v>
      </c>
      <c r="U41" s="33">
        <f>$U$37</f>
        <v>0</v>
      </c>
    </row>
    <row r="42" ht="18.75" customHeight="1" spans="3:22" x14ac:dyDescent="0.25">
      <c r="C42" s="34" t="s">
        <v>58</v>
      </c>
      <c r="D42" s="34"/>
      <c r="E42" s="34"/>
      <c r="F42" s="30"/>
      <c r="K42" s="37"/>
      <c r="M42" s="37"/>
      <c r="O42" s="37"/>
      <c r="Q42" s="37"/>
      <c r="S42" s="37"/>
      <c r="U42" s="37"/>
    </row>
    <row r="43" ht="9.75" customHeight="1" spans="3:22" x14ac:dyDescent="0.25">
      <c r="C43" s="9"/>
      <c r="D43" s="28"/>
      <c r="E43" s="30"/>
      <c r="F43" s="30"/>
      <c r="K43" s="37"/>
      <c r="M43" s="37"/>
      <c r="O43" s="37"/>
      <c r="Q43" s="37"/>
      <c r="S43" s="37"/>
      <c r="U43" s="37"/>
    </row>
    <row r="44" ht="18.75" customHeight="1" spans="3:22" x14ac:dyDescent="0.25">
      <c r="C44" s="9"/>
      <c r="D44" s="28"/>
      <c r="E44" s="28"/>
      <c r="F44" s="28"/>
      <c r="K44" s="37"/>
      <c r="M44" s="37"/>
      <c r="O44" s="37"/>
      <c r="Q44" s="37"/>
      <c r="S44" s="37"/>
      <c r="U44" s="37"/>
    </row>
    <row r="45" ht="18.75" customHeight="1" spans="3:22" x14ac:dyDescent="0.25">
      <c r="C45" s="5">
        <v>5</v>
      </c>
      <c r="D45" s="39"/>
      <c r="E45" s="27"/>
      <c r="F45" s="28"/>
      <c r="K45" s="37"/>
      <c r="M45" s="37"/>
      <c r="O45" s="37"/>
      <c r="Q45" s="37"/>
      <c r="S45" s="37"/>
      <c r="U45" s="37"/>
    </row>
    <row r="46" ht="18.75" customHeight="1" spans="3:22" x14ac:dyDescent="0.25">
      <c r="C46" s="5" t="s">
        <v>75</v>
      </c>
      <c r="D46" s="27"/>
      <c r="E46" s="26"/>
      <c r="F46" s="30"/>
      <c r="G46" s="31"/>
      <c r="I46" s="31"/>
      <c r="K46" s="32">
        <v>0</v>
      </c>
      <c r="M46" s="32">
        <v>0</v>
      </c>
      <c r="O46" s="32">
        <v>1.23</v>
      </c>
      <c r="Q46" s="32">
        <v>1.23</v>
      </c>
      <c r="S46" s="32">
        <v>0</v>
      </c>
      <c r="U46" s="32">
        <v>0</v>
      </c>
    </row>
    <row r="47" ht="18.75" customHeight="1" spans="3:22" x14ac:dyDescent="0.25">
      <c r="C47" s="5" t="s">
        <v>76</v>
      </c>
      <c r="D47" s="27"/>
      <c r="E47" s="26"/>
      <c r="F47" s="30"/>
      <c r="G47" s="31"/>
      <c r="I47" s="31"/>
      <c r="K47" s="33">
        <f>$K$46</f>
        <v>0</v>
      </c>
      <c r="M47" s="33">
        <f>$M$46</f>
        <v>0</v>
      </c>
      <c r="O47" s="33">
        <f>$O$46</f>
        <v>1.23</v>
      </c>
      <c r="Q47" s="33">
        <f>$Q$46</f>
        <v>1.23</v>
      </c>
      <c r="S47" s="33">
        <f>$S$46</f>
        <v>0</v>
      </c>
      <c r="U47" s="33">
        <f>$U$46</f>
        <v>0</v>
      </c>
    </row>
    <row r="48" ht="18.75" customHeight="1" spans="3:22" x14ac:dyDescent="0.25">
      <c r="C48" s="5" t="s">
        <v>77</v>
      </c>
      <c r="D48" s="27"/>
      <c r="E48" s="26"/>
      <c r="F48" s="30"/>
      <c r="G48" s="31"/>
      <c r="I48" s="31"/>
      <c r="K48" s="33">
        <f>$K$46</f>
        <v>0</v>
      </c>
      <c r="M48" s="33">
        <f>$M$46</f>
        <v>0</v>
      </c>
      <c r="O48" s="33">
        <f>$O$46</f>
        <v>1.23</v>
      </c>
      <c r="Q48" s="33">
        <f>$Q$46</f>
        <v>1.23</v>
      </c>
      <c r="S48" s="33">
        <f>$S$46</f>
        <v>0</v>
      </c>
      <c r="U48" s="33">
        <f>$U$46</f>
        <v>0</v>
      </c>
    </row>
    <row r="49" ht="18.75" customHeight="1" spans="3:22" x14ac:dyDescent="0.25">
      <c r="C49" s="5" t="s">
        <v>78</v>
      </c>
      <c r="D49" s="27"/>
      <c r="E49" s="26"/>
      <c r="F49" s="30"/>
      <c r="G49" s="31"/>
      <c r="I49" s="31"/>
      <c r="K49" s="33">
        <f>$K$46</f>
        <v>0</v>
      </c>
      <c r="M49" s="33">
        <f>$M$46</f>
        <v>0</v>
      </c>
      <c r="O49" s="33">
        <f>$O$46</f>
        <v>1.23</v>
      </c>
      <c r="Q49" s="33">
        <f>$Q$46</f>
        <v>1.23</v>
      </c>
      <c r="S49" s="33">
        <f>$S$46</f>
        <v>0</v>
      </c>
      <c r="U49" s="33">
        <f>$U$46</f>
        <v>0</v>
      </c>
    </row>
    <row r="50" ht="18.75" customHeight="1" spans="3:22" x14ac:dyDescent="0.25">
      <c r="C50" s="5" t="s">
        <v>79</v>
      </c>
      <c r="D50" s="27"/>
      <c r="E50" s="26"/>
      <c r="F50" s="30"/>
      <c r="G50" s="31"/>
      <c r="I50" s="31"/>
      <c r="K50" s="33">
        <f>$K$46</f>
        <v>0</v>
      </c>
      <c r="M50" s="33">
        <f>$M$46</f>
        <v>0</v>
      </c>
      <c r="O50" s="33">
        <f>$O$46</f>
        <v>1.23</v>
      </c>
      <c r="Q50" s="33">
        <f>$Q$46</f>
        <v>1.23</v>
      </c>
      <c r="S50" s="33">
        <f>$S$46</f>
        <v>0</v>
      </c>
      <c r="U50" s="33">
        <f>$U$46</f>
        <v>0</v>
      </c>
    </row>
    <row r="51" spans="3:22" x14ac:dyDescent="0.25">
      <c r="C51" s="34" t="s">
        <v>58</v>
      </c>
      <c r="K51" s="37"/>
      <c r="M51" s="37"/>
      <c r="O51" s="37"/>
      <c r="Q51" s="37"/>
      <c r="S51" s="37"/>
      <c r="U51" s="37"/>
    </row>
    <row r="52" spans="8:22" x14ac:dyDescent="0.25"/>
    <row r="53" spans="8:22" x14ac:dyDescent="0.25"/>
    <row r="54" spans="8:22" x14ac:dyDescent="0.25"/>
    <row r="55" spans="8:22" x14ac:dyDescent="0.25"/>
    <row r="56" spans="8:22" x14ac:dyDescent="0.25"/>
    <row r="57" spans="8:22" x14ac:dyDescent="0.25"/>
    <row r="60" spans="8:22" x14ac:dyDescent="0.25"/>
    <row r="61" spans="8:22" x14ac:dyDescent="0.25"/>
    <row r="62" spans="8:22" x14ac:dyDescent="0.25"/>
    <row r="63" spans="8:22" x14ac:dyDescent="0.25"/>
    <row r="64" spans="8:22" x14ac:dyDescent="0.25"/>
    <row r="65" spans="8:22" x14ac:dyDescent="0.25"/>
    <row r="70" spans="8:22" x14ac:dyDescent="0.25"/>
    <row r="71" spans="8:22" x14ac:dyDescent="0.25"/>
    <row r="72" spans="8:22" x14ac:dyDescent="0.25"/>
    <row r="73" spans="8:22" x14ac:dyDescent="0.25"/>
    <row r="74" spans="8:22" x14ac:dyDescent="0.25"/>
    <row r="88" spans="8:22" x14ac:dyDescent="0.25"/>
    <row r="89" spans="8:22" x14ac:dyDescent="0.25"/>
    <row r="90" spans="8:22" x14ac:dyDescent="0.25"/>
    <row r="91" spans="8:22" x14ac:dyDescent="0.25"/>
    <row r="92" spans="8:22" x14ac:dyDescent="0.25"/>
    <row r="93" spans="8:22" x14ac:dyDescent="0.25"/>
    <row r="94" spans="8:22" x14ac:dyDescent="0.25"/>
    <row r="95" spans="8:22" x14ac:dyDescent="0.25"/>
    <row r="96" spans="8:22" x14ac:dyDescent="0.25"/>
    <row r="97" spans="8:22" x14ac:dyDescent="0.25"/>
    <row r="98" spans="8:22" x14ac:dyDescent="0.25"/>
    <row r="99" spans="8:22" x14ac:dyDescent="0.25"/>
    <row r="100" spans="8:22" x14ac:dyDescent="0.25"/>
    <row r="101" spans="8:22" x14ac:dyDescent="0.25"/>
    <row r="102" spans="8:22" x14ac:dyDescent="0.25"/>
    <row r="104" spans="8:22" x14ac:dyDescent="0.25"/>
    <row r="105" spans="8:22" x14ac:dyDescent="0.25"/>
    <row r="106" spans="8:22" x14ac:dyDescent="0.25"/>
    <row r="108" spans="8:22" x14ac:dyDescent="0.25"/>
    <row r="109" spans="8:22" x14ac:dyDescent="0.25"/>
    <row r="110" spans="8:22" x14ac:dyDescent="0.25"/>
    <row r="111" spans="8:22" x14ac:dyDescent="0.25"/>
    <row r="112" spans="8:22" x14ac:dyDescent="0.25"/>
    <row r="113" spans="8:22" x14ac:dyDescent="0.25"/>
    <row r="114" spans="8:22" x14ac:dyDescent="0.25"/>
    <row r="115" spans="8:22" x14ac:dyDescent="0.25"/>
    <row r="116" spans="8:22" x14ac:dyDescent="0.25"/>
    <row r="117" spans="8:22" x14ac:dyDescent="0.25"/>
    <row r="118" spans="8:22" x14ac:dyDescent="0.25"/>
    <row r="119" spans="8:22" x14ac:dyDescent="0.25"/>
    <row r="120" spans="8:22" x14ac:dyDescent="0.25"/>
    <row r="121" spans="8:22" x14ac:dyDescent="0.25"/>
    <row r="122" spans="8:22" x14ac:dyDescent="0.25"/>
    <row r="123" spans="8:22" x14ac:dyDescent="0.25"/>
    <row r="124" spans="8:22" x14ac:dyDescent="0.25"/>
    <row r="125" spans="8:22" x14ac:dyDescent="0.25"/>
    <row r="126" spans="8:22" x14ac:dyDescent="0.25"/>
    <row r="127" spans="8:22" x14ac:dyDescent="0.25"/>
    <row r="128" spans="8:22" x14ac:dyDescent="0.25"/>
    <row r="129" spans="8:22" x14ac:dyDescent="0.25"/>
    <row r="131" spans="8:22" x14ac:dyDescent="0.25"/>
    <row r="132" spans="8:22" x14ac:dyDescent="0.25"/>
    <row r="133" spans="8:22" x14ac:dyDescent="0.25"/>
    <row r="134" spans="8:22" x14ac:dyDescent="0.25"/>
    <row r="135" spans="8:22" x14ac:dyDescent="0.25"/>
    <row r="136" spans="8:22" x14ac:dyDescent="0.25"/>
    <row r="137" spans="8:22" x14ac:dyDescent="0.25"/>
    <row r="138" spans="8:22" x14ac:dyDescent="0.25"/>
    <row r="139" spans="8:22" x14ac:dyDescent="0.25"/>
    <row r="140" spans="8:22" x14ac:dyDescent="0.25"/>
    <row r="141" spans="8:22" x14ac:dyDescent="0.25"/>
    <row r="142" spans="8:22" x14ac:dyDescent="0.25"/>
    <row r="143" spans="8:22" x14ac:dyDescent="0.25"/>
    <row r="144" spans="8:22" x14ac:dyDescent="0.25"/>
    <row r="145" spans="8:22" x14ac:dyDescent="0.25"/>
    <row r="146" spans="8:22" x14ac:dyDescent="0.25"/>
    <row r="147" spans="8:22" x14ac:dyDescent="0.25"/>
    <row r="148" spans="8:22" x14ac:dyDescent="0.25"/>
    <row r="149" spans="8:22" x14ac:dyDescent="0.25"/>
    <row r="150" spans="8:22" x14ac:dyDescent="0.25"/>
    <row r="151" spans="8:22" x14ac:dyDescent="0.25"/>
    <row r="152" spans="8:22" x14ac:dyDescent="0.25"/>
    <row r="153" spans="8:22" x14ac:dyDescent="0.25"/>
    <row r="154" spans="8:22" x14ac:dyDescent="0.25"/>
    <row r="155" spans="8:22" x14ac:dyDescent="0.25"/>
    <row r="156" spans="8:22" x14ac:dyDescent="0.25"/>
    <row r="157" spans="8:22" x14ac:dyDescent="0.25"/>
    <row r="158" spans="8:22" x14ac:dyDescent="0.25"/>
    <row r="159" spans="8:22" x14ac:dyDescent="0.25"/>
    <row r="160" spans="8:22" x14ac:dyDescent="0.25"/>
    <row r="161" spans="8:22" x14ac:dyDescent="0.25"/>
    <row r="162" spans="8:22" x14ac:dyDescent="0.25"/>
    <row r="163" spans="8:22" x14ac:dyDescent="0.25"/>
    <row r="164" spans="8:22" x14ac:dyDescent="0.25"/>
    <row r="165" spans="8:22" x14ac:dyDescent="0.25"/>
    <row r="166" spans="8:22" x14ac:dyDescent="0.25"/>
    <row r="167" spans="8:22" x14ac:dyDescent="0.25"/>
    <row r="168" spans="8:22" x14ac:dyDescent="0.25"/>
    <row r="169" spans="8:22" x14ac:dyDescent="0.25"/>
    <row r="170" spans="8:22" x14ac:dyDescent="0.25"/>
    <row r="177" spans="8:22" x14ac:dyDescent="0.25"/>
    <row r="178" spans="8:22" x14ac:dyDescent="0.25"/>
    <row r="179" spans="8:22" x14ac:dyDescent="0.25"/>
    <row r="183" spans="8:22" x14ac:dyDescent="0.25"/>
    <row r="184" spans="8:22" x14ac:dyDescent="0.25"/>
    <row r="185" spans="8:22" x14ac:dyDescent="0.25"/>
    <row r="186" spans="8:22" x14ac:dyDescent="0.25"/>
    <row r="187" spans="8:22" x14ac:dyDescent="0.25"/>
    <row r="188" spans="8:22" x14ac:dyDescent="0.25"/>
    <row r="192" spans="8:22" x14ac:dyDescent="0.25"/>
    <row r="193" spans="8:22" x14ac:dyDescent="0.25"/>
    <row r="194" spans="8:22" x14ac:dyDescent="0.25"/>
    <row r="195" spans="8:22" x14ac:dyDescent="0.25"/>
    <row r="196" spans="8:22" x14ac:dyDescent="0.25"/>
    <row r="197" spans="8:22" x14ac:dyDescent="0.25"/>
    <row r="198" spans="8:22" x14ac:dyDescent="0.25"/>
    <row r="199" spans="8:22" x14ac:dyDescent="0.25"/>
    <row r="200" spans="8:22" x14ac:dyDescent="0.25"/>
  </sheetData>
  <mergeCells count="1">
    <mergeCell ref="C5:D5"/>
  </mergeCells>
  <pageMargins left="0.7" right="0.7" top="0.75" bottom="0.75" header="0.3" footer="0.3"/>
  <legacy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C2:U106"/>
  <sheetViews>
    <sheetView workbookViewId="0" showGridLines="0" zoomScale="93" zoomScaleNormal="100">
      <pane xSplit="4" ySplit="7" topLeftCell="P53" activePane="bottomRight" state="frozen"/>
      <selection pane="bottomRight" activeCell="U59" sqref="U59"/>
    </sheetView>
  </sheetViews>
  <sheetFormatPr defaultRowHeight="15" outlineLevelRow="0" outlineLevelCol="0" x14ac:dyDescent="0"/>
  <cols>
    <col min="1" max="1" width="2.5703125" customWidth="1"/>
    <col min="3" max="3" width="10.28515625" customWidth="1"/>
    <col min="4" max="4" width="21.7109375" customWidth="1"/>
    <col min="5" max="5" width="34.7109375" customWidth="1"/>
    <col min="6" max="6" width="3.7109375" customWidth="1"/>
    <col min="7" max="7" width="39.42578125" hidden="1" customWidth="1"/>
    <col min="8" max="8" width="1.5703125" customWidth="1"/>
    <col min="9" max="9" width="31" customWidth="1"/>
    <col min="10" max="10" width="1.5703125" customWidth="1"/>
    <col min="11" max="11" width="43.7109375" customWidth="1"/>
    <col min="12" max="12" width="1.5703125" customWidth="1"/>
    <col min="13" max="13" width="39.7109375" customWidth="1"/>
    <col min="14" max="14" width="1.5703125" customWidth="1"/>
    <col min="15" max="15" width="39.7109375" customWidth="1"/>
    <col min="16" max="16" width="1.5703125" customWidth="1"/>
    <col min="17" max="17" width="39.7109375" customWidth="1"/>
    <col min="18" max="18" width="1.5703125" customWidth="1"/>
    <col min="19" max="19" width="39.7109375" customWidth="1"/>
    <col min="20" max="20" width="1.5703125" customWidth="1"/>
    <col min="21" max="21" width="39.7109375" customWidth="1"/>
    <col min="22" max="22" width="1.5703125" customWidth="1"/>
    <col min="16305" max="16309" width="9.28515625" customWidth="1"/>
  </cols>
  <sheetData>
    <row r="2" ht="18.75" customHeight="1" spans="3:4" x14ac:dyDescent="0.25">
      <c r="C2" s="9" t="s">
        <v>105</v>
      </c>
      <c r="D2" s="17"/>
    </row>
    <row r="3" ht="18.75" customHeight="1" spans="3:4" x14ac:dyDescent="0.25">
      <c r="C3" s="9"/>
      <c r="D3" s="17"/>
    </row>
    <row r="4" spans="3:6" x14ac:dyDescent="0.25">
      <c r="C4" s="9" t="s">
        <v>106</v>
      </c>
      <c r="D4" s="41"/>
      <c r="E4" s="41"/>
      <c r="F4" s="20"/>
    </row>
    <row r="5" ht="15" customHeight="1" spans="3:6" x14ac:dyDescent="0.25">
      <c r="C5" s="9" t="s">
        <v>107</v>
      </c>
      <c r="D5" s="41"/>
      <c r="E5" s="41"/>
      <c r="F5" s="20"/>
    </row>
    <row r="6" spans="3:21" s="23" customFormat="1" x14ac:dyDescent="0.25">
      <c r="C6" s="21"/>
      <c r="D6" s="21"/>
      <c r="E6" s="21"/>
      <c r="F6" s="21"/>
      <c r="K6" s="23" t="s">
        <v>108</v>
      </c>
      <c r="M6" s="23" t="s">
        <v>35</v>
      </c>
      <c r="O6" s="23" t="s">
        <v>36</v>
      </c>
      <c r="Q6" s="23" t="s">
        <v>37</v>
      </c>
      <c r="S6" s="23" t="s">
        <v>38</v>
      </c>
      <c r="U6" s="23" t="s">
        <v>39</v>
      </c>
    </row>
    <row r="7" ht="9.75" customHeight="1" spans="3:6" s="23" customFormat="1" x14ac:dyDescent="0.25">
      <c r="C7" s="21"/>
      <c r="D7" s="21"/>
      <c r="E7" s="21"/>
      <c r="F7" s="21"/>
    </row>
    <row r="8" ht="18.75" customHeight="1" spans="3:21" s="28" customFormat="1" x14ac:dyDescent="0.25">
      <c r="C8" s="17"/>
      <c r="D8" s="17" t="s">
        <v>41</v>
      </c>
      <c r="E8" s="17" t="s">
        <v>109</v>
      </c>
      <c r="F8" s="17"/>
      <c r="G8" s="24" t="s">
        <v>110</v>
      </c>
      <c r="H8" s="17"/>
      <c r="I8" s="24" t="s">
        <v>111</v>
      </c>
      <c r="J8" s="17"/>
      <c r="K8" s="24" t="s">
        <v>82</v>
      </c>
      <c r="L8" s="17"/>
      <c r="M8" s="24" t="s">
        <v>83</v>
      </c>
      <c r="N8" s="17"/>
      <c r="O8" s="24" t="s">
        <v>46</v>
      </c>
      <c r="P8" s="17"/>
      <c r="Q8" s="24" t="s">
        <v>47</v>
      </c>
      <c r="R8" s="17"/>
      <c r="S8" s="24" t="s">
        <v>48</v>
      </c>
      <c r="T8" s="17"/>
      <c r="U8" s="24" t="s">
        <v>49</v>
      </c>
    </row>
    <row r="9" ht="18.75" customHeight="1" spans="3:6" x14ac:dyDescent="0.25">
      <c r="C9" s="5">
        <v>1</v>
      </c>
      <c r="D9" s="26" t="s">
        <v>112</v>
      </c>
      <c r="E9" s="27"/>
      <c r="F9" s="28"/>
    </row>
    <row r="10" ht="21" customHeight="1" spans="3:21" x14ac:dyDescent="0.25">
      <c r="C10" s="5" t="s">
        <v>52</v>
      </c>
      <c r="D10" s="29"/>
      <c r="E10" s="26" t="s">
        <v>113</v>
      </c>
      <c r="F10" s="30"/>
      <c r="G10" s="31">
        <v>2</v>
      </c>
      <c r="I10" s="31">
        <f>1000000/12</f>
        <v>83333.33333333333</v>
      </c>
      <c r="K10" s="32">
        <v>-0.2</v>
      </c>
      <c r="M10" s="32">
        <v>0.35</v>
      </c>
      <c r="O10" s="32">
        <v>2.5</v>
      </c>
      <c r="Q10" s="32">
        <v>3.8</v>
      </c>
      <c r="S10" s="32">
        <v>0.4</v>
      </c>
      <c r="U10" s="32">
        <v>0.35</v>
      </c>
    </row>
    <row r="11" ht="18.75" customHeight="1" spans="3:21" x14ac:dyDescent="0.25">
      <c r="C11" s="5" t="s">
        <v>54</v>
      </c>
      <c r="D11" s="29"/>
      <c r="E11" s="26" t="s">
        <v>114</v>
      </c>
      <c r="F11" s="30"/>
      <c r="G11" s="31">
        <v>3</v>
      </c>
      <c r="I11" s="31"/>
      <c r="K11" s="33">
        <f>$K$10</f>
        <v>-0.2</v>
      </c>
      <c r="M11" s="33">
        <f>$M$10</f>
        <v>0.35</v>
      </c>
      <c r="O11" s="33">
        <f>$O$10</f>
        <v>2.5</v>
      </c>
      <c r="Q11" s="33">
        <f>$Q$10</f>
        <v>3.8</v>
      </c>
      <c r="S11" s="33">
        <f>$S$10</f>
        <v>0.4</v>
      </c>
      <c r="U11" s="33">
        <f>$U$10</f>
        <v>0.35</v>
      </c>
    </row>
    <row r="12" ht="18.75" customHeight="1" spans="3:21" x14ac:dyDescent="0.25">
      <c r="C12" s="5" t="s">
        <v>55</v>
      </c>
      <c r="D12" s="29"/>
      <c r="E12" s="26"/>
      <c r="F12" s="30"/>
      <c r="G12" s="31">
        <v>2</v>
      </c>
      <c r="I12" s="31"/>
      <c r="K12" s="33">
        <f>$K$10</f>
        <v>-0.2</v>
      </c>
      <c r="M12" s="33">
        <f>$M$10</f>
        <v>0.35</v>
      </c>
      <c r="O12" s="33">
        <f>$O$10</f>
        <v>2.5</v>
      </c>
      <c r="Q12" s="33">
        <f>$Q$10</f>
        <v>3.8</v>
      </c>
      <c r="S12" s="33">
        <f>$S$10</f>
        <v>0.4</v>
      </c>
      <c r="U12" s="33">
        <f>$U$10</f>
        <v>0.35</v>
      </c>
    </row>
    <row r="13" ht="18.75" customHeight="1" spans="3:21" x14ac:dyDescent="0.25">
      <c r="C13" s="5" t="s">
        <v>56</v>
      </c>
      <c r="D13" s="29"/>
      <c r="E13" s="26"/>
      <c r="F13" s="30"/>
      <c r="G13" s="31">
        <v>1</v>
      </c>
      <c r="I13" s="31"/>
      <c r="K13" s="33">
        <f>$K$10</f>
        <v>-0.2</v>
      </c>
      <c r="M13" s="33">
        <f>$M$10</f>
        <v>0.35</v>
      </c>
      <c r="O13" s="33">
        <f>$O$10</f>
        <v>2.5</v>
      </c>
      <c r="Q13" s="33">
        <f>$Q$10</f>
        <v>3.8</v>
      </c>
      <c r="S13" s="33">
        <f>$S$10</f>
        <v>0.4</v>
      </c>
      <c r="U13" s="33">
        <f>$U$10</f>
        <v>0.35</v>
      </c>
    </row>
    <row r="14" ht="18.75" customHeight="1" spans="3:21" x14ac:dyDescent="0.25">
      <c r="C14" s="5" t="s">
        <v>57</v>
      </c>
      <c r="D14" s="29"/>
      <c r="E14" s="29"/>
      <c r="F14" s="30"/>
      <c r="G14" s="31">
        <v>2</v>
      </c>
      <c r="I14" s="31"/>
      <c r="K14" s="33">
        <f>$K$10</f>
        <v>-0.2</v>
      </c>
      <c r="M14" s="33">
        <f>$M$10</f>
        <v>0.35</v>
      </c>
      <c r="O14" s="33">
        <f>$O$10</f>
        <v>2.5</v>
      </c>
      <c r="Q14" s="33">
        <f>$Q$10</f>
        <v>3.8</v>
      </c>
      <c r="S14" s="33">
        <f>$S$10</f>
        <v>0.4</v>
      </c>
      <c r="U14" s="33">
        <f>$U$10</f>
        <v>0.35</v>
      </c>
    </row>
    <row r="15" ht="18.75" customHeight="1" spans="3:21" x14ac:dyDescent="0.25">
      <c r="C15" s="5" t="s">
        <v>115</v>
      </c>
      <c r="D15" s="29"/>
      <c r="E15" s="29"/>
      <c r="F15" s="30"/>
      <c r="G15" s="31">
        <v>5</v>
      </c>
      <c r="I15" s="31"/>
      <c r="K15" s="33">
        <f t="shared" ref="K15" si="0">$K$10</f>
        <v>-0.2</v>
      </c>
      <c r="M15" s="33">
        <f t="shared" ref="M15" si="1">$M$10</f>
        <v>0.35</v>
      </c>
      <c r="O15" s="33">
        <f t="shared" ref="O15" si="2">$O$10</f>
        <v>2.5</v>
      </c>
      <c r="Q15" s="33">
        <f t="shared" ref="Q15" si="3">$Q$10</f>
        <v>3.8</v>
      </c>
      <c r="S15" s="33">
        <f t="shared" ref="S15" si="4">$S$10</f>
        <v>0.4</v>
      </c>
      <c r="U15" s="33">
        <f t="shared" ref="U15" si="5">$U$10</f>
        <v>0.35</v>
      </c>
    </row>
    <row r="16" ht="18.75" customHeight="1" spans="3:21" x14ac:dyDescent="0.25">
      <c r="C16" s="5" t="s">
        <v>116</v>
      </c>
      <c r="D16" s="29"/>
      <c r="E16" s="29"/>
      <c r="F16" s="30"/>
      <c r="G16" s="31"/>
      <c r="I16" s="31"/>
      <c r="K16" s="33">
        <f>$K$10</f>
        <v>-0.2</v>
      </c>
      <c r="M16" s="33">
        <f>$M$10</f>
        <v>0.35</v>
      </c>
      <c r="O16" s="33">
        <f>$O$10</f>
        <v>2.5</v>
      </c>
      <c r="Q16" s="33">
        <f>$Q$10</f>
        <v>3.8</v>
      </c>
      <c r="S16" s="33">
        <f>$S$10</f>
        <v>0.4</v>
      </c>
      <c r="U16" s="33">
        <f>$U$10</f>
        <v>0.35</v>
      </c>
    </row>
    <row r="17" ht="18.75" customHeight="1" spans="3:6" s="9" customFormat="1" x14ac:dyDescent="0.25">
      <c r="C17" s="34" t="s">
        <v>58</v>
      </c>
      <c r="D17" s="34"/>
      <c r="E17" s="34"/>
      <c r="F17" s="35"/>
    </row>
    <row r="18" ht="9.75" customHeight="1" spans="3:6" x14ac:dyDescent="0.25">
      <c r="C18" s="9"/>
      <c r="D18" s="30"/>
      <c r="E18" s="30"/>
      <c r="F18" s="30"/>
    </row>
    <row r="19" ht="18.75" customHeight="1" spans="3:6" x14ac:dyDescent="0.25">
      <c r="C19" s="9"/>
      <c r="D19" s="30"/>
      <c r="E19" s="28"/>
      <c r="F19" s="28"/>
    </row>
    <row r="20" ht="18.75" customHeight="1" spans="3:6" x14ac:dyDescent="0.25">
      <c r="C20" s="5">
        <v>2</v>
      </c>
      <c r="D20" s="26" t="s">
        <v>117</v>
      </c>
      <c r="E20" s="27"/>
      <c r="F20" s="28"/>
    </row>
    <row r="21" ht="18.75" customHeight="1" spans="3:21" x14ac:dyDescent="0.25">
      <c r="C21" s="5" t="s">
        <v>60</v>
      </c>
      <c r="D21" s="29"/>
      <c r="E21" s="26" t="s">
        <v>118</v>
      </c>
      <c r="F21" s="30"/>
      <c r="G21" s="31">
        <v>1</v>
      </c>
      <c r="I21" s="31">
        <v>50000</v>
      </c>
      <c r="K21" s="32">
        <v>-0.08</v>
      </c>
      <c r="M21" s="32">
        <v>0.02</v>
      </c>
      <c r="O21" s="32">
        <v>0.15</v>
      </c>
      <c r="Q21" s="32">
        <v>0.4</v>
      </c>
      <c r="S21" s="32">
        <v>0.15</v>
      </c>
      <c r="U21" s="32">
        <v>0.18</v>
      </c>
    </row>
    <row r="22" ht="18.75" customHeight="1" spans="3:21" x14ac:dyDescent="0.25">
      <c r="C22" s="5" t="s">
        <v>61</v>
      </c>
      <c r="D22" s="29"/>
      <c r="E22" s="29"/>
      <c r="F22" s="30"/>
      <c r="G22" s="31">
        <v>2</v>
      </c>
      <c r="I22" s="31"/>
      <c r="K22" s="33">
        <f>$K$21</f>
        <v>-0.08</v>
      </c>
      <c r="M22" s="33">
        <f>$M$21</f>
        <v>0.02</v>
      </c>
      <c r="O22" s="33">
        <f>$O$21</f>
        <v>0.15</v>
      </c>
      <c r="Q22" s="33">
        <f>$Q$21</f>
        <v>0.4</v>
      </c>
      <c r="S22" s="33">
        <f>$S$21</f>
        <v>0.15</v>
      </c>
      <c r="U22" s="33">
        <f>$U$21</f>
        <v>0.18</v>
      </c>
    </row>
    <row r="23" ht="18.75" customHeight="1" spans="3:21" x14ac:dyDescent="0.25">
      <c r="C23" s="5" t="s">
        <v>62</v>
      </c>
      <c r="D23" s="29"/>
      <c r="E23" s="29"/>
      <c r="F23" s="30"/>
      <c r="G23" s="31">
        <v>2</v>
      </c>
      <c r="I23" s="31"/>
      <c r="K23" s="33">
        <f t="shared" ref="K23:K27" si="6">$K$21</f>
        <v>-0.08</v>
      </c>
      <c r="M23" s="33">
        <f t="shared" ref="M23:M27" si="7">$M$21</f>
        <v>0.02</v>
      </c>
      <c r="O23" s="33">
        <f t="shared" ref="O23:O27" si="8">$O$21</f>
        <v>0.15</v>
      </c>
      <c r="Q23" s="33">
        <f t="shared" ref="Q23:Q27" si="9">$Q$21</f>
        <v>0.4</v>
      </c>
      <c r="S23" s="33">
        <f t="shared" ref="S23:S27" si="10">$S$21</f>
        <v>0.15</v>
      </c>
      <c r="U23" s="33">
        <f t="shared" ref="U23:U27" si="11">$U$21</f>
        <v>0.18</v>
      </c>
    </row>
    <row r="24" ht="18.75" customHeight="1" spans="3:21" x14ac:dyDescent="0.25">
      <c r="C24" s="5" t="s">
        <v>63</v>
      </c>
      <c r="D24" s="29"/>
      <c r="E24" s="29"/>
      <c r="F24" s="30"/>
      <c r="G24" s="31">
        <v>1</v>
      </c>
      <c r="I24" s="31"/>
      <c r="K24" s="33">
        <f t="shared" si="6"/>
        <v>-0.08</v>
      </c>
      <c r="M24" s="33">
        <f t="shared" si="7"/>
        <v>0.02</v>
      </c>
      <c r="O24" s="33">
        <f t="shared" si="8"/>
        <v>0.15</v>
      </c>
      <c r="Q24" s="33">
        <f t="shared" si="9"/>
        <v>0.4</v>
      </c>
      <c r="S24" s="33">
        <f t="shared" si="10"/>
        <v>0.15</v>
      </c>
      <c r="U24" s="33">
        <f t="shared" si="11"/>
        <v>0.18</v>
      </c>
    </row>
    <row r="25" ht="18.75" customHeight="1" spans="3:21" x14ac:dyDescent="0.25">
      <c r="C25" s="5" t="s">
        <v>64</v>
      </c>
      <c r="D25" s="29"/>
      <c r="E25" s="27"/>
      <c r="F25" s="30"/>
      <c r="G25" s="31"/>
      <c r="I25" s="31"/>
      <c r="K25" s="33">
        <f t="shared" si="6"/>
        <v>-0.08</v>
      </c>
      <c r="M25" s="33">
        <f t="shared" si="7"/>
        <v>0.02</v>
      </c>
      <c r="O25" s="33">
        <f t="shared" si="8"/>
        <v>0.15</v>
      </c>
      <c r="Q25" s="33">
        <f t="shared" si="9"/>
        <v>0.4</v>
      </c>
      <c r="S25" s="33">
        <f t="shared" si="10"/>
        <v>0.15</v>
      </c>
      <c r="U25" s="33">
        <f t="shared" si="11"/>
        <v>0.18</v>
      </c>
    </row>
    <row r="26" ht="18.75" customHeight="1" spans="3:21" x14ac:dyDescent="0.25">
      <c r="C26" s="5" t="s">
        <v>119</v>
      </c>
      <c r="D26" s="29"/>
      <c r="E26" s="27"/>
      <c r="F26" s="30"/>
      <c r="G26" s="31"/>
      <c r="I26" s="31"/>
      <c r="K26" s="33">
        <f t="shared" si="6"/>
        <v>-0.08</v>
      </c>
      <c r="M26" s="33">
        <f t="shared" si="7"/>
        <v>0.02</v>
      </c>
      <c r="O26" s="33">
        <f t="shared" si="8"/>
        <v>0.15</v>
      </c>
      <c r="Q26" s="33">
        <f t="shared" si="9"/>
        <v>0.4</v>
      </c>
      <c r="S26" s="33">
        <f t="shared" si="10"/>
        <v>0.15</v>
      </c>
      <c r="U26" s="33">
        <f t="shared" si="11"/>
        <v>0.18</v>
      </c>
    </row>
    <row r="27" ht="18.75" customHeight="1" spans="3:21" x14ac:dyDescent="0.25">
      <c r="C27" s="5" t="s">
        <v>120</v>
      </c>
      <c r="D27" s="29"/>
      <c r="E27" s="29"/>
      <c r="F27" s="30"/>
      <c r="G27" s="31"/>
      <c r="I27" s="31"/>
      <c r="K27" s="33">
        <f t="shared" si="6"/>
        <v>-0.08</v>
      </c>
      <c r="M27" s="33">
        <f t="shared" si="7"/>
        <v>0.02</v>
      </c>
      <c r="O27" s="33">
        <f t="shared" si="8"/>
        <v>0.15</v>
      </c>
      <c r="Q27" s="33">
        <f t="shared" si="9"/>
        <v>0.4</v>
      </c>
      <c r="S27" s="33">
        <f t="shared" si="10"/>
        <v>0.15</v>
      </c>
      <c r="U27" s="33">
        <f t="shared" si="11"/>
        <v>0.18</v>
      </c>
    </row>
    <row r="28" ht="18.75" customHeight="1" spans="3:6" x14ac:dyDescent="0.25">
      <c r="C28" s="34" t="s">
        <v>58</v>
      </c>
      <c r="D28" s="34"/>
      <c r="E28" s="34"/>
      <c r="F28" s="30"/>
    </row>
    <row r="29" ht="9.75" customHeight="1" spans="3:6" x14ac:dyDescent="0.25">
      <c r="C29" s="9"/>
      <c r="D29" s="30"/>
      <c r="E29" s="30"/>
      <c r="F29" s="30"/>
    </row>
    <row r="30" ht="18.75" customHeight="1" spans="3:6" x14ac:dyDescent="0.25">
      <c r="C30" s="9"/>
      <c r="D30" s="30"/>
      <c r="E30" s="28"/>
      <c r="F30" s="28"/>
    </row>
    <row r="31" ht="18.75" customHeight="1" spans="3:21" x14ac:dyDescent="0.25">
      <c r="C31" s="5">
        <v>3</v>
      </c>
      <c r="D31" s="26" t="s">
        <v>121</v>
      </c>
      <c r="E31" s="27"/>
      <c r="F31" s="28"/>
    </row>
    <row r="32" ht="18.75" customHeight="1" spans="3:21" x14ac:dyDescent="0.25">
      <c r="C32" s="5" t="s">
        <v>65</v>
      </c>
      <c r="D32" s="29"/>
      <c r="E32" s="26" t="s">
        <v>122</v>
      </c>
      <c r="F32" s="30"/>
      <c r="G32" s="31">
        <v>1</v>
      </c>
      <c r="I32" s="31"/>
      <c r="K32" s="32"/>
      <c r="M32" s="32"/>
      <c r="O32" s="32"/>
      <c r="Q32" s="32"/>
      <c r="S32" s="32"/>
      <c r="U32" s="32"/>
    </row>
    <row r="33" ht="18.75" customHeight="1" spans="3:21" x14ac:dyDescent="0.25">
      <c r="C33" s="5" t="s">
        <v>66</v>
      </c>
      <c r="D33" s="29"/>
      <c r="E33" s="26" t="s">
        <v>123</v>
      </c>
      <c r="F33" s="30"/>
      <c r="G33" s="31">
        <v>1</v>
      </c>
      <c r="I33" s="31"/>
      <c r="K33" s="33">
        <f>$K$32</f>
        <v>-0.08</v>
      </c>
      <c r="M33" s="33">
        <f>$M$32</f>
        <v>0.05</v>
      </c>
      <c r="O33" s="33">
        <f>$O$32</f>
        <v>0.35</v>
      </c>
      <c r="Q33" s="33">
        <f>$Q$32</f>
        <v>0.35</v>
      </c>
      <c r="S33" s="33">
        <f>$S$32</f>
        <v>0.3</v>
      </c>
      <c r="U33" s="33">
        <f>$U$32</f>
        <v>0.3</v>
      </c>
    </row>
    <row r="34" ht="18.75" customHeight="1" spans="3:21" x14ac:dyDescent="0.25">
      <c r="C34" s="5" t="s">
        <v>67</v>
      </c>
      <c r="D34" s="29"/>
      <c r="E34" s="26" t="s">
        <v>124</v>
      </c>
      <c r="F34" s="30"/>
      <c r="G34" s="31"/>
      <c r="I34" s="31"/>
      <c r="K34" s="33">
        <f t="shared" ref="K34:K40" si="12">$K$32</f>
        <v>-0.08</v>
      </c>
      <c r="M34" s="33">
        <f t="shared" ref="M34:M40" si="13">$M$32</f>
        <v>0.05</v>
      </c>
      <c r="O34" s="33">
        <f t="shared" ref="O34:O40" si="14">$O$32</f>
        <v>0.35</v>
      </c>
      <c r="Q34" s="33">
        <f t="shared" ref="Q34:Q40" si="15">$Q$32</f>
        <v>0.35</v>
      </c>
      <c r="S34" s="33">
        <f t="shared" ref="S34:S40" si="16">$S$32</f>
        <v>0.3</v>
      </c>
      <c r="U34" s="33">
        <f t="shared" ref="U34:U40" si="17">$U$32</f>
        <v>0.3</v>
      </c>
    </row>
    <row r="35" ht="18.75" customHeight="1" spans="3:21" x14ac:dyDescent="0.25">
      <c r="C35" s="5" t="s">
        <v>68</v>
      </c>
      <c r="D35" s="29"/>
      <c r="E35" s="26" t="s">
        <v>125</v>
      </c>
      <c r="F35" s="30"/>
      <c r="G35" s="31">
        <v>1</v>
      </c>
      <c r="I35" s="31">
        <f>1500000/12</f>
        <v>125000</v>
      </c>
      <c r="K35" s="33">
        <f t="shared" si="12"/>
        <v>-0.08</v>
      </c>
      <c r="M35" s="33">
        <f t="shared" si="13"/>
        <v>0.05</v>
      </c>
      <c r="O35" s="33">
        <f t="shared" si="14"/>
        <v>0.35</v>
      </c>
      <c r="Q35" s="33">
        <f t="shared" si="15"/>
        <v>0.35</v>
      </c>
      <c r="S35" s="33">
        <f t="shared" si="16"/>
        <v>0.3</v>
      </c>
      <c r="U35" s="33">
        <f t="shared" si="17"/>
        <v>0.3</v>
      </c>
    </row>
    <row r="36" ht="18.75" customHeight="1" spans="3:21" x14ac:dyDescent="0.25">
      <c r="C36" s="5" t="s">
        <v>69</v>
      </c>
      <c r="D36" s="29"/>
      <c r="E36" s="29"/>
      <c r="F36" s="30"/>
      <c r="G36" s="31"/>
      <c r="I36" s="31"/>
      <c r="K36" s="33">
        <f t="shared" si="12"/>
        <v>-0.08</v>
      </c>
      <c r="M36" s="33">
        <f t="shared" si="13"/>
        <v>0.05</v>
      </c>
      <c r="O36" s="33">
        <f t="shared" si="14"/>
        <v>0.35</v>
      </c>
      <c r="Q36" s="33">
        <f t="shared" si="15"/>
        <v>0.35</v>
      </c>
      <c r="S36" s="33">
        <f t="shared" si="16"/>
        <v>0.3</v>
      </c>
      <c r="U36" s="33">
        <f t="shared" si="17"/>
        <v>0.3</v>
      </c>
    </row>
    <row r="37" ht="18.75" customHeight="1" spans="3:21" x14ac:dyDescent="0.25">
      <c r="C37" s="5" t="s">
        <v>126</v>
      </c>
      <c r="D37" s="29"/>
      <c r="E37" s="29"/>
      <c r="F37" s="30"/>
      <c r="G37" s="31"/>
      <c r="I37" s="31"/>
      <c r="K37" s="33">
        <f t="shared" si="12"/>
        <v>-0.08</v>
      </c>
      <c r="M37" s="33">
        <f t="shared" si="13"/>
        <v>0.05</v>
      </c>
      <c r="O37" s="33">
        <f t="shared" si="14"/>
        <v>0.35</v>
      </c>
      <c r="Q37" s="33">
        <f t="shared" si="15"/>
        <v>0.35</v>
      </c>
      <c r="S37" s="33">
        <f t="shared" si="16"/>
        <v>0.3</v>
      </c>
      <c r="U37" s="33">
        <f t="shared" si="17"/>
        <v>0.3</v>
      </c>
    </row>
    <row r="38" ht="18.75" customHeight="1" spans="3:21" x14ac:dyDescent="0.25">
      <c r="C38" s="5" t="s">
        <v>127</v>
      </c>
      <c r="D38" s="29"/>
      <c r="E38" s="29"/>
      <c r="F38" s="30"/>
      <c r="G38" s="31">
        <v>5</v>
      </c>
      <c r="I38" s="31"/>
      <c r="K38" s="33">
        <f t="shared" si="12"/>
        <v>-0.08</v>
      </c>
      <c r="M38" s="33">
        <f t="shared" si="13"/>
        <v>0.05</v>
      </c>
      <c r="O38" s="33">
        <f t="shared" si="14"/>
        <v>0.35</v>
      </c>
      <c r="Q38" s="33">
        <f t="shared" si="15"/>
        <v>0.35</v>
      </c>
      <c r="S38" s="33">
        <f t="shared" si="16"/>
        <v>0.3</v>
      </c>
      <c r="U38" s="33">
        <f t="shared" si="17"/>
        <v>0.3</v>
      </c>
    </row>
    <row r="39" ht="18.75" customHeight="1" spans="3:21" x14ac:dyDescent="0.25">
      <c r="C39" s="5" t="s">
        <v>128</v>
      </c>
      <c r="D39" s="29"/>
      <c r="E39" s="29"/>
      <c r="F39" s="30"/>
      <c r="G39" s="31">
        <v>5</v>
      </c>
      <c r="I39" s="31"/>
      <c r="K39" s="33">
        <f t="shared" si="12"/>
        <v>-0.08</v>
      </c>
      <c r="M39" s="33">
        <f t="shared" si="13"/>
        <v>0.05</v>
      </c>
      <c r="O39" s="33">
        <f t="shared" si="14"/>
        <v>0.35</v>
      </c>
      <c r="Q39" s="33">
        <f t="shared" si="15"/>
        <v>0.35</v>
      </c>
      <c r="S39" s="33">
        <f t="shared" si="16"/>
        <v>0.3</v>
      </c>
      <c r="U39" s="33">
        <f t="shared" si="17"/>
        <v>0.3</v>
      </c>
    </row>
    <row r="40" ht="18.75" customHeight="1" spans="3:21" x14ac:dyDescent="0.25">
      <c r="C40" s="5" t="s">
        <v>129</v>
      </c>
      <c r="D40" s="29"/>
      <c r="E40" s="29"/>
      <c r="F40" s="30"/>
      <c r="G40" s="31"/>
      <c r="I40" s="31"/>
      <c r="K40" s="33">
        <f t="shared" si="12"/>
        <v>-0.08</v>
      </c>
      <c r="M40" s="33">
        <f t="shared" si="13"/>
        <v>0.05</v>
      </c>
      <c r="O40" s="33">
        <f t="shared" si="14"/>
        <v>0.35</v>
      </c>
      <c r="Q40" s="33">
        <f t="shared" si="15"/>
        <v>0.35</v>
      </c>
      <c r="S40" s="33">
        <f t="shared" si="16"/>
        <v>0.3</v>
      </c>
      <c r="U40" s="33">
        <f t="shared" si="17"/>
        <v>0.3</v>
      </c>
    </row>
    <row r="41" ht="18.75" customHeight="1" spans="3:21" x14ac:dyDescent="0.25">
      <c r="C41" s="34" t="s">
        <v>58</v>
      </c>
      <c r="D41" s="34"/>
      <c r="E41" s="34"/>
      <c r="F41" s="30"/>
    </row>
    <row r="42" ht="9.75" customHeight="1" spans="3:21" x14ac:dyDescent="0.25">
      <c r="C42" s="9"/>
      <c r="D42" s="30"/>
      <c r="E42" s="30"/>
      <c r="F42" s="30"/>
    </row>
    <row r="43" ht="18.75" customHeight="1" spans="3:21" x14ac:dyDescent="0.25">
      <c r="C43" s="9"/>
      <c r="D43" s="30"/>
      <c r="E43" s="28"/>
      <c r="F43" s="28"/>
      <c r="G43" s="42"/>
    </row>
    <row r="44" ht="18.75" customHeight="1" spans="3:21" x14ac:dyDescent="0.25">
      <c r="C44" s="5">
        <v>4</v>
      </c>
      <c r="D44" s="26" t="s">
        <v>130</v>
      </c>
      <c r="E44" s="27"/>
      <c r="F44" s="28"/>
    </row>
    <row r="45" ht="18.75" customHeight="1" spans="3:21" x14ac:dyDescent="0.25">
      <c r="C45" s="5" t="s">
        <v>70</v>
      </c>
      <c r="D45" s="27"/>
      <c r="E45" s="39" t="s">
        <v>131</v>
      </c>
      <c r="F45" s="30"/>
      <c r="G45" s="31"/>
      <c r="I45" s="31">
        <v>400000</v>
      </c>
      <c r="K45" s="32">
        <v>-0.5</v>
      </c>
      <c r="M45" s="32">
        <v>0.15</v>
      </c>
      <c r="O45" s="32">
        <v>0.1</v>
      </c>
      <c r="Q45" s="32">
        <v>0.9</v>
      </c>
      <c r="S45" s="32">
        <v>0.35</v>
      </c>
      <c r="U45" s="32">
        <v>0.6</v>
      </c>
    </row>
    <row r="46" ht="18.75" customHeight="1" spans="3:21" x14ac:dyDescent="0.25">
      <c r="C46" s="5" t="s">
        <v>71</v>
      </c>
      <c r="D46" s="27"/>
      <c r="E46" s="39" t="s">
        <v>132</v>
      </c>
      <c r="F46" s="30"/>
      <c r="G46" s="31"/>
      <c r="I46" s="31">
        <v>120000</v>
      </c>
      <c r="K46" s="33">
        <f>$K$45</f>
        <v>-0.5</v>
      </c>
      <c r="M46" s="33">
        <f>$M$45</f>
        <v>0.15</v>
      </c>
      <c r="O46" s="33">
        <f>$O$45</f>
        <v>0.1</v>
      </c>
      <c r="Q46" s="33">
        <f>$Q$45</f>
        <v>0.9</v>
      </c>
      <c r="S46" s="33">
        <f>$S$45</f>
        <v>0.35</v>
      </c>
      <c r="U46" s="33">
        <f>$U$45</f>
        <v>0.6</v>
      </c>
    </row>
    <row r="47" ht="18.75" customHeight="1" spans="3:21" x14ac:dyDescent="0.25">
      <c r="C47" s="5" t="s">
        <v>72</v>
      </c>
      <c r="D47" s="27"/>
      <c r="E47" s="39" t="s">
        <v>133</v>
      </c>
      <c r="F47" s="30"/>
      <c r="G47" s="31"/>
      <c r="I47" s="31">
        <v>120000</v>
      </c>
      <c r="K47" s="33">
        <f t="shared" ref="K47:K53" si="18">$K$45</f>
        <v>-0.5</v>
      </c>
      <c r="M47" s="33">
        <f t="shared" ref="M47:M53" si="19">$M$45</f>
        <v>0.15</v>
      </c>
      <c r="O47" s="33">
        <f t="shared" ref="O47:O53" si="20">$O$45</f>
        <v>0.1</v>
      </c>
      <c r="Q47" s="33">
        <f t="shared" ref="Q47:Q53" si="21">$Q$45</f>
        <v>0.9</v>
      </c>
      <c r="S47" s="33">
        <f t="shared" ref="S47:S53" si="22">$S$45</f>
        <v>0.35</v>
      </c>
      <c r="U47" s="33">
        <f t="shared" ref="U47:U53" si="23">$U$45</f>
        <v>0.6</v>
      </c>
    </row>
    <row r="48" ht="18.75" customHeight="1" spans="3:21" x14ac:dyDescent="0.25">
      <c r="C48" s="5" t="s">
        <v>73</v>
      </c>
      <c r="D48" s="27"/>
      <c r="E48" s="27"/>
      <c r="F48" s="30"/>
      <c r="G48" s="31"/>
      <c r="I48" s="31"/>
      <c r="K48" s="33">
        <f t="shared" si="18"/>
        <v>-0.5</v>
      </c>
      <c r="M48" s="33">
        <f t="shared" si="19"/>
        <v>0.15</v>
      </c>
      <c r="O48" s="33">
        <f t="shared" si="20"/>
        <v>0.1</v>
      </c>
      <c r="Q48" s="33">
        <f t="shared" si="21"/>
        <v>0.9</v>
      </c>
      <c r="S48" s="33">
        <f t="shared" si="22"/>
        <v>0.35</v>
      </c>
      <c r="U48" s="33">
        <f t="shared" si="23"/>
        <v>0.6</v>
      </c>
    </row>
    <row r="49" ht="18.75" customHeight="1" spans="3:21" x14ac:dyDescent="0.25">
      <c r="C49" s="5" t="s">
        <v>74</v>
      </c>
      <c r="D49" s="27"/>
      <c r="E49" s="27"/>
      <c r="F49" s="30"/>
      <c r="G49" s="31"/>
      <c r="I49" s="31"/>
      <c r="K49" s="33">
        <f t="shared" si="18"/>
        <v>-0.5</v>
      </c>
      <c r="M49" s="33">
        <f t="shared" si="19"/>
        <v>0.15</v>
      </c>
      <c r="O49" s="33">
        <f t="shared" si="20"/>
        <v>0.1</v>
      </c>
      <c r="Q49" s="33">
        <f t="shared" si="21"/>
        <v>0.9</v>
      </c>
      <c r="S49" s="33">
        <f t="shared" si="22"/>
        <v>0.35</v>
      </c>
      <c r="U49" s="33">
        <f t="shared" si="23"/>
        <v>0.6</v>
      </c>
    </row>
    <row r="50" ht="18.75" customHeight="1" spans="3:21" x14ac:dyDescent="0.25">
      <c r="C50" s="5" t="s">
        <v>134</v>
      </c>
      <c r="D50" s="27"/>
      <c r="E50" s="29"/>
      <c r="F50" s="30"/>
      <c r="G50" s="31"/>
      <c r="I50" s="31"/>
      <c r="K50" s="33">
        <f t="shared" si="18"/>
        <v>-0.5</v>
      </c>
      <c r="M50" s="33">
        <f t="shared" si="19"/>
        <v>0.15</v>
      </c>
      <c r="O50" s="33">
        <f t="shared" si="20"/>
        <v>0.1</v>
      </c>
      <c r="Q50" s="33">
        <f t="shared" si="21"/>
        <v>0.9</v>
      </c>
      <c r="S50" s="33">
        <f t="shared" si="22"/>
        <v>0.35</v>
      </c>
      <c r="U50" s="33">
        <f t="shared" si="23"/>
        <v>0.6</v>
      </c>
    </row>
    <row r="51" ht="18.75" customHeight="1" spans="3:21" x14ac:dyDescent="0.25">
      <c r="C51" s="5" t="s">
        <v>135</v>
      </c>
      <c r="D51" s="27"/>
      <c r="E51" s="29"/>
      <c r="F51" s="30"/>
      <c r="G51" s="31"/>
      <c r="I51" s="31"/>
      <c r="K51" s="33">
        <f t="shared" si="18"/>
        <v>-0.5</v>
      </c>
      <c r="M51" s="33">
        <f t="shared" si="19"/>
        <v>0.15</v>
      </c>
      <c r="O51" s="33">
        <f t="shared" si="20"/>
        <v>0.1</v>
      </c>
      <c r="Q51" s="33">
        <f t="shared" si="21"/>
        <v>0.9</v>
      </c>
      <c r="S51" s="33">
        <f t="shared" si="22"/>
        <v>0.35</v>
      </c>
      <c r="U51" s="33">
        <f t="shared" si="23"/>
        <v>0.6</v>
      </c>
    </row>
    <row r="52" ht="18.75" customHeight="1" spans="3:21" x14ac:dyDescent="0.25">
      <c r="C52" s="5" t="s">
        <v>136</v>
      </c>
      <c r="D52" s="27"/>
      <c r="E52" s="27"/>
      <c r="F52" s="30"/>
      <c r="G52" s="31"/>
      <c r="I52" s="31"/>
      <c r="K52" s="33">
        <f t="shared" si="18"/>
        <v>-0.5</v>
      </c>
      <c r="M52" s="33">
        <f t="shared" si="19"/>
        <v>0.15</v>
      </c>
      <c r="O52" s="33">
        <f t="shared" si="20"/>
        <v>0.1</v>
      </c>
      <c r="Q52" s="33">
        <f t="shared" si="21"/>
        <v>0.9</v>
      </c>
      <c r="S52" s="33">
        <f t="shared" si="22"/>
        <v>0.35</v>
      </c>
      <c r="U52" s="33">
        <f t="shared" si="23"/>
        <v>0.6</v>
      </c>
    </row>
    <row r="53" ht="18.75" customHeight="1" spans="3:21" x14ac:dyDescent="0.25">
      <c r="C53" s="5" t="s">
        <v>137</v>
      </c>
      <c r="D53" s="27"/>
      <c r="E53" s="29"/>
      <c r="G53" s="31"/>
      <c r="I53" s="31"/>
      <c r="K53" s="33">
        <f t="shared" si="18"/>
        <v>-0.5</v>
      </c>
      <c r="M53" s="33">
        <f t="shared" si="19"/>
        <v>0.15</v>
      </c>
      <c r="O53" s="33">
        <f t="shared" si="20"/>
        <v>0.1</v>
      </c>
      <c r="Q53" s="33">
        <f t="shared" si="21"/>
        <v>0.9</v>
      </c>
      <c r="S53" s="33">
        <f t="shared" si="22"/>
        <v>0.35</v>
      </c>
      <c r="U53" s="33">
        <f t="shared" si="23"/>
        <v>0.6</v>
      </c>
    </row>
    <row r="54" ht="18.75" customHeight="1" spans="3:6" x14ac:dyDescent="0.25">
      <c r="C54" s="34" t="s">
        <v>58</v>
      </c>
      <c r="D54" s="34"/>
      <c r="E54" s="34"/>
      <c r="F54" s="30"/>
    </row>
    <row r="55" ht="9.75" customHeight="1" spans="3:6" x14ac:dyDescent="0.25">
      <c r="C55" s="9"/>
      <c r="D55" s="28"/>
      <c r="E55" s="30"/>
      <c r="F55" s="30"/>
    </row>
    <row r="56" ht="18.75" customHeight="1" spans="3:6" x14ac:dyDescent="0.25">
      <c r="C56" s="9"/>
      <c r="D56" s="28"/>
      <c r="E56" s="28"/>
      <c r="F56" s="28"/>
    </row>
    <row r="57" ht="18.75" customHeight="1" spans="3:6" x14ac:dyDescent="0.25">
      <c r="C57" s="5">
        <v>5</v>
      </c>
      <c r="D57" s="39" t="s">
        <v>138</v>
      </c>
      <c r="E57" s="27"/>
      <c r="F57" s="28"/>
    </row>
    <row r="58" ht="18.75" customHeight="1" spans="3:21" x14ac:dyDescent="0.25">
      <c r="C58" s="5" t="s">
        <v>75</v>
      </c>
      <c r="D58" s="27"/>
      <c r="E58" s="26" t="s">
        <v>139</v>
      </c>
      <c r="F58" s="30"/>
      <c r="G58" s="31"/>
      <c r="I58" s="31">
        <f>400000/12</f>
        <v>33333.333333333336</v>
      </c>
      <c r="K58" s="32"/>
      <c r="M58" s="32"/>
      <c r="O58" s="32"/>
      <c r="Q58" s="32"/>
      <c r="S58" s="32"/>
      <c r="U58" s="32"/>
    </row>
    <row r="59" ht="18.75" customHeight="1" spans="3:21" x14ac:dyDescent="0.25">
      <c r="C59" s="5" t="s">
        <v>76</v>
      </c>
      <c r="D59" s="27"/>
      <c r="E59" s="26" t="s">
        <v>140</v>
      </c>
      <c r="F59" s="30"/>
      <c r="G59" s="31"/>
      <c r="I59" s="31"/>
      <c r="K59" s="33">
        <f>$K$58</f>
        <v>-0.35</v>
      </c>
      <c r="M59" s="33">
        <f>$M$58</f>
        <v>0.02</v>
      </c>
      <c r="O59" s="33">
        <f>$O$58</f>
        <v>1.25</v>
      </c>
      <c r="Q59" s="33">
        <f>$Q$58</f>
        <v>4.5</v>
      </c>
      <c r="S59" s="33">
        <f>$S$58</f>
        <v>0.7</v>
      </c>
      <c r="U59" s="33">
        <f>$U$58</f>
        <v>0.5</v>
      </c>
    </row>
    <row r="60" ht="18.75" customHeight="1" spans="3:21" x14ac:dyDescent="0.25">
      <c r="C60" s="5" t="s">
        <v>77</v>
      </c>
      <c r="D60" s="27"/>
      <c r="E60" s="26" t="s">
        <v>141</v>
      </c>
      <c r="F60" s="30"/>
      <c r="G60" s="31"/>
      <c r="I60" s="31"/>
      <c r="K60" s="33">
        <f>$K$58</f>
        <v>-0.35</v>
      </c>
      <c r="M60" s="33">
        <f>$M$58</f>
        <v>0.02</v>
      </c>
      <c r="O60" s="33">
        <f>$O$58</f>
        <v>1.25</v>
      </c>
      <c r="Q60" s="33">
        <f>$Q$58</f>
        <v>4.5</v>
      </c>
      <c r="S60" s="33">
        <f>$S$58</f>
        <v>0.7</v>
      </c>
      <c r="U60" s="33">
        <f>$U$58</f>
        <v>0.5</v>
      </c>
    </row>
    <row r="61" ht="18.75" customHeight="1" spans="3:21" x14ac:dyDescent="0.25">
      <c r="C61" s="5" t="s">
        <v>78</v>
      </c>
      <c r="D61" s="27"/>
      <c r="E61" s="26" t="s">
        <v>142</v>
      </c>
      <c r="F61" s="30"/>
      <c r="G61" s="31"/>
      <c r="I61" s="31"/>
      <c r="K61" s="33">
        <f t="shared" ref="K61:K64" si="24">$K$58</f>
        <v>-0.35</v>
      </c>
      <c r="M61" s="33">
        <f t="shared" ref="M61:M64" si="25">$M$58</f>
        <v>0.02</v>
      </c>
      <c r="O61" s="33">
        <f t="shared" ref="O61:O64" si="26">$O$58</f>
        <v>1.25</v>
      </c>
      <c r="Q61" s="33">
        <f t="shared" ref="Q61:Q64" si="27">$Q$58</f>
        <v>4.5</v>
      </c>
      <c r="S61" s="33">
        <f t="shared" ref="S61:S64" si="28">$S$58</f>
        <v>0.7</v>
      </c>
      <c r="U61" s="33">
        <f t="shared" ref="U61:U64" si="29">$U$58</f>
        <v>0.5</v>
      </c>
    </row>
    <row r="62" ht="18.75" customHeight="1" spans="3:21" x14ac:dyDescent="0.25">
      <c r="C62" s="5" t="s">
        <v>79</v>
      </c>
      <c r="D62" s="27"/>
      <c r="E62" s="26" t="s">
        <v>143</v>
      </c>
      <c r="F62" s="30"/>
      <c r="G62" s="31"/>
      <c r="I62" s="31"/>
      <c r="K62" s="33">
        <f t="shared" si="24"/>
        <v>-0.35</v>
      </c>
      <c r="M62" s="33">
        <f t="shared" si="25"/>
        <v>0.02</v>
      </c>
      <c r="O62" s="33">
        <f t="shared" si="26"/>
        <v>1.25</v>
      </c>
      <c r="Q62" s="33">
        <f t="shared" si="27"/>
        <v>4.5</v>
      </c>
      <c r="S62" s="33">
        <f t="shared" si="28"/>
        <v>0.7</v>
      </c>
      <c r="U62" s="33">
        <f t="shared" si="29"/>
        <v>0.5</v>
      </c>
    </row>
    <row r="63" ht="18.75" customHeight="1" spans="3:21" x14ac:dyDescent="0.25">
      <c r="C63" s="5" t="s">
        <v>144</v>
      </c>
      <c r="D63" s="27"/>
      <c r="E63" s="26" t="s">
        <v>145</v>
      </c>
      <c r="F63" s="30"/>
      <c r="G63" s="31"/>
      <c r="I63" s="31"/>
      <c r="K63" s="33">
        <f t="shared" si="24"/>
        <v>-0.35</v>
      </c>
      <c r="M63" s="33">
        <f t="shared" si="25"/>
        <v>0.02</v>
      </c>
      <c r="O63" s="33">
        <f t="shared" si="26"/>
        <v>1.25</v>
      </c>
      <c r="Q63" s="33">
        <f t="shared" si="27"/>
        <v>4.5</v>
      </c>
      <c r="S63" s="33">
        <f t="shared" si="28"/>
        <v>0.7</v>
      </c>
      <c r="U63" s="33">
        <f t="shared" si="29"/>
        <v>0.5</v>
      </c>
    </row>
    <row r="64" ht="18.75" customHeight="1" spans="3:21" x14ac:dyDescent="0.25">
      <c r="C64" s="5" t="s">
        <v>146</v>
      </c>
      <c r="D64" s="27"/>
      <c r="E64" s="29"/>
      <c r="F64" s="30"/>
      <c r="G64" s="31"/>
      <c r="I64" s="31"/>
      <c r="K64" s="33">
        <f t="shared" si="24"/>
        <v>-0.35</v>
      </c>
      <c r="M64" s="33">
        <f t="shared" si="25"/>
        <v>0.02</v>
      </c>
      <c r="O64" s="33">
        <f t="shared" si="26"/>
        <v>1.25</v>
      </c>
      <c r="Q64" s="33">
        <f t="shared" si="27"/>
        <v>4.5</v>
      </c>
      <c r="S64" s="33">
        <f t="shared" si="28"/>
        <v>0.7</v>
      </c>
      <c r="U64" s="33">
        <f t="shared" si="29"/>
        <v>0.5</v>
      </c>
    </row>
    <row r="65" ht="18.75" customHeight="1" spans="3:6" x14ac:dyDescent="0.25">
      <c r="C65" s="34" t="s">
        <v>58</v>
      </c>
      <c r="D65" s="34"/>
      <c r="E65" s="34"/>
      <c r="F65" s="30"/>
    </row>
    <row r="66" ht="9.75" customHeight="1" spans="3:21" x14ac:dyDescent="0.25">
      <c r="C66" s="34"/>
      <c r="D66" s="34"/>
      <c r="E66" s="34"/>
      <c r="F66" s="30"/>
    </row>
    <row r="67" ht="18.75" customHeight="1" spans="3:21" x14ac:dyDescent="0.25">
      <c r="C67" s="34"/>
      <c r="D67" s="34"/>
      <c r="E67" s="34"/>
      <c r="F67" s="30"/>
    </row>
    <row r="68" ht="18.75" customHeight="1" spans="3:21" x14ac:dyDescent="0.25">
      <c r="C68" s="5">
        <v>6</v>
      </c>
      <c r="D68" s="27"/>
      <c r="E68" s="27"/>
      <c r="F68" s="30"/>
    </row>
    <row r="69" ht="18.75" customHeight="1" spans="3:21" x14ac:dyDescent="0.25">
      <c r="C69" s="5" t="s">
        <v>147</v>
      </c>
      <c r="D69" s="27"/>
      <c r="E69" s="29"/>
      <c r="F69" s="30"/>
      <c r="G69" s="31"/>
      <c r="I69" s="31"/>
      <c r="K69" s="32"/>
      <c r="M69" s="32"/>
      <c r="O69" s="32"/>
      <c r="Q69" s="32"/>
      <c r="S69" s="32"/>
      <c r="U69" s="32"/>
    </row>
    <row r="70" ht="18.75" customHeight="1" spans="3:21" x14ac:dyDescent="0.25">
      <c r="C70" s="5" t="s">
        <v>148</v>
      </c>
      <c r="D70" s="27"/>
      <c r="E70" s="29"/>
      <c r="F70" s="30"/>
      <c r="G70" s="31"/>
      <c r="I70" s="31"/>
      <c r="K70" s="33">
        <f t="shared" ref="K70:K78" si="30">$K$69</f>
        <v>0</v>
      </c>
      <c r="M70" s="33">
        <f t="shared" ref="M70:M78" si="31">$M$69</f>
        <v>0</v>
      </c>
      <c r="O70" s="33">
        <f t="shared" ref="O70:O78" si="32">$O$69</f>
        <v>0</v>
      </c>
      <c r="Q70" s="33">
        <f t="shared" ref="Q70:Q78" si="33">$Q$69</f>
        <v>0</v>
      </c>
      <c r="S70" s="33">
        <f t="shared" ref="S70:S78" si="34">$S$69</f>
        <v>0</v>
      </c>
      <c r="U70" s="33">
        <f t="shared" ref="U70:U78" si="35">$U$69</f>
        <v>0</v>
      </c>
    </row>
    <row r="71" ht="18.75" customHeight="1" spans="3:21" x14ac:dyDescent="0.25">
      <c r="C71" s="5" t="s">
        <v>149</v>
      </c>
      <c r="D71" s="27"/>
      <c r="E71" s="29"/>
      <c r="F71" s="30"/>
      <c r="G71" s="31"/>
      <c r="I71" s="31"/>
      <c r="K71" s="33">
        <f t="shared" si="30"/>
        <v>0</v>
      </c>
      <c r="M71" s="33">
        <f t="shared" si="31"/>
        <v>0</v>
      </c>
      <c r="O71" s="33">
        <f t="shared" si="32"/>
        <v>0</v>
      </c>
      <c r="Q71" s="33">
        <f t="shared" si="33"/>
        <v>0</v>
      </c>
      <c r="S71" s="33">
        <f t="shared" si="34"/>
        <v>0</v>
      </c>
      <c r="U71" s="33">
        <f t="shared" si="35"/>
        <v>0</v>
      </c>
    </row>
    <row r="72" ht="18.75" customHeight="1" spans="3:21" x14ac:dyDescent="0.25">
      <c r="C72" s="5" t="s">
        <v>150</v>
      </c>
      <c r="D72" s="27"/>
      <c r="E72" s="29"/>
      <c r="G72" s="31"/>
      <c r="I72" s="31"/>
      <c r="K72" s="33">
        <f t="shared" si="30"/>
        <v>0</v>
      </c>
      <c r="M72" s="33">
        <f t="shared" si="31"/>
        <v>0</v>
      </c>
      <c r="O72" s="33">
        <f t="shared" si="32"/>
        <v>0</v>
      </c>
      <c r="Q72" s="33">
        <f t="shared" si="33"/>
        <v>0</v>
      </c>
      <c r="S72" s="33">
        <f t="shared" si="34"/>
        <v>0</v>
      </c>
      <c r="U72" s="33">
        <f t="shared" si="35"/>
        <v>0</v>
      </c>
    </row>
    <row r="73" ht="18.75" customHeight="1" spans="3:21" x14ac:dyDescent="0.25">
      <c r="C73" s="5" t="s">
        <v>151</v>
      </c>
      <c r="D73" s="27"/>
      <c r="E73" s="29"/>
      <c r="G73" s="31"/>
      <c r="I73" s="31"/>
      <c r="K73" s="33">
        <f t="shared" si="30"/>
        <v>0</v>
      </c>
      <c r="M73" s="33">
        <f t="shared" si="31"/>
        <v>0</v>
      </c>
      <c r="O73" s="33">
        <f t="shared" si="32"/>
        <v>0</v>
      </c>
      <c r="Q73" s="33">
        <f t="shared" si="33"/>
        <v>0</v>
      </c>
      <c r="S73" s="33">
        <f t="shared" si="34"/>
        <v>0</v>
      </c>
      <c r="U73" s="33">
        <f t="shared" si="35"/>
        <v>0</v>
      </c>
    </row>
    <row r="74" ht="18.75" customHeight="1" spans="3:21" x14ac:dyDescent="0.25">
      <c r="C74" s="5" t="s">
        <v>152</v>
      </c>
      <c r="D74" s="27"/>
      <c r="E74" s="29"/>
      <c r="G74" s="31"/>
      <c r="I74" s="31"/>
      <c r="K74" s="33">
        <f t="shared" si="30"/>
        <v>0</v>
      </c>
      <c r="M74" s="33">
        <f t="shared" si="31"/>
        <v>0</v>
      </c>
      <c r="O74" s="33">
        <f t="shared" si="32"/>
        <v>0</v>
      </c>
      <c r="Q74" s="33">
        <f t="shared" si="33"/>
        <v>0</v>
      </c>
      <c r="S74" s="33">
        <f t="shared" si="34"/>
        <v>0</v>
      </c>
      <c r="U74" s="33">
        <f t="shared" si="35"/>
        <v>0</v>
      </c>
    </row>
    <row r="75" ht="18.75" customHeight="1" spans="3:21" x14ac:dyDescent="0.25">
      <c r="C75" s="5" t="s">
        <v>153</v>
      </c>
      <c r="D75" s="27"/>
      <c r="E75" s="29"/>
      <c r="G75" s="31"/>
      <c r="I75" s="31"/>
      <c r="K75" s="33">
        <f t="shared" si="30"/>
        <v>0</v>
      </c>
      <c r="M75" s="33">
        <f t="shared" si="31"/>
        <v>0</v>
      </c>
      <c r="O75" s="33">
        <f t="shared" si="32"/>
        <v>0</v>
      </c>
      <c r="Q75" s="33">
        <f t="shared" si="33"/>
        <v>0</v>
      </c>
      <c r="S75" s="33">
        <f t="shared" si="34"/>
        <v>0</v>
      </c>
      <c r="U75" s="33">
        <f t="shared" si="35"/>
        <v>0</v>
      </c>
    </row>
    <row r="76" ht="18.75" customHeight="1" spans="3:21" x14ac:dyDescent="0.25">
      <c r="C76" s="5" t="s">
        <v>154</v>
      </c>
      <c r="D76" s="27"/>
      <c r="E76" s="29"/>
      <c r="G76" s="31"/>
      <c r="I76" s="31"/>
      <c r="K76" s="33">
        <f t="shared" si="30"/>
        <v>0</v>
      </c>
      <c r="M76" s="33">
        <f t="shared" si="31"/>
        <v>0</v>
      </c>
      <c r="O76" s="33">
        <f t="shared" si="32"/>
        <v>0</v>
      </c>
      <c r="Q76" s="33">
        <f t="shared" si="33"/>
        <v>0</v>
      </c>
      <c r="S76" s="33">
        <f t="shared" si="34"/>
        <v>0</v>
      </c>
      <c r="U76" s="33">
        <f t="shared" si="35"/>
        <v>0</v>
      </c>
    </row>
    <row r="77" ht="18.75" customHeight="1" spans="3:21" x14ac:dyDescent="0.25">
      <c r="C77" s="5" t="s">
        <v>155</v>
      </c>
      <c r="D77" s="27"/>
      <c r="E77" s="29"/>
      <c r="G77" s="31"/>
      <c r="I77" s="31"/>
      <c r="K77" s="33">
        <f t="shared" si="30"/>
        <v>0</v>
      </c>
      <c r="M77" s="33">
        <f t="shared" si="31"/>
        <v>0</v>
      </c>
      <c r="O77" s="33">
        <f t="shared" si="32"/>
        <v>0</v>
      </c>
      <c r="Q77" s="33">
        <f t="shared" si="33"/>
        <v>0</v>
      </c>
      <c r="S77" s="33">
        <f t="shared" si="34"/>
        <v>0</v>
      </c>
      <c r="U77" s="33">
        <f t="shared" si="35"/>
        <v>0</v>
      </c>
    </row>
    <row r="78" ht="18.75" customHeight="1" spans="3:21" x14ac:dyDescent="0.25">
      <c r="C78" s="5" t="s">
        <v>156</v>
      </c>
      <c r="D78" s="27"/>
      <c r="E78" s="29"/>
      <c r="G78" s="31"/>
      <c r="I78" s="31"/>
      <c r="K78" s="33">
        <f t="shared" si="30"/>
        <v>0</v>
      </c>
      <c r="M78" s="33">
        <f t="shared" si="31"/>
        <v>0</v>
      </c>
      <c r="O78" s="33">
        <f t="shared" si="32"/>
        <v>0</v>
      </c>
      <c r="Q78" s="33">
        <f t="shared" si="33"/>
        <v>0</v>
      </c>
      <c r="S78" s="33">
        <f t="shared" si="34"/>
        <v>0</v>
      </c>
      <c r="U78" s="33">
        <f t="shared" si="35"/>
        <v>0</v>
      </c>
    </row>
    <row r="79" ht="18.75" customHeight="1" spans="3:21" x14ac:dyDescent="0.25">
      <c r="C79" s="5" t="s">
        <v>157</v>
      </c>
      <c r="D79" s="27"/>
      <c r="E79" s="43"/>
      <c r="G79" s="31"/>
      <c r="I79" s="31"/>
      <c r="K79" s="33">
        <f t="shared" ref="K79:K86" si="36">$K$69</f>
        <v>0</v>
      </c>
      <c r="M79" s="33">
        <f t="shared" ref="M79:M86" si="37">$M$69</f>
        <v>0</v>
      </c>
      <c r="O79" s="33">
        <f t="shared" ref="O79:O86" si="38">$O$69</f>
        <v>0</v>
      </c>
      <c r="Q79" s="33">
        <f t="shared" ref="Q79:Q86" si="39">$Q$69</f>
        <v>0</v>
      </c>
      <c r="S79" s="33">
        <f t="shared" ref="S79:S86" si="40">$S$69</f>
        <v>0</v>
      </c>
      <c r="U79" s="33">
        <f t="shared" ref="U79:U86" si="41">$U$69</f>
        <v>0</v>
      </c>
    </row>
    <row r="80" ht="18.75" customHeight="1" spans="3:21" x14ac:dyDescent="0.25">
      <c r="C80" s="5" t="s">
        <v>158</v>
      </c>
      <c r="D80" s="27"/>
      <c r="E80" s="43"/>
      <c r="G80" s="31"/>
      <c r="I80" s="31"/>
      <c r="K80" s="33">
        <f t="shared" si="36"/>
        <v>0</v>
      </c>
      <c r="M80" s="33">
        <f t="shared" si="37"/>
        <v>0</v>
      </c>
      <c r="O80" s="33">
        <f t="shared" si="38"/>
        <v>0</v>
      </c>
      <c r="Q80" s="33">
        <f t="shared" si="39"/>
        <v>0</v>
      </c>
      <c r="S80" s="33">
        <f t="shared" si="40"/>
        <v>0</v>
      </c>
      <c r="U80" s="33">
        <f t="shared" si="41"/>
        <v>0</v>
      </c>
    </row>
    <row r="81" ht="18.75" customHeight="1" spans="3:21" x14ac:dyDescent="0.25">
      <c r="C81" s="5" t="s">
        <v>159</v>
      </c>
      <c r="D81" s="27"/>
      <c r="E81" s="43"/>
      <c r="G81" s="31"/>
      <c r="I81" s="31"/>
      <c r="K81" s="33">
        <f t="shared" si="36"/>
        <v>0</v>
      </c>
      <c r="M81" s="33">
        <f t="shared" si="37"/>
        <v>0</v>
      </c>
      <c r="O81" s="33">
        <f t="shared" si="38"/>
        <v>0</v>
      </c>
      <c r="Q81" s="33">
        <f t="shared" si="39"/>
        <v>0</v>
      </c>
      <c r="S81" s="33">
        <f t="shared" si="40"/>
        <v>0</v>
      </c>
      <c r="U81" s="33">
        <f t="shared" si="41"/>
        <v>0</v>
      </c>
    </row>
    <row r="82" ht="18.75" customHeight="1" spans="3:21" x14ac:dyDescent="0.25">
      <c r="C82" s="5" t="s">
        <v>160</v>
      </c>
      <c r="D82" s="27"/>
      <c r="E82" s="43"/>
      <c r="G82" s="31"/>
      <c r="I82" s="31"/>
      <c r="K82" s="33">
        <f t="shared" si="36"/>
        <v>0</v>
      </c>
      <c r="M82" s="33">
        <f t="shared" si="37"/>
        <v>0</v>
      </c>
      <c r="O82" s="33">
        <f t="shared" si="38"/>
        <v>0</v>
      </c>
      <c r="Q82" s="33">
        <f t="shared" si="39"/>
        <v>0</v>
      </c>
      <c r="S82" s="33">
        <f t="shared" si="40"/>
        <v>0</v>
      </c>
      <c r="U82" s="33">
        <f t="shared" si="41"/>
        <v>0</v>
      </c>
    </row>
    <row r="83" ht="18.75" customHeight="1" spans="3:21" x14ac:dyDescent="0.25">
      <c r="C83" s="5" t="s">
        <v>161</v>
      </c>
      <c r="D83" s="27"/>
      <c r="E83" s="43"/>
      <c r="G83" s="31"/>
      <c r="I83" s="31"/>
      <c r="K83" s="33">
        <f t="shared" si="36"/>
        <v>0</v>
      </c>
      <c r="M83" s="33">
        <f t="shared" si="37"/>
        <v>0</v>
      </c>
      <c r="O83" s="33">
        <f t="shared" si="38"/>
        <v>0</v>
      </c>
      <c r="Q83" s="33">
        <f t="shared" si="39"/>
        <v>0</v>
      </c>
      <c r="S83" s="33">
        <f t="shared" si="40"/>
        <v>0</v>
      </c>
      <c r="U83" s="33">
        <f t="shared" si="41"/>
        <v>0</v>
      </c>
    </row>
    <row r="84" ht="18.75" customHeight="1" spans="3:21" x14ac:dyDescent="0.25">
      <c r="C84" s="5" t="s">
        <v>162</v>
      </c>
      <c r="D84" s="27"/>
      <c r="E84" s="43"/>
      <c r="G84" s="31"/>
      <c r="I84" s="31"/>
      <c r="K84" s="33">
        <f t="shared" si="36"/>
        <v>0</v>
      </c>
      <c r="M84" s="33">
        <f t="shared" si="37"/>
        <v>0</v>
      </c>
      <c r="O84" s="33">
        <f t="shared" si="38"/>
        <v>0</v>
      </c>
      <c r="Q84" s="33">
        <f t="shared" si="39"/>
        <v>0</v>
      </c>
      <c r="S84" s="33">
        <f t="shared" si="40"/>
        <v>0</v>
      </c>
      <c r="U84" s="33">
        <f t="shared" si="41"/>
        <v>0</v>
      </c>
    </row>
    <row r="85" ht="18.75" customHeight="1" spans="3:21" x14ac:dyDescent="0.25">
      <c r="C85" s="5" t="s">
        <v>163</v>
      </c>
      <c r="D85" s="27"/>
      <c r="E85" s="43"/>
      <c r="G85" s="31"/>
      <c r="I85" s="31"/>
      <c r="K85" s="33">
        <f t="shared" si="36"/>
        <v>0</v>
      </c>
      <c r="M85" s="33">
        <f t="shared" si="37"/>
        <v>0</v>
      </c>
      <c r="O85" s="33">
        <f t="shared" si="38"/>
        <v>0</v>
      </c>
      <c r="Q85" s="33">
        <f t="shared" si="39"/>
        <v>0</v>
      </c>
      <c r="S85" s="33">
        <f t="shared" si="40"/>
        <v>0</v>
      </c>
      <c r="U85" s="33">
        <f t="shared" si="41"/>
        <v>0</v>
      </c>
    </row>
    <row r="86" ht="18.75" customHeight="1" spans="3:21" x14ac:dyDescent="0.25">
      <c r="C86" s="5" t="s">
        <v>164</v>
      </c>
      <c r="D86" s="27"/>
      <c r="E86" s="29"/>
      <c r="G86" s="31"/>
      <c r="I86" s="31"/>
      <c r="K86" s="33">
        <f t="shared" si="36"/>
        <v>0</v>
      </c>
      <c r="M86" s="33">
        <f t="shared" si="37"/>
        <v>0</v>
      </c>
      <c r="O86" s="33">
        <f t="shared" si="38"/>
        <v>0</v>
      </c>
      <c r="Q86" s="33">
        <f t="shared" si="39"/>
        <v>0</v>
      </c>
      <c r="S86" s="33">
        <f t="shared" si="40"/>
        <v>0</v>
      </c>
      <c r="U86" s="33">
        <f t="shared" si="41"/>
        <v>0</v>
      </c>
    </row>
    <row r="87" ht="15" customHeight="1" spans="3:6" x14ac:dyDescent="0.25">
      <c r="C87" s="34" t="s">
        <v>58</v>
      </c>
      <c r="D87" s="34"/>
      <c r="E87" s="34"/>
      <c r="F87" s="34"/>
    </row>
    <row r="88" ht="8.25" customHeight="1" spans="3:6" x14ac:dyDescent="0.25">
      <c r="C88" s="34"/>
      <c r="D88" s="34"/>
      <c r="E88" s="34"/>
      <c r="F88" s="34"/>
    </row>
    <row r="89" ht="18.75" customHeight="1" spans="3:5" x14ac:dyDescent="0.25">
      <c r="C89" s="9"/>
      <c r="D89" s="28"/>
      <c r="E89" s="30"/>
    </row>
    <row r="90" ht="18.75" customHeight="1" spans="3:5" x14ac:dyDescent="0.25">
      <c r="C90" s="5">
        <v>7</v>
      </c>
      <c r="D90" s="27"/>
      <c r="E90" s="27"/>
    </row>
    <row r="91" ht="18.75" customHeight="1" spans="3:21" s="9" customFormat="1" x14ac:dyDescent="0.25">
      <c r="C91" s="5" t="s">
        <v>165</v>
      </c>
      <c r="D91" s="27"/>
      <c r="E91" s="29"/>
      <c r="I91" s="31"/>
      <c r="K91" s="32">
        <v>0</v>
      </c>
      <c r="M91" s="32">
        <v>0</v>
      </c>
      <c r="O91" s="32">
        <v>0</v>
      </c>
      <c r="Q91" s="32">
        <v>0</v>
      </c>
      <c r="S91" s="32">
        <v>0</v>
      </c>
      <c r="U91" s="32">
        <v>0</v>
      </c>
    </row>
    <row r="92" ht="18.75" customHeight="1" spans="3:21" x14ac:dyDescent="0.25">
      <c r="C92" s="5" t="s">
        <v>166</v>
      </c>
      <c r="D92" s="27"/>
      <c r="E92" s="29"/>
      <c r="I92" s="31"/>
      <c r="K92" s="33">
        <f>$K$91</f>
        <v>0</v>
      </c>
      <c r="M92" s="33">
        <f>$M$91</f>
        <v>0</v>
      </c>
      <c r="O92" s="33">
        <f>$O$91</f>
        <v>0</v>
      </c>
      <c r="Q92" s="33">
        <f>$Q$91</f>
        <v>0</v>
      </c>
      <c r="S92" s="33">
        <f>$S$91</f>
        <v>0</v>
      </c>
      <c r="U92" s="33">
        <f>$U$91</f>
        <v>0</v>
      </c>
    </row>
    <row r="93" ht="18.75" customHeight="1" spans="3:21" x14ac:dyDescent="0.25">
      <c r="C93" s="5" t="s">
        <v>167</v>
      </c>
      <c r="D93" s="27"/>
      <c r="E93" s="29"/>
      <c r="I93" s="31"/>
      <c r="K93" s="33">
        <f t="shared" ref="K93:K95" si="42">$K$91</f>
        <v>0</v>
      </c>
      <c r="M93" s="33">
        <f t="shared" ref="M93:M95" si="43">$M$91</f>
        <v>0</v>
      </c>
      <c r="O93" s="33">
        <f t="shared" ref="O93:O95" si="44">$O$91</f>
        <v>0</v>
      </c>
      <c r="Q93" s="33">
        <f t="shared" ref="Q93:Q95" si="45">$Q$91</f>
        <v>0</v>
      </c>
      <c r="S93" s="33">
        <f t="shared" ref="S93:S95" si="46">$S$91</f>
        <v>0</v>
      </c>
      <c r="U93" s="33">
        <f t="shared" ref="U93:U95" si="47">$U$91</f>
        <v>0</v>
      </c>
    </row>
    <row r="94" ht="18.75" customHeight="1" spans="3:21" x14ac:dyDescent="0.25">
      <c r="C94" s="5" t="s">
        <v>168</v>
      </c>
      <c r="D94" s="27"/>
      <c r="E94" s="29"/>
      <c r="I94" s="31"/>
      <c r="K94" s="33">
        <f t="shared" si="42"/>
        <v>0</v>
      </c>
      <c r="M94" s="33">
        <f t="shared" si="43"/>
        <v>0</v>
      </c>
      <c r="O94" s="33">
        <f t="shared" si="44"/>
        <v>0</v>
      </c>
      <c r="Q94" s="33">
        <f t="shared" si="45"/>
        <v>0</v>
      </c>
      <c r="S94" s="33">
        <f t="shared" si="46"/>
        <v>0</v>
      </c>
      <c r="U94" s="33">
        <f t="shared" si="47"/>
        <v>0</v>
      </c>
    </row>
    <row r="95" ht="18.75" customHeight="1" spans="3:21" x14ac:dyDescent="0.25">
      <c r="C95" s="5" t="s">
        <v>169</v>
      </c>
      <c r="D95" s="27"/>
      <c r="E95" s="29"/>
      <c r="I95" s="31"/>
      <c r="K95" s="33">
        <f t="shared" si="42"/>
        <v>0</v>
      </c>
      <c r="M95" s="33">
        <f t="shared" si="43"/>
        <v>0</v>
      </c>
      <c r="O95" s="33">
        <f t="shared" si="44"/>
        <v>0</v>
      </c>
      <c r="Q95" s="33">
        <f t="shared" si="45"/>
        <v>0</v>
      </c>
      <c r="S95" s="33">
        <f t="shared" si="46"/>
        <v>0</v>
      </c>
      <c r="U95" s="33">
        <f t="shared" si="47"/>
        <v>0</v>
      </c>
    </row>
    <row r="96" spans="3:5" x14ac:dyDescent="0.25">
      <c r="C96" s="34" t="s">
        <v>58</v>
      </c>
      <c r="D96" s="34"/>
      <c r="E96" s="34"/>
    </row>
    <row r="97" ht="9" customHeight="1" spans="3:5" x14ac:dyDescent="0.25">
      <c r="C97" s="34"/>
      <c r="D97" s="34"/>
      <c r="E97" s="34"/>
    </row>
    <row r="98" ht="18" customHeight="1" x14ac:dyDescent="0.25"/>
    <row r="99" ht="18.75" customHeight="1" spans="3:5" x14ac:dyDescent="0.25">
      <c r="C99" s="5">
        <v>8</v>
      </c>
      <c r="D99" s="27"/>
      <c r="E99" s="27"/>
    </row>
    <row r="100" ht="18.75" customHeight="1" spans="3:21" x14ac:dyDescent="0.25">
      <c r="C100" s="5" t="s">
        <v>170</v>
      </c>
      <c r="D100" s="27"/>
      <c r="E100" s="29"/>
      <c r="I100" s="31"/>
      <c r="K100" s="32">
        <v>0</v>
      </c>
      <c r="M100" s="32">
        <v>0</v>
      </c>
      <c r="O100" s="32">
        <v>0</v>
      </c>
      <c r="Q100" s="32">
        <v>0</v>
      </c>
      <c r="S100" s="32">
        <v>0</v>
      </c>
      <c r="U100" s="32">
        <v>0</v>
      </c>
    </row>
    <row r="101" ht="18.75" customHeight="1" spans="3:21" x14ac:dyDescent="0.25">
      <c r="C101" s="5" t="s">
        <v>171</v>
      </c>
      <c r="D101" s="27"/>
      <c r="E101" s="29"/>
      <c r="I101" s="31"/>
      <c r="K101" s="33">
        <f>$K$100</f>
        <v>0</v>
      </c>
      <c r="M101" s="33">
        <f>$M$100</f>
        <v>0</v>
      </c>
      <c r="O101" s="33">
        <f>$O$100</f>
        <v>0</v>
      </c>
      <c r="Q101" s="33">
        <f>$Q$100</f>
        <v>0</v>
      </c>
      <c r="S101" s="33">
        <f>$S$100</f>
        <v>0</v>
      </c>
      <c r="U101" s="33">
        <f>$U$100</f>
        <v>0</v>
      </c>
    </row>
    <row r="102" ht="18.75" customHeight="1" spans="3:21" x14ac:dyDescent="0.25">
      <c r="C102" s="5" t="s">
        <v>172</v>
      </c>
      <c r="D102" s="27"/>
      <c r="E102" s="29"/>
      <c r="I102" s="31"/>
      <c r="K102" s="33">
        <f t="shared" ref="K102:K106" si="48">$K$100</f>
        <v>0</v>
      </c>
      <c r="M102" s="33">
        <f t="shared" ref="M102:M106" si="49">$M$100</f>
        <v>0</v>
      </c>
      <c r="O102" s="33">
        <f t="shared" ref="O102:O106" si="50">$O$100</f>
        <v>0</v>
      </c>
      <c r="Q102" s="33">
        <f t="shared" ref="Q102:Q106" si="51">$Q$100</f>
        <v>0</v>
      </c>
      <c r="S102" s="33">
        <f t="shared" ref="S102:S106" si="52">$S$100</f>
        <v>0</v>
      </c>
      <c r="U102" s="33">
        <f t="shared" ref="U102:U106" si="53">$U$100</f>
        <v>0</v>
      </c>
    </row>
    <row r="103" ht="18.75" customHeight="1" spans="3:21" x14ac:dyDescent="0.25">
      <c r="C103" s="5" t="s">
        <v>173</v>
      </c>
      <c r="D103" s="27"/>
      <c r="E103" s="29"/>
      <c r="F103" s="30"/>
      <c r="G103" s="31"/>
      <c r="I103" s="31"/>
      <c r="K103" s="33">
        <f t="shared" si="48"/>
        <v>0</v>
      </c>
      <c r="M103" s="33">
        <f t="shared" si="49"/>
        <v>0</v>
      </c>
      <c r="O103" s="33">
        <f t="shared" si="50"/>
        <v>0</v>
      </c>
      <c r="Q103" s="33">
        <f t="shared" si="51"/>
        <v>0</v>
      </c>
      <c r="S103" s="33">
        <f t="shared" si="52"/>
        <v>0</v>
      </c>
      <c r="U103" s="33">
        <f t="shared" si="53"/>
        <v>0</v>
      </c>
    </row>
    <row r="104" ht="18.75" customHeight="1" spans="3:21" x14ac:dyDescent="0.25">
      <c r="C104" s="5" t="s">
        <v>174</v>
      </c>
      <c r="D104" s="27"/>
      <c r="E104" s="29"/>
      <c r="F104" s="30"/>
      <c r="G104" s="31"/>
      <c r="I104" s="31"/>
      <c r="K104" s="33">
        <f t="shared" si="48"/>
        <v>0</v>
      </c>
      <c r="M104" s="33">
        <f t="shared" si="49"/>
        <v>0</v>
      </c>
      <c r="O104" s="33">
        <f t="shared" si="50"/>
        <v>0</v>
      </c>
      <c r="Q104" s="33">
        <f t="shared" si="51"/>
        <v>0</v>
      </c>
      <c r="S104" s="33">
        <f t="shared" si="52"/>
        <v>0</v>
      </c>
      <c r="U104" s="33">
        <f t="shared" si="53"/>
        <v>0</v>
      </c>
    </row>
    <row r="105" ht="18.75" customHeight="1" spans="3:21" x14ac:dyDescent="0.25">
      <c r="C105" s="5" t="s">
        <v>175</v>
      </c>
      <c r="D105" s="27"/>
      <c r="E105" s="29"/>
      <c r="F105" s="30"/>
      <c r="G105" s="31"/>
      <c r="I105" s="31"/>
      <c r="K105" s="33">
        <f t="shared" si="48"/>
        <v>0</v>
      </c>
      <c r="M105" s="33">
        <f t="shared" si="49"/>
        <v>0</v>
      </c>
      <c r="O105" s="33">
        <f t="shared" si="50"/>
        <v>0</v>
      </c>
      <c r="Q105" s="33">
        <f t="shared" si="51"/>
        <v>0</v>
      </c>
      <c r="S105" s="33">
        <f t="shared" si="52"/>
        <v>0</v>
      </c>
      <c r="U105" s="33">
        <f t="shared" si="53"/>
        <v>0</v>
      </c>
    </row>
    <row r="106" ht="18.75" customHeight="1" spans="3:21" x14ac:dyDescent="0.25">
      <c r="C106" s="5" t="s">
        <v>176</v>
      </c>
      <c r="D106" s="27"/>
      <c r="E106" s="29"/>
      <c r="F106" s="30"/>
      <c r="G106" s="31"/>
      <c r="I106" s="31"/>
      <c r="K106" s="33">
        <f t="shared" si="48"/>
        <v>0</v>
      </c>
      <c r="M106" s="33">
        <f t="shared" si="49"/>
        <v>0</v>
      </c>
      <c r="O106" s="33">
        <f t="shared" si="50"/>
        <v>0</v>
      </c>
      <c r="Q106" s="33">
        <f t="shared" si="51"/>
        <v>0</v>
      </c>
      <c r="S106" s="33">
        <f t="shared" si="52"/>
        <v>0</v>
      </c>
      <c r="U106" s="33">
        <f t="shared" si="53"/>
        <v>0</v>
      </c>
    </row>
  </sheetData>
  <mergeCells count="7">
    <mergeCell ref="C17:E17"/>
    <mergeCell ref="C28:E28"/>
    <mergeCell ref="C41:E41"/>
    <mergeCell ref="C54:E54"/>
    <mergeCell ref="C65:E65"/>
    <mergeCell ref="C87:E87"/>
    <mergeCell ref="C96:E96"/>
  </mergeCells>
  <pageMargins left="0.7" right="0.7" top="0.75" bottom="0.75" header="0.3" footer="0.3"/>
  <legacy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B2:J42"/>
  <sheetViews>
    <sheetView workbookViewId="0" showGridLines="0" zoomScale="100" zoomScaleNormal="100">
      <selection activeCell="D8" sqref="D8"/>
    </sheetView>
  </sheetViews>
  <sheetFormatPr defaultRowHeight="15" outlineLevelRow="0" outlineLevelCol="0" x14ac:dyDescent="0"/>
  <cols>
    <col min="3" max="3" width="34.28515625" customWidth="1"/>
    <col min="4" max="4" width="29.7109375" customWidth="1"/>
    <col min="5" max="5" width="35.7109375" customWidth="1"/>
    <col min="6" max="6" width="20.28515625" customWidth="1"/>
    <col min="7" max="7" width="22.7109375" customWidth="1"/>
    <col min="8" max="8" width="25" customWidth="1"/>
    <col min="9" max="9" width="22.7109375" customWidth="1"/>
    <col min="10" max="10" width="18.28515625" customWidth="1"/>
  </cols>
  <sheetData>
    <row r="2" ht="18.75" customHeight="1" spans="2:10" x14ac:dyDescent="0.25">
      <c r="B2" s="44" t="s">
        <v>177</v>
      </c>
      <c r="C2" s="44" t="s">
        <v>178</v>
      </c>
      <c r="D2" s="44" t="s">
        <v>179</v>
      </c>
      <c r="E2" s="45" t="s">
        <v>180</v>
      </c>
      <c r="F2" s="45"/>
      <c r="G2" s="45"/>
      <c r="H2" s="45"/>
      <c r="I2" s="45"/>
      <c r="J2" s="45"/>
    </row>
    <row r="3" spans="2:10" s="9" customFormat="1" x14ac:dyDescent="0.25">
      <c r="B3" s="44"/>
      <c r="C3" s="44"/>
      <c r="D3" s="44"/>
      <c r="E3" s="44" t="s">
        <v>181</v>
      </c>
      <c r="F3" s="46"/>
      <c r="G3" s="19" t="s">
        <v>182</v>
      </c>
      <c r="H3" s="19" t="s">
        <v>183</v>
      </c>
      <c r="I3" s="19" t="s">
        <v>184</v>
      </c>
      <c r="J3" s="19" t="s">
        <v>185</v>
      </c>
    </row>
    <row r="4" spans="2:10" x14ac:dyDescent="0.25">
      <c r="B4" s="44"/>
      <c r="C4" s="44"/>
      <c r="D4" s="44"/>
      <c r="E4" s="47" t="s">
        <v>186</v>
      </c>
      <c r="F4" s="48" t="s">
        <v>187</v>
      </c>
      <c r="G4" s="49" t="s">
        <v>188</v>
      </c>
      <c r="H4" s="49" t="s">
        <v>189</v>
      </c>
      <c r="I4" s="49" t="s">
        <v>190</v>
      </c>
      <c r="J4" s="49" t="s">
        <v>191</v>
      </c>
    </row>
    <row r="7" spans="2:10" s="9" customFormat="1" x14ac:dyDescent="0.25">
      <c r="B7" s="5">
        <v>1</v>
      </c>
      <c r="C7" s="50" t="s">
        <v>192</v>
      </c>
      <c r="D7" s="51">
        <f>SUM(F7:J7)</f>
        <v>0</v>
      </c>
      <c r="E7" s="52"/>
      <c r="F7" s="53">
        <f>SUM(E7:E7)</f>
        <v>0</v>
      </c>
      <c r="G7" s="52"/>
      <c r="H7" s="50"/>
      <c r="I7" s="50"/>
      <c r="J7" s="50"/>
    </row>
    <row r="8" spans="2:10" x14ac:dyDescent="0.25">
      <c r="B8" s="11"/>
      <c r="C8" s="2" t="s">
        <v>193</v>
      </c>
      <c r="D8" s="51">
        <f t="shared" ref="D8:D9" si="0">SUM(F8:J8)</f>
        <v>0</v>
      </c>
      <c r="E8" s="51"/>
      <c r="F8" s="53">
        <f>SUM(E8:E8)</f>
        <v>0</v>
      </c>
      <c r="G8" s="51"/>
      <c r="H8" s="2"/>
      <c r="I8" s="2"/>
      <c r="J8" s="2"/>
    </row>
    <row r="9" spans="2:10" x14ac:dyDescent="0.25">
      <c r="B9" s="11"/>
      <c r="C9" s="2" t="s">
        <v>194</v>
      </c>
      <c r="D9" s="51">
        <f t="shared" si="0"/>
        <v>0</v>
      </c>
      <c r="E9" s="51"/>
      <c r="F9" s="53">
        <f>SUM(E9:E9)</f>
        <v>0</v>
      </c>
      <c r="G9" s="51"/>
      <c r="H9" s="2"/>
      <c r="I9" s="2"/>
      <c r="J9" s="2"/>
    </row>
    <row r="10" spans="2:10" x14ac:dyDescent="0.25">
      <c r="B10" s="11"/>
      <c r="C10" s="2" t="s">
        <v>195</v>
      </c>
      <c r="D10" s="51"/>
      <c r="E10" s="51"/>
      <c r="F10" s="53"/>
      <c r="G10" s="51"/>
      <c r="H10" s="2"/>
      <c r="I10" s="2"/>
      <c r="J10" s="2"/>
    </row>
    <row r="11" spans="2:10" x14ac:dyDescent="0.25">
      <c r="B11" s="11"/>
      <c r="C11" s="2" t="s">
        <v>196</v>
      </c>
      <c r="D11" s="51"/>
      <c r="E11" s="51"/>
      <c r="F11" s="53"/>
      <c r="G11" s="51"/>
      <c r="H11" s="2"/>
      <c r="I11" s="2"/>
      <c r="J11" s="2"/>
    </row>
    <row r="12" spans="2:10" x14ac:dyDescent="0.25">
      <c r="B12" s="11"/>
      <c r="C12" s="2" t="s">
        <v>197</v>
      </c>
      <c r="D12" s="51"/>
      <c r="E12" s="51"/>
      <c r="F12" s="53"/>
      <c r="G12" s="51"/>
      <c r="H12" s="2"/>
      <c r="I12" s="2"/>
      <c r="J12" s="2"/>
    </row>
    <row r="13" spans="4:7" x14ac:dyDescent="0.25">
      <c r="D13" s="54"/>
      <c r="E13" s="54"/>
      <c r="F13" s="54"/>
      <c r="G13" s="54"/>
    </row>
    <row r="14" spans="2:10" x14ac:dyDescent="0.25">
      <c r="B14" s="5">
        <v>2</v>
      </c>
      <c r="C14" s="50"/>
      <c r="D14" s="51"/>
      <c r="E14" s="51"/>
      <c r="F14" s="55"/>
      <c r="G14" s="51"/>
      <c r="H14" s="2"/>
      <c r="I14" s="2"/>
      <c r="J14" s="2"/>
    </row>
    <row r="15" spans="2:10" x14ac:dyDescent="0.25">
      <c r="B15" s="11"/>
      <c r="C15" s="2"/>
      <c r="D15" s="51">
        <f t="shared" ref="D15:D16" si="1">SUM(F15:J15)</f>
        <v>0</v>
      </c>
      <c r="E15" s="51"/>
      <c r="F15" s="53">
        <f>SUM(E15:E15)</f>
        <v>0</v>
      </c>
      <c r="G15" s="51"/>
      <c r="H15" s="2"/>
      <c r="I15" s="2"/>
      <c r="J15" s="2"/>
    </row>
    <row r="16" spans="2:10" x14ac:dyDescent="0.25">
      <c r="B16" s="11"/>
      <c r="C16" s="2"/>
      <c r="D16" s="51">
        <f t="shared" si="1"/>
        <v>0</v>
      </c>
      <c r="E16" s="51"/>
      <c r="F16" s="53">
        <f>SUM(E16:E16)</f>
        <v>0</v>
      </c>
      <c r="G16" s="51"/>
      <c r="H16" s="2"/>
      <c r="I16" s="2"/>
      <c r="J16" s="2"/>
    </row>
    <row r="17" spans="4:7" x14ac:dyDescent="0.25">
      <c r="D17" s="54"/>
      <c r="E17" s="54"/>
      <c r="F17" s="54"/>
      <c r="G17" s="54"/>
    </row>
    <row r="18" spans="2:10" s="9" customFormat="1" x14ac:dyDescent="0.25">
      <c r="B18" s="5">
        <v>3</v>
      </c>
      <c r="C18" s="50"/>
      <c r="D18" s="51">
        <v>0</v>
      </c>
      <c r="E18" s="52"/>
      <c r="F18" s="53">
        <v>0</v>
      </c>
      <c r="G18" s="52"/>
      <c r="H18" s="50"/>
      <c r="I18" s="50"/>
      <c r="J18" s="50"/>
    </row>
    <row r="19" spans="2:10" x14ac:dyDescent="0.25">
      <c r="B19" s="11"/>
      <c r="C19" s="2"/>
      <c r="D19" s="51">
        <v>0</v>
      </c>
      <c r="E19" s="51"/>
      <c r="F19" s="55"/>
      <c r="G19" s="51"/>
      <c r="H19" s="2"/>
      <c r="I19" s="2"/>
      <c r="J19" s="2"/>
    </row>
    <row r="20" spans="2:10" x14ac:dyDescent="0.25">
      <c r="B20" s="11"/>
      <c r="C20" s="2"/>
      <c r="D20" s="51">
        <v>0</v>
      </c>
      <c r="E20" s="51"/>
      <c r="F20" s="55"/>
      <c r="G20" s="51"/>
      <c r="H20" s="2"/>
      <c r="I20" s="2"/>
      <c r="J20" s="2"/>
    </row>
    <row r="21" spans="2:10" x14ac:dyDescent="0.25">
      <c r="B21" s="11"/>
      <c r="C21" s="2"/>
      <c r="D21" s="51">
        <v>0</v>
      </c>
      <c r="E21" s="51"/>
      <c r="F21" s="55"/>
      <c r="G21" s="51"/>
      <c r="H21" s="2"/>
      <c r="I21" s="2"/>
      <c r="J21" s="2"/>
    </row>
    <row r="22" spans="2:10" x14ac:dyDescent="0.25">
      <c r="B22" s="11"/>
      <c r="C22" s="2"/>
      <c r="D22" s="51"/>
      <c r="E22" s="51"/>
      <c r="F22" s="55"/>
      <c r="G22" s="51"/>
      <c r="H22" s="2"/>
      <c r="I22" s="2"/>
      <c r="J22" s="2"/>
    </row>
    <row r="23" spans="4:7" x14ac:dyDescent="0.25">
      <c r="D23" s="54"/>
      <c r="E23" s="54"/>
      <c r="F23" s="54"/>
      <c r="G23" s="54"/>
    </row>
    <row r="24" spans="2:10" s="9" customFormat="1" x14ac:dyDescent="0.25">
      <c r="B24" s="5">
        <v>4</v>
      </c>
      <c r="C24" s="50"/>
      <c r="D24" s="51"/>
      <c r="E24" s="52"/>
      <c r="F24" s="53"/>
      <c r="G24" s="52"/>
      <c r="H24" s="50"/>
      <c r="I24" s="50"/>
      <c r="J24" s="50"/>
    </row>
    <row r="25" spans="2:10" x14ac:dyDescent="0.25">
      <c r="B25" s="11"/>
      <c r="C25" s="56"/>
      <c r="D25" s="51">
        <v>0</v>
      </c>
      <c r="E25" s="51"/>
      <c r="F25" s="55">
        <v>0</v>
      </c>
      <c r="G25" s="51"/>
      <c r="H25" s="2"/>
      <c r="I25" s="2"/>
      <c r="J25" s="2"/>
    </row>
    <row r="26" spans="4:7" x14ac:dyDescent="0.25">
      <c r="D26" s="54"/>
      <c r="E26" s="54"/>
      <c r="F26" s="54"/>
      <c r="G26" s="54"/>
    </row>
    <row r="27" spans="2:10" x14ac:dyDescent="0.25">
      <c r="B27" s="5">
        <v>5</v>
      </c>
      <c r="C27" s="50"/>
      <c r="D27" s="51">
        <v>0</v>
      </c>
      <c r="E27" s="51"/>
      <c r="F27" s="55">
        <v>0</v>
      </c>
      <c r="G27" s="51"/>
      <c r="H27" s="2"/>
      <c r="I27" s="2"/>
      <c r="J27" s="2"/>
    </row>
    <row r="28" spans="2:10" x14ac:dyDescent="0.25">
      <c r="B28" s="5"/>
      <c r="C28" s="2"/>
      <c r="D28" s="51"/>
      <c r="E28" s="51"/>
      <c r="F28" s="55"/>
      <c r="G28" s="51"/>
      <c r="H28" s="2"/>
      <c r="I28" s="2"/>
      <c r="J28" s="2"/>
    </row>
    <row r="29" spans="2:10" x14ac:dyDescent="0.25">
      <c r="B29" s="5"/>
      <c r="C29" s="2"/>
      <c r="D29" s="51"/>
      <c r="E29" s="51"/>
      <c r="F29" s="55"/>
      <c r="G29" s="51"/>
      <c r="H29" s="2"/>
      <c r="I29" s="2"/>
      <c r="J29" s="2"/>
    </row>
    <row r="30" spans="2:10" x14ac:dyDescent="0.25">
      <c r="B30" s="5"/>
      <c r="C30" s="2"/>
      <c r="D30" s="51"/>
      <c r="E30" s="51"/>
      <c r="F30" s="55"/>
      <c r="G30" s="51"/>
      <c r="H30" s="2"/>
      <c r="I30" s="2"/>
      <c r="J30" s="2"/>
    </row>
    <row r="31" spans="4:7" x14ac:dyDescent="0.25">
      <c r="D31" s="54"/>
      <c r="E31" s="54"/>
      <c r="F31" s="54"/>
      <c r="G31" s="54"/>
    </row>
    <row r="32" spans="2:10" x14ac:dyDescent="0.25">
      <c r="B32" s="5">
        <v>6</v>
      </c>
      <c r="C32" s="50"/>
      <c r="D32" s="51">
        <f>SUM(F32:J32)</f>
        <v>0</v>
      </c>
      <c r="E32" s="51"/>
      <c r="F32" s="55">
        <f>SUM(E32:E32)</f>
        <v>0</v>
      </c>
      <c r="G32" s="51"/>
      <c r="H32" s="2"/>
      <c r="I32" s="2"/>
      <c r="J32" s="2"/>
    </row>
    <row r="33" spans="2:10" x14ac:dyDescent="0.25">
      <c r="B33" s="5"/>
      <c r="C33" s="2"/>
      <c r="D33" s="51"/>
      <c r="E33" s="51"/>
      <c r="F33" s="55"/>
      <c r="G33" s="51"/>
      <c r="H33" s="2"/>
      <c r="I33" s="2"/>
      <c r="J33" s="2"/>
    </row>
    <row r="34" spans="4:7" x14ac:dyDescent="0.25">
      <c r="D34" s="54"/>
      <c r="E34" s="54"/>
      <c r="F34" s="54"/>
      <c r="G34" s="54"/>
    </row>
    <row r="35" spans="2:10" s="57" customFormat="1" x14ac:dyDescent="0.25">
      <c r="B35" s="58" t="s">
        <v>198</v>
      </c>
      <c r="C35" s="58"/>
      <c r="D35" s="59">
        <v>510000000</v>
      </c>
      <c r="E35" s="59">
        <f>SUM(E7:E34)</f>
        <v>0</v>
      </c>
      <c r="F35" s="59">
        <f>SUM(F7:F34)</f>
        <v>0</v>
      </c>
      <c r="G35" s="59">
        <f>SUM(G7:G34)</f>
        <v>0</v>
      </c>
      <c r="H35" s="59">
        <v>430000000</v>
      </c>
      <c r="I35" s="59">
        <f>SUM(I7:I34)</f>
        <v>0</v>
      </c>
      <c r="J35" s="59">
        <f>SUM(J7:J34)</f>
        <v>0</v>
      </c>
    </row>
    <row r="41" spans="3:3" x14ac:dyDescent="0.25">
      <c r="C41" t="s">
        <v>199</v>
      </c>
    </row>
    <row r="42" spans="3:3" x14ac:dyDescent="0.25">
      <c r="C42" t="s">
        <v>200</v>
      </c>
    </row>
  </sheetData>
  <mergeCells count="5">
    <mergeCell ref="E2:J2"/>
    <mergeCell ref="B2:B4"/>
    <mergeCell ref="C2:C4"/>
    <mergeCell ref="D2:D4"/>
    <mergeCell ref="B35:C35"/>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C1:U51"/>
  <sheetViews>
    <sheetView workbookViewId="0" showGridLines="0" zoomScale="100" zoomScaleNormal="100">
      <pane xSplit="6" ySplit="8" topLeftCell="G9" activePane="bottomRight" state="frozen"/>
      <selection pane="bottomRight" activeCell="G13" sqref="G13"/>
    </sheetView>
  </sheetViews>
  <sheetFormatPr defaultRowHeight="15" outlineLevelRow="0" outlineLevelCol="0" x14ac:dyDescent="0"/>
  <cols>
    <col min="1" max="1" width="2.5703125" customWidth="1"/>
    <col min="3" max="3" width="10.28515625" customWidth="1"/>
    <col min="4" max="4" width="21.7109375" customWidth="1"/>
    <col min="5" max="5" width="27.5703125" customWidth="1"/>
    <col min="6" max="6" width="3.7109375" customWidth="1"/>
    <col min="7" max="7" width="38" customWidth="1"/>
    <col min="8" max="8" width="2.7109375" customWidth="1"/>
    <col min="9" max="9" width="31.28515625" customWidth="1"/>
    <col min="10" max="10" width="2.7109375" customWidth="1"/>
    <col min="11" max="11" width="34.7109375" customWidth="1"/>
    <col min="12" max="12" width="2.7109375" customWidth="1"/>
    <col min="13" max="13" width="39.42578125" customWidth="1"/>
    <col min="14" max="14" width="2.7109375" customWidth="1"/>
    <col min="15" max="15" width="43.28515625" customWidth="1"/>
    <col min="16" max="16" width="2.7109375" customWidth="1"/>
    <col min="17" max="17" width="40.28515625" customWidth="1"/>
    <col min="18" max="18" width="2.7109375" customWidth="1"/>
    <col min="19" max="19" width="38.28515625" customWidth="1"/>
    <col min="20" max="20" width="2.7109375" customWidth="1"/>
    <col min="21" max="21" width="37.5703125" customWidth="1"/>
    <col min="16303" max="16307" width="9.28515625" customWidth="1"/>
  </cols>
  <sheetData>
    <row r="1" ht="18.75" customHeight="1" spans="3:4" x14ac:dyDescent="0.25">
      <c r="C1" s="9"/>
      <c r="D1" s="17"/>
    </row>
    <row r="2" ht="26.25" customHeight="1" spans="3:6" x14ac:dyDescent="0.25">
      <c r="C2" s="18" t="s">
        <v>32</v>
      </c>
      <c r="D2" s="19"/>
      <c r="E2" s="19"/>
      <c r="F2" s="20"/>
    </row>
    <row r="3" spans="3:6" x14ac:dyDescent="0.25">
      <c r="C3" s="21" t="s">
        <v>33</v>
      </c>
      <c r="D3" s="21"/>
      <c r="E3" s="20"/>
      <c r="F3" s="20"/>
    </row>
    <row r="4" spans="3:6" x14ac:dyDescent="0.25">
      <c r="C4" s="9"/>
      <c r="D4" s="20"/>
      <c r="E4" s="20"/>
      <c r="F4" s="20"/>
    </row>
    <row r="5" ht="15" customHeight="1" spans="3:6" x14ac:dyDescent="0.25">
      <c r="C5" s="9" t="s">
        <v>80</v>
      </c>
      <c r="D5" s="9"/>
      <c r="E5" s="40">
        <f>'1. Basics'!D24</f>
        <v>0</v>
      </c>
      <c r="F5" s="20"/>
    </row>
    <row r="6" spans="3:6" s="23" customFormat="1" x14ac:dyDescent="0.25">
      <c r="C6" s="21"/>
      <c r="D6" s="21"/>
      <c r="E6" s="21"/>
      <c r="F6" s="21"/>
    </row>
    <row r="7" ht="9.75" customHeight="1" spans="3:6" s="23" customFormat="1" x14ac:dyDescent="0.25">
      <c r="C7" s="21"/>
      <c r="D7" s="21"/>
      <c r="E7" s="21"/>
      <c r="F7" s="21"/>
    </row>
    <row r="8" ht="19.5" customHeight="1" spans="3:21" s="17" customFormat="1" x14ac:dyDescent="0.25">
      <c r="C8" s="24"/>
      <c r="D8" s="24" t="s">
        <v>41</v>
      </c>
      <c r="E8" s="24" t="s">
        <v>42</v>
      </c>
      <c r="G8" s="25" t="s">
        <v>81</v>
      </c>
      <c r="I8" s="25" t="s">
        <v>44</v>
      </c>
      <c r="K8" s="25" t="s">
        <v>82</v>
      </c>
      <c r="M8" s="25" t="s">
        <v>83</v>
      </c>
      <c r="O8" s="25" t="s">
        <v>46</v>
      </c>
      <c r="Q8" s="25" t="s">
        <v>47</v>
      </c>
      <c r="S8" s="25" t="s">
        <v>48</v>
      </c>
      <c r="U8" s="25" t="s">
        <v>49</v>
      </c>
    </row>
    <row r="9" ht="18.75" customHeight="1" spans="3:6" x14ac:dyDescent="0.25">
      <c r="C9" s="5">
        <v>1</v>
      </c>
      <c r="D9" s="26" t="s">
        <v>84</v>
      </c>
      <c r="E9" s="27"/>
      <c r="F9" s="28"/>
    </row>
    <row r="10" ht="21" customHeight="1" spans="3:21" x14ac:dyDescent="0.25">
      <c r="C10" s="5" t="s">
        <v>52</v>
      </c>
      <c r="D10" s="29"/>
      <c r="E10" s="26" t="s">
        <v>85</v>
      </c>
      <c r="F10" s="30"/>
      <c r="G10" s="31">
        <v>5</v>
      </c>
      <c r="I10" s="31">
        <v>20</v>
      </c>
      <c r="K10" s="32">
        <v>0.1</v>
      </c>
      <c r="M10" s="32">
        <v>0.1</v>
      </c>
      <c r="O10" s="32">
        <v>0.1</v>
      </c>
      <c r="Q10" s="32">
        <v>0.1</v>
      </c>
      <c r="S10" s="32">
        <v>0.1</v>
      </c>
      <c r="U10" s="32">
        <v>0.1</v>
      </c>
    </row>
    <row r="11" ht="18.75" customHeight="1" spans="3:21" x14ac:dyDescent="0.25">
      <c r="C11" s="5" t="s">
        <v>54</v>
      </c>
      <c r="D11" s="29"/>
      <c r="E11" s="26" t="s">
        <v>86</v>
      </c>
      <c r="F11" s="30"/>
      <c r="G11" s="31">
        <v>4</v>
      </c>
      <c r="I11" s="31">
        <v>20</v>
      </c>
      <c r="K11" s="33">
        <f>$K$10</f>
        <v>0.1</v>
      </c>
      <c r="M11" s="33">
        <f>$M$10</f>
        <v>0.1</v>
      </c>
      <c r="O11" s="33">
        <f>$O$10</f>
        <v>0.1</v>
      </c>
      <c r="Q11" s="33">
        <f>$Q$10</f>
        <v>0.1</v>
      </c>
      <c r="S11" s="33">
        <f>$S$10</f>
        <v>0.1</v>
      </c>
      <c r="U11" s="33">
        <f>$U$10</f>
        <v>0.1</v>
      </c>
    </row>
    <row r="12" ht="18.75" customHeight="1" spans="3:21" x14ac:dyDescent="0.25">
      <c r="C12" s="5" t="s">
        <v>55</v>
      </c>
      <c r="D12" s="29"/>
      <c r="E12" s="26" t="s">
        <v>87</v>
      </c>
      <c r="F12" s="30"/>
      <c r="G12" s="31">
        <v>3</v>
      </c>
      <c r="I12" s="31">
        <v>20</v>
      </c>
      <c r="K12" s="33">
        <f>$K$10</f>
        <v>0.1</v>
      </c>
      <c r="M12" s="33">
        <f>$M$10</f>
        <v>0.1</v>
      </c>
      <c r="O12" s="33">
        <f>$O$10</f>
        <v>0.1</v>
      </c>
      <c r="Q12" s="33">
        <f>$Q$10</f>
        <v>0.1</v>
      </c>
      <c r="S12" s="33">
        <f>$S$10</f>
        <v>0.1</v>
      </c>
      <c r="U12" s="33">
        <f>$U$10</f>
        <v>0.1</v>
      </c>
    </row>
    <row r="13" ht="18.75" customHeight="1" spans="3:21" x14ac:dyDescent="0.25">
      <c r="C13" s="5" t="s">
        <v>56</v>
      </c>
      <c r="D13" s="29"/>
      <c r="E13" s="26" t="s">
        <v>88</v>
      </c>
      <c r="F13" s="30"/>
      <c r="G13" s="31">
        <v>2</v>
      </c>
      <c r="I13" s="31">
        <v>20</v>
      </c>
      <c r="K13" s="33">
        <f>$K$10</f>
        <v>0.1</v>
      </c>
      <c r="M13" s="33">
        <f>$M$10</f>
        <v>0.1</v>
      </c>
      <c r="O13" s="33">
        <f>$O$10</f>
        <v>0.1</v>
      </c>
      <c r="Q13" s="33">
        <f>$Q$10</f>
        <v>0.1</v>
      </c>
      <c r="S13" s="33">
        <f>$S$10</f>
        <v>0.1</v>
      </c>
      <c r="U13" s="33">
        <f>$U$10</f>
        <v>0.1</v>
      </c>
    </row>
    <row r="14" ht="18.75" customHeight="1" spans="3:21" x14ac:dyDescent="0.25">
      <c r="C14" s="5" t="s">
        <v>57</v>
      </c>
      <c r="D14" s="29"/>
      <c r="E14" s="26">
        <v>0</v>
      </c>
      <c r="F14" s="30"/>
      <c r="G14" s="31">
        <v>1</v>
      </c>
      <c r="I14" s="31">
        <v>20</v>
      </c>
      <c r="K14" s="33">
        <f>$K$10</f>
        <v>0.1</v>
      </c>
      <c r="M14" s="33">
        <f>$M$10</f>
        <v>0.1</v>
      </c>
      <c r="O14" s="33">
        <f>$O$10</f>
        <v>0.1</v>
      </c>
      <c r="Q14" s="33">
        <f>$Q$10</f>
        <v>0.1</v>
      </c>
      <c r="S14" s="33">
        <f>$S$10</f>
        <v>0.1</v>
      </c>
      <c r="U14" s="33">
        <f>$U$10</f>
        <v>0.1</v>
      </c>
    </row>
    <row r="15" ht="18.75" customHeight="1" spans="3:21" s="9" customFormat="1" x14ac:dyDescent="0.25">
      <c r="C15" s="34" t="s">
        <v>58</v>
      </c>
      <c r="D15" s="34"/>
      <c r="E15" s="34"/>
      <c r="F15" s="35"/>
      <c r="K15" s="36"/>
      <c r="M15" s="36"/>
      <c r="O15" s="36"/>
      <c r="Q15" s="36"/>
      <c r="S15" s="36"/>
      <c r="U15" s="36"/>
    </row>
    <row r="16" ht="9.75" customHeight="1" spans="3:21" x14ac:dyDescent="0.25">
      <c r="C16" s="9"/>
      <c r="D16" s="30"/>
      <c r="E16" s="30"/>
      <c r="F16" s="30"/>
      <c r="K16" s="37"/>
      <c r="M16" s="37"/>
      <c r="O16" s="37"/>
      <c r="Q16" s="37"/>
      <c r="S16" s="37"/>
      <c r="U16" s="37"/>
    </row>
    <row r="17" ht="18.75" customHeight="1" spans="3:21" x14ac:dyDescent="0.25">
      <c r="C17" s="9"/>
      <c r="D17" s="30"/>
      <c r="E17" s="28"/>
      <c r="F17" s="28"/>
      <c r="K17" s="37"/>
      <c r="M17" s="37"/>
      <c r="O17" s="37"/>
      <c r="Q17" s="37"/>
      <c r="S17" s="37"/>
      <c r="U17" s="37"/>
    </row>
    <row r="18" ht="18.75" customHeight="1" spans="3:21" x14ac:dyDescent="0.25">
      <c r="C18" s="5">
        <v>2</v>
      </c>
      <c r="D18" s="26" t="s">
        <v>89</v>
      </c>
      <c r="E18" s="27"/>
      <c r="F18" s="28"/>
      <c r="K18" s="37"/>
      <c r="M18" s="37"/>
      <c r="O18" s="37"/>
      <c r="Q18" s="37"/>
      <c r="S18" s="37"/>
      <c r="U18" s="37"/>
    </row>
    <row r="19" ht="18.75" customHeight="1" spans="3:21" x14ac:dyDescent="0.25">
      <c r="C19" s="5" t="s">
        <v>60</v>
      </c>
      <c r="D19" s="29"/>
      <c r="E19" s="26" t="s">
        <v>90</v>
      </c>
      <c r="F19" s="30"/>
      <c r="G19" s="31">
        <v>5</v>
      </c>
      <c r="I19" s="31">
        <v>20</v>
      </c>
      <c r="K19" s="32">
        <v>0.1</v>
      </c>
      <c r="M19" s="32">
        <v>0.1</v>
      </c>
      <c r="O19" s="32">
        <v>0.1</v>
      </c>
      <c r="Q19" s="32">
        <v>0.1</v>
      </c>
      <c r="S19" s="32">
        <v>0.1</v>
      </c>
      <c r="U19" s="32">
        <v>0.1</v>
      </c>
    </row>
    <row r="20" ht="18.75" customHeight="1" spans="3:21" x14ac:dyDescent="0.25">
      <c r="C20" s="5" t="s">
        <v>61</v>
      </c>
      <c r="D20" s="29"/>
      <c r="E20" s="26" t="s">
        <v>91</v>
      </c>
      <c r="F20" s="30"/>
      <c r="G20" s="31">
        <v>4</v>
      </c>
      <c r="I20" s="31">
        <v>20</v>
      </c>
      <c r="K20" s="33">
        <f>$K$19</f>
        <v>0.1</v>
      </c>
      <c r="M20" s="33">
        <f>$M$19</f>
        <v>0.1</v>
      </c>
      <c r="O20" s="33">
        <f>$O$19</f>
        <v>0.1</v>
      </c>
      <c r="Q20" s="33">
        <f>$Q$19</f>
        <v>0.1</v>
      </c>
      <c r="S20" s="33">
        <f>$S$19</f>
        <v>0.1</v>
      </c>
      <c r="U20" s="33">
        <f>$U$19</f>
        <v>0.1</v>
      </c>
    </row>
    <row r="21" ht="18.75" customHeight="1" spans="3:21" x14ac:dyDescent="0.25">
      <c r="C21" s="5" t="s">
        <v>62</v>
      </c>
      <c r="D21" s="29"/>
      <c r="E21" s="26" t="s">
        <v>92</v>
      </c>
      <c r="F21" s="30"/>
      <c r="G21" s="31">
        <v>3</v>
      </c>
      <c r="I21" s="31">
        <v>20</v>
      </c>
      <c r="K21" s="33">
        <f>$K$19</f>
        <v>0.1</v>
      </c>
      <c r="M21" s="33">
        <f>$M$19</f>
        <v>0.1</v>
      </c>
      <c r="O21" s="33">
        <f>$O$19</f>
        <v>0.1</v>
      </c>
      <c r="Q21" s="33">
        <f>$Q$19</f>
        <v>0.1</v>
      </c>
      <c r="S21" s="33">
        <f>$S$19</f>
        <v>0.1</v>
      </c>
      <c r="U21" s="33">
        <f>$U$19</f>
        <v>0.1</v>
      </c>
    </row>
    <row r="22" ht="18.75" customHeight="1" spans="3:21" x14ac:dyDescent="0.25">
      <c r="C22" s="5" t="s">
        <v>63</v>
      </c>
      <c r="D22" s="29"/>
      <c r="E22" s="26" t="s">
        <v>93</v>
      </c>
      <c r="F22" s="30"/>
      <c r="G22" s="31">
        <v>2</v>
      </c>
      <c r="I22" s="31">
        <v>20</v>
      </c>
      <c r="K22" s="33">
        <f>$K$19</f>
        <v>0.1</v>
      </c>
      <c r="M22" s="33">
        <f>$M$19</f>
        <v>0.1</v>
      </c>
      <c r="O22" s="33">
        <f>$O$19</f>
        <v>0.1</v>
      </c>
      <c r="Q22" s="33">
        <f>$Q$19</f>
        <v>0.1</v>
      </c>
      <c r="S22" s="33">
        <f>$S$19</f>
        <v>0.1</v>
      </c>
      <c r="U22" s="33">
        <f>$U$19</f>
        <v>0.1</v>
      </c>
    </row>
    <row r="23" ht="18.75" customHeight="1" spans="3:21" x14ac:dyDescent="0.25">
      <c r="C23" s="5" t="s">
        <v>64</v>
      </c>
      <c r="D23" s="29"/>
      <c r="E23" s="26">
        <v>0</v>
      </c>
      <c r="F23" s="30"/>
      <c r="G23" s="31">
        <v>1</v>
      </c>
      <c r="I23" s="31">
        <v>20</v>
      </c>
      <c r="K23" s="33">
        <f>$K$19</f>
        <v>0.1</v>
      </c>
      <c r="M23" s="33">
        <f>$M$19</f>
        <v>0.1</v>
      </c>
      <c r="O23" s="33">
        <f>$O$19</f>
        <v>0.1</v>
      </c>
      <c r="Q23" s="33">
        <f>$Q$19</f>
        <v>0.1</v>
      </c>
      <c r="S23" s="33">
        <f>$S$19</f>
        <v>0.1</v>
      </c>
      <c r="U23" s="33">
        <f>$U$19</f>
        <v>0.1</v>
      </c>
    </row>
    <row r="24" ht="18.75" customHeight="1" spans="3:21" x14ac:dyDescent="0.25">
      <c r="C24" s="34" t="s">
        <v>58</v>
      </c>
      <c r="D24" s="34"/>
      <c r="E24" s="34"/>
      <c r="F24" s="30"/>
      <c r="K24" s="37"/>
      <c r="M24" s="37"/>
      <c r="O24" s="37"/>
      <c r="Q24" s="37"/>
      <c r="S24" s="37"/>
      <c r="U24" s="37"/>
    </row>
    <row r="25" ht="9.75" customHeight="1" spans="3:21" x14ac:dyDescent="0.25">
      <c r="C25" s="9"/>
      <c r="D25" s="30"/>
      <c r="E25" s="30"/>
      <c r="F25" s="30"/>
      <c r="K25" s="37"/>
      <c r="M25" s="37"/>
      <c r="O25" s="37"/>
      <c r="Q25" s="37"/>
      <c r="S25" s="37"/>
      <c r="U25" s="37"/>
    </row>
    <row r="26" ht="18.75" customHeight="1" spans="3:21" x14ac:dyDescent="0.25">
      <c r="C26" s="9"/>
      <c r="D26" s="30"/>
      <c r="E26" s="28"/>
      <c r="F26" s="28"/>
      <c r="K26" s="37"/>
      <c r="M26" s="37"/>
      <c r="O26" s="37"/>
      <c r="Q26" s="37"/>
      <c r="S26" s="37"/>
      <c r="U26" s="37"/>
    </row>
    <row r="27" ht="18.75" customHeight="1" spans="3:21" x14ac:dyDescent="0.25">
      <c r="C27" s="5">
        <v>3</v>
      </c>
      <c r="D27" s="26" t="s">
        <v>94</v>
      </c>
      <c r="E27" s="27"/>
      <c r="F27" s="28"/>
      <c r="K27" s="37"/>
      <c r="M27" s="37"/>
      <c r="O27" s="37"/>
      <c r="Q27" s="37"/>
      <c r="S27" s="37"/>
      <c r="U27" s="37"/>
    </row>
    <row r="28" ht="18.75" customHeight="1" spans="3:21" x14ac:dyDescent="0.25">
      <c r="C28" s="5" t="s">
        <v>65</v>
      </c>
      <c r="D28" s="29"/>
      <c r="E28" s="26" t="s">
        <v>95</v>
      </c>
      <c r="F28" s="30"/>
      <c r="G28" s="31">
        <v>5</v>
      </c>
      <c r="I28" s="31">
        <v>20</v>
      </c>
      <c r="K28" s="32">
        <v>0.1</v>
      </c>
      <c r="M28" s="32">
        <v>0.1</v>
      </c>
      <c r="O28" s="32">
        <v>0.1</v>
      </c>
      <c r="Q28" s="32">
        <v>0.1</v>
      </c>
      <c r="S28" s="32">
        <v>0.1</v>
      </c>
      <c r="U28" s="32">
        <v>0.1</v>
      </c>
    </row>
    <row r="29" ht="18.75" customHeight="1" spans="3:21" x14ac:dyDescent="0.25">
      <c r="C29" s="5" t="s">
        <v>66</v>
      </c>
      <c r="D29" s="29"/>
      <c r="E29" s="26" t="s">
        <v>96</v>
      </c>
      <c r="F29" s="30"/>
      <c r="G29" s="31">
        <v>4</v>
      </c>
      <c r="I29" s="31">
        <v>20</v>
      </c>
      <c r="K29" s="33">
        <f>$K$28</f>
        <v>0.1</v>
      </c>
      <c r="M29" s="33">
        <f>$M$28</f>
        <v>0.1</v>
      </c>
      <c r="O29" s="33">
        <f>$O$28</f>
        <v>0.1</v>
      </c>
      <c r="Q29" s="33">
        <f>$Q$28</f>
        <v>0.1</v>
      </c>
      <c r="S29" s="33">
        <f>$S$28</f>
        <v>0.1</v>
      </c>
      <c r="U29" s="33">
        <f>$U$28</f>
        <v>0.1</v>
      </c>
    </row>
    <row r="30" ht="18.75" customHeight="1" spans="3:21" x14ac:dyDescent="0.25">
      <c r="C30" s="5" t="s">
        <v>67</v>
      </c>
      <c r="D30" s="29"/>
      <c r="E30" s="26" t="s">
        <v>97</v>
      </c>
      <c r="F30" s="30"/>
      <c r="G30" s="31">
        <v>3</v>
      </c>
      <c r="I30" s="31">
        <v>20</v>
      </c>
      <c r="K30" s="33">
        <f>$K$28</f>
        <v>0.1</v>
      </c>
      <c r="M30" s="33">
        <f>$M$28</f>
        <v>0.1</v>
      </c>
      <c r="O30" s="33">
        <f>$O$28</f>
        <v>0.1</v>
      </c>
      <c r="Q30" s="33">
        <f>$Q$28</f>
        <v>0.1</v>
      </c>
      <c r="S30" s="33">
        <f>$S$28</f>
        <v>0.1</v>
      </c>
      <c r="U30" s="33">
        <f>$U$28</f>
        <v>0.1</v>
      </c>
    </row>
    <row r="31" ht="18.75" customHeight="1" spans="3:21" x14ac:dyDescent="0.25">
      <c r="C31" s="5" t="s">
        <v>68</v>
      </c>
      <c r="D31" s="29"/>
      <c r="E31" s="26" t="s">
        <v>98</v>
      </c>
      <c r="F31" s="30"/>
      <c r="G31" s="31">
        <v>2</v>
      </c>
      <c r="I31" s="31">
        <v>20</v>
      </c>
      <c r="K31" s="33">
        <f>$K$28</f>
        <v>0.1</v>
      </c>
      <c r="M31" s="33">
        <f>$M$28</f>
        <v>0.1</v>
      </c>
      <c r="O31" s="33">
        <f>$O$28</f>
        <v>0.1</v>
      </c>
      <c r="Q31" s="33">
        <f>$Q$28</f>
        <v>0.1</v>
      </c>
      <c r="S31" s="33">
        <f>$S$28</f>
        <v>0.1</v>
      </c>
      <c r="U31" s="33">
        <f>$U$28</f>
        <v>0.1</v>
      </c>
    </row>
    <row r="32" ht="18.75" customHeight="1" spans="3:21" x14ac:dyDescent="0.25">
      <c r="C32" s="5" t="s">
        <v>69</v>
      </c>
      <c r="D32" s="29"/>
      <c r="E32" s="26" t="s">
        <v>99</v>
      </c>
      <c r="F32" s="30"/>
      <c r="G32" s="31">
        <v>1</v>
      </c>
      <c r="I32" s="31">
        <v>20</v>
      </c>
      <c r="K32" s="33">
        <f>$K$28</f>
        <v>0.1</v>
      </c>
      <c r="M32" s="33">
        <f>$M$28</f>
        <v>0.1</v>
      </c>
      <c r="O32" s="33">
        <f>$O$28</f>
        <v>0.1</v>
      </c>
      <c r="Q32" s="33">
        <f>$Q$28</f>
        <v>0.1</v>
      </c>
      <c r="S32" s="33">
        <f>$S$28</f>
        <v>0.1</v>
      </c>
      <c r="U32" s="33">
        <f>$U$28</f>
        <v>0.1</v>
      </c>
    </row>
    <row r="33" ht="18.75" customHeight="1" spans="3:21" x14ac:dyDescent="0.25">
      <c r="C33" s="34" t="s">
        <v>58</v>
      </c>
      <c r="D33" s="34"/>
      <c r="E33" s="34"/>
      <c r="F33" s="30"/>
      <c r="K33" s="37"/>
      <c r="M33" s="37"/>
      <c r="O33" s="37"/>
      <c r="Q33" s="37"/>
      <c r="S33" s="37"/>
      <c r="U33" s="37"/>
    </row>
    <row r="34" ht="9.75" customHeight="1" spans="3:21" x14ac:dyDescent="0.25">
      <c r="C34" s="9"/>
      <c r="D34" s="30"/>
      <c r="E34" s="30"/>
      <c r="F34" s="30"/>
      <c r="K34" s="37"/>
      <c r="M34" s="37"/>
      <c r="O34" s="37"/>
      <c r="Q34" s="37"/>
      <c r="S34" s="37"/>
      <c r="U34" s="37"/>
    </row>
    <row r="35" ht="18.75" customHeight="1" spans="3:21" x14ac:dyDescent="0.25">
      <c r="C35" s="9"/>
      <c r="D35" s="30"/>
      <c r="E35" s="28"/>
      <c r="F35" s="28"/>
      <c r="K35" s="37"/>
      <c r="M35" s="37"/>
      <c r="O35" s="37"/>
      <c r="Q35" s="37"/>
      <c r="S35" s="37"/>
      <c r="U35" s="37"/>
    </row>
    <row r="36" ht="18.75" customHeight="1" spans="3:21" x14ac:dyDescent="0.25">
      <c r="C36" s="5">
        <v>4</v>
      </c>
      <c r="D36" s="26" t="s">
        <v>99</v>
      </c>
      <c r="E36" s="27"/>
      <c r="F36" s="28"/>
      <c r="K36" s="37"/>
      <c r="M36" s="37"/>
      <c r="O36" s="37"/>
      <c r="Q36" s="37"/>
      <c r="S36" s="37"/>
      <c r="U36" s="37"/>
    </row>
    <row r="37" ht="18.75" customHeight="1" spans="3:21" x14ac:dyDescent="0.25">
      <c r="C37" s="5" t="s">
        <v>70</v>
      </c>
      <c r="D37" s="27"/>
      <c r="E37" s="26" t="s">
        <v>100</v>
      </c>
      <c r="F37" s="30"/>
      <c r="G37" s="31">
        <v>5</v>
      </c>
      <c r="I37" s="31">
        <v>20</v>
      </c>
      <c r="K37" s="32">
        <v>0.1</v>
      </c>
      <c r="M37" s="32">
        <v>0.1</v>
      </c>
      <c r="O37" s="32">
        <v>0.1</v>
      </c>
      <c r="Q37" s="32">
        <v>0.1</v>
      </c>
      <c r="S37" s="32">
        <v>0.1</v>
      </c>
      <c r="U37" s="32">
        <v>0.1</v>
      </c>
    </row>
    <row r="38" ht="18.75" customHeight="1" spans="3:21" x14ac:dyDescent="0.25">
      <c r="C38" s="5" t="s">
        <v>71</v>
      </c>
      <c r="D38" s="27"/>
      <c r="E38" s="26" t="s">
        <v>101</v>
      </c>
      <c r="F38" s="30"/>
      <c r="G38" s="31">
        <v>4</v>
      </c>
      <c r="I38" s="31">
        <v>20</v>
      </c>
      <c r="K38" s="33">
        <f>$K$37</f>
        <v>0.1</v>
      </c>
      <c r="M38" s="33">
        <f>$M$37</f>
        <v>0.1</v>
      </c>
      <c r="O38" s="33">
        <f>$O$37</f>
        <v>0.1</v>
      </c>
      <c r="Q38" s="33">
        <f>$Q$37</f>
        <v>0.1</v>
      </c>
      <c r="S38" s="33">
        <f>$S$37</f>
        <v>0.1</v>
      </c>
      <c r="U38" s="33">
        <f>$U$37</f>
        <v>0.1</v>
      </c>
    </row>
    <row r="39" ht="18.75" customHeight="1" spans="3:21" x14ac:dyDescent="0.25">
      <c r="C39" s="5" t="s">
        <v>72</v>
      </c>
      <c r="D39" s="27"/>
      <c r="E39" s="26" t="s">
        <v>102</v>
      </c>
      <c r="F39" s="30"/>
      <c r="G39" s="31">
        <v>3</v>
      </c>
      <c r="I39" s="31">
        <v>20</v>
      </c>
      <c r="K39" s="33">
        <f>$K$37</f>
        <v>0.1</v>
      </c>
      <c r="M39" s="33">
        <f>$M$37</f>
        <v>0.1</v>
      </c>
      <c r="O39" s="33">
        <f>$O$37</f>
        <v>0.1</v>
      </c>
      <c r="Q39" s="33">
        <f>$Q$37</f>
        <v>0.1</v>
      </c>
      <c r="S39" s="33">
        <f>$S$37</f>
        <v>0.1</v>
      </c>
      <c r="U39" s="33">
        <f>$U$37</f>
        <v>0.1</v>
      </c>
    </row>
    <row r="40" ht="18.75" customHeight="1" spans="3:21" x14ac:dyDescent="0.25">
      <c r="C40" s="5" t="s">
        <v>73</v>
      </c>
      <c r="D40" s="27"/>
      <c r="E40" s="26" t="s">
        <v>103</v>
      </c>
      <c r="F40" s="30"/>
      <c r="G40" s="31">
        <v>2</v>
      </c>
      <c r="I40" s="31">
        <v>20</v>
      </c>
      <c r="K40" s="33">
        <f>$K$37</f>
        <v>0.1</v>
      </c>
      <c r="M40" s="33">
        <f>$M$37</f>
        <v>0.1</v>
      </c>
      <c r="O40" s="33">
        <f>$O$37</f>
        <v>0.1</v>
      </c>
      <c r="Q40" s="33">
        <f>$Q$37</f>
        <v>0.1</v>
      </c>
      <c r="S40" s="33">
        <f>$S$37</f>
        <v>0.1</v>
      </c>
      <c r="U40" s="33">
        <f>$U$37</f>
        <v>0.1</v>
      </c>
    </row>
    <row r="41" ht="18.75" customHeight="1" spans="3:21" x14ac:dyDescent="0.25">
      <c r="C41" s="5" t="s">
        <v>74</v>
      </c>
      <c r="D41" s="27"/>
      <c r="E41" s="26" t="s">
        <v>104</v>
      </c>
      <c r="F41" s="30"/>
      <c r="G41" s="31">
        <v>1</v>
      </c>
      <c r="I41" s="31">
        <v>20</v>
      </c>
      <c r="K41" s="33">
        <f>$K$37</f>
        <v>0.1</v>
      </c>
      <c r="M41" s="33">
        <f>$M$37</f>
        <v>0.1</v>
      </c>
      <c r="O41" s="33">
        <f>$O$37</f>
        <v>0.1</v>
      </c>
      <c r="Q41" s="33">
        <f>$Q$37</f>
        <v>0.1</v>
      </c>
      <c r="S41" s="33">
        <f>$S$37</f>
        <v>0.1</v>
      </c>
      <c r="U41" s="33">
        <f>$U$37</f>
        <v>0.1</v>
      </c>
    </row>
    <row r="42" ht="18.75" customHeight="1" spans="3:21" x14ac:dyDescent="0.25">
      <c r="C42" s="34" t="s">
        <v>58</v>
      </c>
      <c r="D42" s="34"/>
      <c r="E42" s="34"/>
      <c r="F42" s="30"/>
      <c r="K42" s="37"/>
      <c r="M42" s="37"/>
      <c r="O42" s="37"/>
      <c r="Q42" s="37"/>
      <c r="S42" s="37"/>
      <c r="U42" s="37"/>
    </row>
    <row r="43" ht="9.75" customHeight="1" spans="3:21" x14ac:dyDescent="0.25">
      <c r="C43" s="9"/>
      <c r="D43" s="28"/>
      <c r="E43" s="30"/>
      <c r="F43" s="30"/>
      <c r="K43" s="37"/>
      <c r="M43" s="37"/>
      <c r="O43" s="37"/>
      <c r="Q43" s="37"/>
      <c r="S43" s="37"/>
      <c r="U43" s="37"/>
    </row>
    <row r="44" ht="18.75" customHeight="1" spans="3:21" x14ac:dyDescent="0.25">
      <c r="C44" s="9"/>
      <c r="D44" s="28"/>
      <c r="E44" s="28"/>
      <c r="F44" s="28"/>
      <c r="K44" s="37"/>
      <c r="M44" s="37"/>
      <c r="O44" s="37"/>
      <c r="Q44" s="37"/>
      <c r="S44" s="37"/>
      <c r="U44" s="37"/>
    </row>
    <row r="45" ht="18.75" customHeight="1" spans="3:21" x14ac:dyDescent="0.25">
      <c r="C45" s="5">
        <v>5</v>
      </c>
      <c r="D45" s="39" t="s">
        <v>99</v>
      </c>
      <c r="E45" s="27"/>
      <c r="F45" s="28"/>
      <c r="K45" s="37"/>
      <c r="M45" s="37"/>
      <c r="O45" s="37"/>
      <c r="Q45" s="37"/>
      <c r="S45" s="37"/>
      <c r="U45" s="37"/>
    </row>
    <row r="46" ht="18.75" customHeight="1" spans="3:21" x14ac:dyDescent="0.25">
      <c r="C46" s="5" t="s">
        <v>75</v>
      </c>
      <c r="D46" s="27"/>
      <c r="E46" s="26" t="s">
        <v>100</v>
      </c>
      <c r="F46" s="30"/>
      <c r="G46" s="31">
        <v>5</v>
      </c>
      <c r="I46" s="31">
        <v>20</v>
      </c>
      <c r="K46" s="32">
        <v>0.1</v>
      </c>
      <c r="M46" s="32">
        <v>0.1</v>
      </c>
      <c r="O46" s="32">
        <v>0.1</v>
      </c>
      <c r="Q46" s="32">
        <v>0.1</v>
      </c>
      <c r="S46" s="32">
        <v>0.1</v>
      </c>
      <c r="U46" s="32">
        <v>0.1</v>
      </c>
    </row>
    <row r="47" ht="18.75" customHeight="1" spans="3:21" x14ac:dyDescent="0.25">
      <c r="C47" s="5" t="s">
        <v>76</v>
      </c>
      <c r="D47" s="27"/>
      <c r="E47" s="26" t="s">
        <v>101</v>
      </c>
      <c r="F47" s="30"/>
      <c r="G47" s="31">
        <v>4</v>
      </c>
      <c r="I47" s="31">
        <v>20</v>
      </c>
      <c r="K47" s="33">
        <f>$K$46</f>
        <v>0.1</v>
      </c>
      <c r="M47" s="33">
        <f>$M$46</f>
        <v>0.1</v>
      </c>
      <c r="O47" s="33">
        <f>$O$46</f>
        <v>0.1</v>
      </c>
      <c r="Q47" s="33">
        <f>$Q$46</f>
        <v>0.1</v>
      </c>
      <c r="S47" s="33">
        <f>$S$46</f>
        <v>0.1</v>
      </c>
      <c r="U47" s="33">
        <f>$U$46</f>
        <v>0.1</v>
      </c>
    </row>
    <row r="48" ht="18.75" customHeight="1" spans="3:21" x14ac:dyDescent="0.25">
      <c r="C48" s="5" t="s">
        <v>77</v>
      </c>
      <c r="D48" s="27"/>
      <c r="E48" s="26" t="s">
        <v>102</v>
      </c>
      <c r="F48" s="30"/>
      <c r="G48" s="31">
        <v>3</v>
      </c>
      <c r="I48" s="31">
        <v>20</v>
      </c>
      <c r="K48" s="33">
        <f>$K$46</f>
        <v>0.1</v>
      </c>
      <c r="M48" s="33">
        <f>$M$46</f>
        <v>0.1</v>
      </c>
      <c r="O48" s="33">
        <f>$O$46</f>
        <v>0.1</v>
      </c>
      <c r="Q48" s="33">
        <f>$Q$46</f>
        <v>0.1</v>
      </c>
      <c r="S48" s="33">
        <f>$S$46</f>
        <v>0.1</v>
      </c>
      <c r="U48" s="33">
        <f>$U$46</f>
        <v>0.1</v>
      </c>
    </row>
    <row r="49" ht="18.75" customHeight="1" spans="3:21" x14ac:dyDescent="0.25">
      <c r="C49" s="5" t="s">
        <v>78</v>
      </c>
      <c r="D49" s="27"/>
      <c r="E49" s="26" t="s">
        <v>103</v>
      </c>
      <c r="F49" s="30"/>
      <c r="G49" s="31">
        <v>2</v>
      </c>
      <c r="I49" s="31">
        <v>20</v>
      </c>
      <c r="K49" s="33">
        <f>$K$46</f>
        <v>0.1</v>
      </c>
      <c r="M49" s="33">
        <f>$M$46</f>
        <v>0.1</v>
      </c>
      <c r="O49" s="33">
        <f>$O$46</f>
        <v>0.1</v>
      </c>
      <c r="Q49" s="33">
        <f>$Q$46</f>
        <v>0.1</v>
      </c>
      <c r="S49" s="33">
        <f>$S$46</f>
        <v>0.1</v>
      </c>
      <c r="U49" s="33">
        <f>$U$46</f>
        <v>0.1</v>
      </c>
    </row>
    <row r="50" ht="18.75" customHeight="1" spans="3:21" x14ac:dyDescent="0.25">
      <c r="C50" s="5" t="s">
        <v>79</v>
      </c>
      <c r="D50" s="27"/>
      <c r="E50" s="26" t="s">
        <v>104</v>
      </c>
      <c r="F50" s="30"/>
      <c r="G50" s="31">
        <v>1</v>
      </c>
      <c r="I50" s="31">
        <v>20</v>
      </c>
      <c r="K50" s="33">
        <f>$K$46</f>
        <v>0.1</v>
      </c>
      <c r="M50" s="33">
        <f>$M$46</f>
        <v>0.1</v>
      </c>
      <c r="O50" s="33">
        <f>$O$46</f>
        <v>0.1</v>
      </c>
      <c r="Q50" s="33">
        <f>$Q$46</f>
        <v>0.1</v>
      </c>
      <c r="S50" s="33">
        <f>$S$46</f>
        <v>0.1</v>
      </c>
      <c r="U50" s="33">
        <f>$U$46</f>
        <v>0.1</v>
      </c>
    </row>
    <row r="51" spans="11:21" x14ac:dyDescent="0.25">
      <c r="K51" s="37"/>
      <c r="M51" s="37"/>
      <c r="O51" s="37"/>
      <c r="Q51" s="37"/>
      <c r="S51" s="37"/>
      <c r="U51" s="37"/>
    </row>
  </sheetData>
  <mergeCells count="1">
    <mergeCell ref="C5:D5"/>
  </mergeCells>
  <pageMargins left="0.7" right="0.7" top="0.75" bottom="0.75" header="0.3" footer="0.3"/>
  <legacy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1:LD58"/>
  <sheetViews>
    <sheetView workbookViewId="0" showGridLines="0" zoomScale="100" zoomScaleNormal="100">
      <pane xSplit="5" ySplit="8" topLeftCell="BW9" activePane="bottomRight" state="frozen"/>
      <selection pane="bottomRight" activeCell="BW3" sqref="BW3"/>
    </sheetView>
  </sheetViews>
  <sheetFormatPr defaultRowHeight="15" outlineLevelRow="0" outlineLevelCol="0" x14ac:dyDescent="0"/>
  <cols>
    <col min="1" max="1" width="5" customWidth="1"/>
    <col min="2" max="2" width="10.28515625" customWidth="1"/>
    <col min="3" max="3" width="21.7109375" customWidth="1"/>
    <col min="4" max="4" width="27.5703125" customWidth="1"/>
    <col min="5" max="5" width="3.7109375" customWidth="1"/>
    <col min="6" max="6" width="8.7109375" customWidth="1"/>
    <col min="7" max="7" width="12.7109375" customWidth="1"/>
    <col min="8" max="8" width="13.42578125" customWidth="1"/>
    <col min="9" max="9" width="2" customWidth="1"/>
    <col min="10" max="10" width="8.7109375" customWidth="1"/>
    <col min="11" max="11" width="12.7109375" customWidth="1"/>
    <col min="12" max="12" width="13.42578125" customWidth="1"/>
    <col min="13" max="13" width="2" customWidth="1"/>
    <col min="14" max="14" width="8.7109375" customWidth="1"/>
    <col min="15" max="15" width="12.7109375" customWidth="1"/>
    <col min="16" max="16" width="13.42578125" customWidth="1"/>
    <col min="17" max="17" width="2" customWidth="1"/>
    <col min="18" max="18" width="8.7109375" customWidth="1"/>
    <col min="19" max="19" width="12.7109375" customWidth="1"/>
    <col min="20" max="20" width="13.42578125" customWidth="1"/>
    <col min="21" max="21" width="2" customWidth="1"/>
    <col min="22" max="22" width="8.7109375" customWidth="1"/>
    <col min="23" max="23" width="12.7109375" customWidth="1"/>
    <col min="24" max="24" width="13.42578125" customWidth="1"/>
    <col min="25" max="25" width="2" customWidth="1"/>
    <col min="26" max="26" width="8.7109375" customWidth="1"/>
    <col min="27" max="27" width="12.7109375" customWidth="1"/>
    <col min="28" max="28" width="13.42578125" customWidth="1"/>
    <col min="29" max="29" width="2" customWidth="1"/>
    <col min="30" max="30" width="8.7109375" customWidth="1"/>
    <col min="31" max="31" width="12.7109375" customWidth="1"/>
    <col min="32" max="32" width="13.42578125" customWidth="1"/>
    <col min="33" max="33" width="2" customWidth="1"/>
    <col min="34" max="34" width="8.7109375" customWidth="1"/>
    <col min="35" max="35" width="12.7109375" customWidth="1"/>
    <col min="36" max="36" width="13.42578125" customWidth="1"/>
    <col min="37" max="37" width="2.28515625" customWidth="1"/>
    <col min="39" max="39" width="13" customWidth="1"/>
    <col min="40" max="40" width="13.5703125" customWidth="1"/>
    <col min="41" max="41" width="2.28515625" customWidth="1"/>
    <col min="43" max="43" width="13" customWidth="1"/>
    <col min="44" max="44" width="13.5703125" customWidth="1"/>
    <col min="45" max="45" width="2.28515625" customWidth="1"/>
    <col min="47" max="47" width="13" customWidth="1"/>
    <col min="48" max="48" width="13.5703125" customWidth="1"/>
    <col min="49" max="49" width="2.28515625" customWidth="1"/>
    <col min="51" max="51" width="13" customWidth="1"/>
    <col min="52" max="52" width="13.5703125" customWidth="1"/>
    <col min="53" max="53" width="7" customWidth="1"/>
    <col min="54" max="54" width="10.7109375" customWidth="1"/>
    <col min="55" max="55" width="12.7109375" customWidth="1"/>
    <col min="56" max="56" width="16.28515625" customWidth="1"/>
    <col min="57" max="57" width="7" customWidth="1"/>
    <col min="59" max="59" width="12.7109375" customWidth="1"/>
    <col min="60" max="60" width="13.42578125" customWidth="1"/>
    <col min="61" max="61" width="2" customWidth="1"/>
    <col min="63" max="63" width="12.7109375" customWidth="1"/>
    <col min="64" max="64" width="13.42578125" customWidth="1"/>
    <col min="65" max="65" width="2" customWidth="1"/>
    <col min="67" max="67" width="12.7109375" customWidth="1"/>
    <col min="68" max="68" width="13.42578125" customWidth="1"/>
    <col min="69" max="69" width="2.28515625" customWidth="1"/>
    <col min="71" max="71" width="12.7109375" customWidth="1"/>
    <col min="72" max="72" width="13.42578125" customWidth="1"/>
    <col min="73" max="73" width="2.28515625" customWidth="1"/>
    <col min="75" max="75" width="12.7109375" customWidth="1"/>
    <col min="76" max="76" width="13.42578125" customWidth="1"/>
    <col min="77" max="77" width="2.28515625" customWidth="1"/>
    <col min="78" max="78" width="8.7109375" customWidth="1"/>
    <col min="79" max="79" width="12.7109375" customWidth="1"/>
    <col min="80" max="80" width="13.42578125" customWidth="1"/>
    <col min="81" max="81" width="2.28515625" customWidth="1"/>
    <col min="82" max="82" width="10.5703125" customWidth="1"/>
    <col min="83" max="83" width="12.7109375" customWidth="1"/>
    <col min="84" max="84" width="13.42578125" customWidth="1"/>
    <col min="85" max="85" width="2" customWidth="1"/>
    <col min="86" max="86" width="10.5703125" customWidth="1"/>
    <col min="87" max="87" width="12.7109375" customWidth="1"/>
    <col min="88" max="88" width="13.42578125" customWidth="1"/>
    <col min="89" max="89" width="2" customWidth="1"/>
    <col min="90" max="90" width="10.5703125" customWidth="1"/>
    <col min="91" max="91" width="12.7109375" customWidth="1"/>
    <col min="92" max="92" width="13.42578125" customWidth="1"/>
    <col min="93" max="93" width="1.7109375" customWidth="1"/>
    <col min="94" max="94" width="11.7109375" customWidth="1"/>
    <col min="95" max="95" width="12.7109375" customWidth="1"/>
    <col min="96" max="96" width="13.42578125" customWidth="1"/>
    <col min="97" max="97" width="2" customWidth="1"/>
    <col min="98" max="98" width="14.5703125" customWidth="1"/>
    <col min="99" max="99" width="12.7109375" customWidth="1"/>
    <col min="100" max="100" width="13.42578125" customWidth="1"/>
    <col min="101" max="101" width="2" customWidth="1"/>
    <col min="102" max="102" width="11.7109375" customWidth="1"/>
    <col min="103" max="103" width="12.7109375" customWidth="1"/>
    <col min="104" max="104" width="13.42578125" customWidth="1"/>
    <col min="105" max="105" width="7" customWidth="1"/>
    <col min="106" max="106" width="10.7109375" customWidth="1"/>
    <col min="107" max="107" width="12.7109375" customWidth="1"/>
    <col min="108" max="108" width="16.28515625" customWidth="1"/>
    <col min="109" max="109" width="7" customWidth="1"/>
    <col min="110" max="110" width="8.7109375" customWidth="1"/>
    <col min="111" max="111" width="12.7109375" customWidth="1"/>
    <col min="112" max="112" width="13.5703125" customWidth="1"/>
    <col min="113" max="113" width="1.7109375" customWidth="1"/>
    <col min="114" max="114" width="8.7109375" customWidth="1"/>
    <col min="115" max="115" width="12.7109375" customWidth="1"/>
    <col min="116" max="116" width="13.5703125" customWidth="1"/>
    <col min="117" max="117" width="1.7109375" customWidth="1"/>
    <col min="118" max="118" width="8.7109375" customWidth="1"/>
    <col min="119" max="119" width="12.7109375" customWidth="1"/>
    <col min="120" max="120" width="13.5703125" customWidth="1"/>
    <col min="121" max="121" width="1.7109375" customWidth="1"/>
    <col min="122" max="122" width="8.7109375" customWidth="1"/>
    <col min="123" max="123" width="12.7109375" customWidth="1"/>
    <col min="124" max="124" width="13.5703125" customWidth="1"/>
    <col min="125" max="125" width="1.7109375" customWidth="1"/>
    <col min="126" max="126" width="8.7109375" customWidth="1"/>
    <col min="127" max="127" width="12.7109375" customWidth="1"/>
    <col min="128" max="128" width="13.5703125" customWidth="1"/>
    <col min="129" max="129" width="1.7109375" customWidth="1"/>
    <col min="130" max="130" width="8.7109375" customWidth="1"/>
    <col min="131" max="131" width="12.7109375" customWidth="1"/>
    <col min="132" max="132" width="13.5703125" customWidth="1"/>
    <col min="133" max="133" width="1.7109375" customWidth="1"/>
    <col min="134" max="134" width="8.7109375" customWidth="1"/>
    <col min="135" max="135" width="12.7109375" customWidth="1"/>
    <col min="136" max="136" width="13.5703125" customWidth="1"/>
    <col min="137" max="137" width="1.7109375" customWidth="1"/>
    <col min="138" max="138" width="8.7109375" customWidth="1"/>
    <col min="139" max="139" width="12.7109375" customWidth="1"/>
    <col min="140" max="140" width="13.5703125" customWidth="1"/>
    <col min="141" max="141" width="1.7109375" customWidth="1"/>
    <col min="142" max="142" width="8.7109375" customWidth="1"/>
    <col min="143" max="143" width="12.7109375" customWidth="1"/>
    <col min="144" max="144" width="13.5703125" customWidth="1"/>
    <col min="145" max="145" width="1.7109375" customWidth="1"/>
    <col min="146" max="146" width="8.7109375" customWidth="1"/>
    <col min="147" max="147" width="12.7109375" customWidth="1"/>
    <col min="148" max="148" width="13.5703125" customWidth="1"/>
    <col min="149" max="149" width="1.7109375" customWidth="1"/>
    <col min="150" max="150" width="8.7109375" customWidth="1"/>
    <col min="151" max="151" width="12.7109375" customWidth="1"/>
    <col min="152" max="152" width="13.5703125" customWidth="1"/>
    <col min="153" max="153" width="1.7109375" customWidth="1"/>
    <col min="154" max="154" width="8.7109375" customWidth="1"/>
    <col min="155" max="155" width="12.7109375" customWidth="1"/>
    <col min="156" max="156" width="13.5703125" customWidth="1"/>
    <col min="157" max="157" width="7" customWidth="1"/>
    <col min="158" max="158" width="10.7109375" customWidth="1"/>
    <col min="159" max="159" width="12.7109375" customWidth="1"/>
    <col min="160" max="160" width="16.28515625" customWidth="1"/>
    <col min="161" max="161" width="7" customWidth="1"/>
    <col min="162" max="162" width="8.7109375" customWidth="1"/>
    <col min="163" max="163" width="12.7109375" customWidth="1"/>
    <col min="164" max="164" width="13.42578125" customWidth="1"/>
    <col min="165" max="165" width="1.7109375" customWidth="1"/>
    <col min="166" max="166" width="8.7109375" customWidth="1"/>
    <col min="167" max="167" width="12.7109375" customWidth="1"/>
    <col min="168" max="168" width="13.42578125" customWidth="1"/>
    <col min="169" max="169" width="1.7109375" customWidth="1"/>
    <col min="170" max="170" width="8.7109375" customWidth="1"/>
    <col min="171" max="171" width="12.7109375" customWidth="1"/>
    <col min="172" max="172" width="13.42578125" customWidth="1"/>
    <col min="173" max="173" width="1.7109375" customWidth="1"/>
    <col min="174" max="174" width="8.7109375" customWidth="1"/>
    <col min="175" max="175" width="12.7109375" customWidth="1"/>
    <col min="176" max="176" width="13.42578125" customWidth="1"/>
    <col min="177" max="177" width="1.7109375" customWidth="1"/>
    <col min="178" max="178" width="8.7109375" customWidth="1"/>
    <col min="179" max="179" width="12.7109375" customWidth="1"/>
    <col min="180" max="180" width="13.42578125" customWidth="1"/>
    <col min="181" max="181" width="1.7109375" customWidth="1"/>
    <col min="182" max="182" width="8.7109375" customWidth="1"/>
    <col min="183" max="183" width="12.7109375" customWidth="1"/>
    <col min="184" max="184" width="13.42578125" customWidth="1"/>
    <col min="185" max="185" width="1.7109375" customWidth="1"/>
    <col min="186" max="186" width="8.7109375" customWidth="1"/>
    <col min="187" max="187" width="12.7109375" customWidth="1"/>
    <col min="188" max="188" width="13.42578125" customWidth="1"/>
    <col min="189" max="189" width="1.7109375" customWidth="1"/>
    <col min="190" max="190" width="8.7109375" customWidth="1"/>
    <col min="191" max="191" width="12.7109375" customWidth="1"/>
    <col min="192" max="192" width="13.42578125" customWidth="1"/>
    <col min="193" max="193" width="1.7109375" customWidth="1"/>
    <col min="194" max="194" width="8.7109375" customWidth="1"/>
    <col min="195" max="195" width="12.7109375" customWidth="1"/>
    <col min="196" max="196" width="13.42578125" customWidth="1"/>
    <col min="197" max="197" width="1.7109375" customWidth="1"/>
    <col min="198" max="198" width="8.7109375" customWidth="1"/>
    <col min="199" max="199" width="12.7109375" customWidth="1"/>
    <col min="200" max="200" width="13.42578125" customWidth="1"/>
    <col min="201" max="201" width="1.7109375" customWidth="1"/>
    <col min="202" max="202" width="8.7109375" customWidth="1"/>
    <col min="203" max="203" width="12.7109375" customWidth="1"/>
    <col min="204" max="204" width="13.42578125" customWidth="1"/>
    <col min="205" max="205" width="1.7109375" customWidth="1"/>
    <col min="206" max="206" width="8.7109375" customWidth="1"/>
    <col min="207" max="207" width="12.7109375" customWidth="1"/>
    <col min="208" max="208" width="13.42578125" customWidth="1"/>
    <col min="209" max="209" width="6.7109375" customWidth="1"/>
    <col min="210" max="210" width="10.7109375" customWidth="1"/>
    <col min="211" max="211" width="12.7109375" customWidth="1"/>
    <col min="212" max="212" width="16.28515625" customWidth="1"/>
    <col min="213" max="213" width="6.7109375" customWidth="1"/>
    <col min="214" max="214" width="8.7109375" customWidth="1"/>
    <col min="215" max="215" width="12.7109375" customWidth="1"/>
    <col min="216" max="216" width="13.42578125" customWidth="1"/>
    <col min="217" max="217" width="1.7109375" customWidth="1"/>
    <col min="218" max="218" width="8.7109375" customWidth="1"/>
    <col min="219" max="219" width="12.7109375" customWidth="1"/>
    <col min="220" max="220" width="13.42578125" customWidth="1"/>
    <col min="221" max="221" width="1.7109375" customWidth="1"/>
    <col min="222" max="222" width="8.7109375" customWidth="1"/>
    <col min="223" max="223" width="12.7109375" customWidth="1"/>
    <col min="224" max="224" width="13.42578125" customWidth="1"/>
    <col min="225" max="225" width="1.7109375" customWidth="1"/>
    <col min="226" max="226" width="8.7109375" customWidth="1"/>
    <col min="227" max="227" width="12.7109375" customWidth="1"/>
    <col min="228" max="228" width="13.42578125" customWidth="1"/>
    <col min="229" max="229" width="1.7109375" customWidth="1"/>
    <col min="230" max="230" width="8.7109375" customWidth="1"/>
    <col min="231" max="231" width="12.7109375" customWidth="1"/>
    <col min="232" max="232" width="13.42578125" customWidth="1"/>
    <col min="233" max="233" width="1.7109375" customWidth="1"/>
    <col min="234" max="234" width="8.7109375" customWidth="1"/>
    <col min="235" max="235" width="12.7109375" customWidth="1"/>
    <col min="236" max="236" width="13.42578125" customWidth="1"/>
    <col min="237" max="237" width="1.7109375" customWidth="1"/>
    <col min="238" max="238" width="8.7109375" customWidth="1"/>
    <col min="239" max="239" width="12.7109375" customWidth="1"/>
    <col min="240" max="240" width="13.42578125" customWidth="1"/>
    <col min="241" max="241" width="1.7109375" customWidth="1"/>
    <col min="242" max="242" width="8.7109375" customWidth="1"/>
    <col min="243" max="243" width="12.7109375" customWidth="1"/>
    <col min="244" max="244" width="13.42578125" customWidth="1"/>
    <col min="245" max="245" width="1.7109375" customWidth="1"/>
    <col min="246" max="246" width="8.7109375" customWidth="1"/>
    <col min="247" max="247" width="12.7109375" customWidth="1"/>
    <col min="248" max="248" width="13.42578125" customWidth="1"/>
    <col min="249" max="249" width="1.7109375" customWidth="1"/>
    <col min="250" max="250" width="8.7109375" customWidth="1"/>
    <col min="251" max="251" width="12.7109375" customWidth="1"/>
    <col min="252" max="252" width="13.42578125" customWidth="1"/>
    <col min="253" max="253" width="1.7109375" customWidth="1"/>
    <col min="254" max="254" width="8.7109375" customWidth="1"/>
    <col min="255" max="255" width="12.7109375" customWidth="1"/>
    <col min="256" max="256" width="13.42578125" customWidth="1"/>
    <col min="257" max="257" width="1.7109375" customWidth="1"/>
    <col min="258" max="258" width="8.7109375" customWidth="1"/>
    <col min="259" max="259" width="12.7109375" customWidth="1"/>
    <col min="260" max="260" width="13.42578125" customWidth="1"/>
    <col min="261" max="261" width="7.28515625" customWidth="1"/>
    <col min="262" max="262" width="10.7109375" customWidth="1"/>
    <col min="263" max="263" width="12.7109375" customWidth="1"/>
    <col min="264" max="264" width="16.28515625" customWidth="1"/>
    <col min="265" max="265" width="7.28515625" customWidth="1"/>
    <col min="266" max="266" width="8.7109375" customWidth="1"/>
    <col min="267" max="267" width="12.7109375" customWidth="1"/>
    <col min="268" max="268" width="13.42578125" customWidth="1"/>
    <col min="269" max="269" width="1.7109375" customWidth="1"/>
    <col min="270" max="270" width="8.7109375" customWidth="1"/>
    <col min="271" max="271" width="12.7109375" customWidth="1"/>
    <col min="272" max="272" width="13.42578125" customWidth="1"/>
    <col min="273" max="273" width="1.7109375" customWidth="1"/>
    <col min="274" max="274" width="8.7109375" customWidth="1"/>
    <col min="275" max="275" width="12.7109375" customWidth="1"/>
    <col min="276" max="276" width="13.42578125" customWidth="1"/>
    <col min="277" max="277" width="1.7109375" customWidth="1"/>
    <col min="278" max="278" width="8.7109375" customWidth="1"/>
    <col min="279" max="279" width="12.7109375" customWidth="1"/>
    <col min="280" max="280" width="13.42578125" customWidth="1"/>
    <col min="281" max="281" width="1.7109375" customWidth="1"/>
    <col min="282" max="282" width="8.7109375" customWidth="1"/>
    <col min="283" max="283" width="12.7109375" customWidth="1"/>
    <col min="284" max="284" width="13.42578125" customWidth="1"/>
    <col min="285" max="285" width="1.7109375" customWidth="1"/>
    <col min="286" max="286" width="8.7109375" customWidth="1"/>
    <col min="287" max="287" width="12.7109375" customWidth="1"/>
    <col min="288" max="288" width="13.42578125" customWidth="1"/>
    <col min="289" max="289" width="1.7109375" customWidth="1"/>
    <col min="290" max="290" width="8.7109375" customWidth="1"/>
    <col min="291" max="291" width="12.7109375" customWidth="1"/>
    <col min="292" max="292" width="13.42578125" customWidth="1"/>
    <col min="293" max="293" width="1.7109375" customWidth="1"/>
    <col min="294" max="294" width="8.7109375" customWidth="1"/>
    <col min="295" max="295" width="12.7109375" customWidth="1"/>
    <col min="296" max="296" width="13.42578125" customWidth="1"/>
    <col min="297" max="297" width="1.7109375" customWidth="1"/>
    <col min="298" max="298" width="8.7109375" customWidth="1"/>
    <col min="299" max="299" width="12.7109375" customWidth="1"/>
    <col min="300" max="300" width="13.42578125" customWidth="1"/>
    <col min="301" max="301" width="1.7109375" customWidth="1"/>
    <col min="302" max="302" width="8.7109375" customWidth="1"/>
    <col min="303" max="303" width="12.7109375" customWidth="1"/>
    <col min="304" max="304" width="13.42578125" customWidth="1"/>
    <col min="305" max="305" width="1.7109375" customWidth="1"/>
    <col min="306" max="306" width="8.7109375" customWidth="1"/>
    <col min="307" max="307" width="12.7109375" customWidth="1"/>
    <col min="308" max="308" width="13.42578125" customWidth="1"/>
    <col min="309" max="309" width="1.7109375" customWidth="1"/>
    <col min="310" max="310" width="8.7109375" customWidth="1"/>
    <col min="311" max="311" width="12.7109375" customWidth="1"/>
    <col min="312" max="312" width="13.42578125" customWidth="1"/>
    <col min="313" max="313" width="6.7109375" customWidth="1"/>
    <col min="314" max="314" width="10.7109375" customWidth="1"/>
    <col min="315" max="315" width="12.7109375" customWidth="1"/>
    <col min="316" max="316" width="16.28515625" customWidth="1"/>
  </cols>
  <sheetData>
    <row r="1" ht="15" customHeight="1" spans="109:109" x14ac:dyDescent="0.25">
      <c r="DE1" t="s">
        <v>222</v>
      </c>
    </row>
    <row r="2" ht="18.75" customHeight="1" spans="2:316" x14ac:dyDescent="0.25">
      <c r="B2" s="9" t="s">
        <v>201</v>
      </c>
      <c r="C2" s="17" t="s">
        <v>202</v>
      </c>
      <c r="G2" s="54"/>
      <c r="H2" s="54"/>
      <c r="I2" s="54"/>
      <c r="K2" s="54"/>
      <c r="L2" s="54"/>
      <c r="M2" s="54"/>
      <c r="O2" s="54"/>
      <c r="P2" s="54"/>
      <c r="Q2" s="54"/>
      <c r="S2" s="54"/>
      <c r="T2" s="54"/>
      <c r="U2" s="54"/>
      <c r="W2" s="54"/>
      <c r="X2" s="54"/>
      <c r="Y2" s="54"/>
      <c r="AA2" s="54"/>
      <c r="AB2" s="54"/>
      <c r="AC2" s="54"/>
      <c r="AE2" s="54"/>
      <c r="AF2" s="54"/>
      <c r="AG2" s="54"/>
      <c r="AI2" s="54"/>
      <c r="AJ2" s="54"/>
      <c r="AK2" s="54"/>
      <c r="AM2" s="54"/>
      <c r="AN2" s="54"/>
      <c r="AO2" s="54"/>
      <c r="AP2" s="54"/>
      <c r="AQ2" s="54"/>
      <c r="AR2" s="54"/>
      <c r="AS2" s="54"/>
      <c r="AT2" s="54"/>
      <c r="AU2" s="54"/>
      <c r="AV2" s="54"/>
      <c r="AW2" s="54"/>
      <c r="AX2" s="54"/>
      <c r="AY2" s="54"/>
      <c r="AZ2" s="54"/>
      <c r="BA2" s="54"/>
      <c r="BB2" s="54"/>
      <c r="BC2" s="54"/>
      <c r="BD2" s="54"/>
      <c r="DC2" s="54"/>
      <c r="DD2" s="54"/>
      <c r="FC2" s="54"/>
      <c r="FD2" s="54"/>
      <c r="HC2" s="54"/>
      <c r="HD2" s="54"/>
      <c r="JC2" s="54"/>
      <c r="JD2" s="54"/>
      <c r="LC2" s="54"/>
      <c r="LD2" s="54"/>
    </row>
    <row r="3" ht="18.75" customHeight="1" spans="2:316" x14ac:dyDescent="0.25">
      <c r="B3" s="9"/>
      <c r="C3" s="17"/>
      <c r="G3" s="54" t="str">
        <f>IF(MONTH(F5)&lt;=3,TEXT(F5,"yyyy")-1 &amp; "-" &amp; TEXT(F5,"yy"),IF(MONTH(F5)&gt;3,TEXT(F5,"yyyy") &amp; "-" &amp; TEXT(F5,"yy")+1))</f>
        <v>1899-00</v>
      </c>
      <c r="H3" s="54"/>
      <c r="I3" s="54"/>
      <c r="K3" s="54" t="str">
        <f>IF(MONTH(J5)&lt;=3,TEXT(J5,"yyyy")-1 &amp; "-" &amp; TEXT(J5,"yy"),IF(MONTH(J5)&gt;3,TEXT(J5,"yyyy") &amp; "-" &amp; TEXT(J5,"yy")+1))</f>
        <v>1899-00</v>
      </c>
      <c r="L3" s="54"/>
      <c r="M3" s="54"/>
      <c r="O3" s="54" t="str">
        <f>IF(MONTH(N5)&lt;=3,TEXT(N5,"yyyy")-1 &amp; "-" &amp; TEXT(N5,"yy"),IF(MONTH(N5)&gt;3,TEXT(N5,"yyyy") &amp; "-" &amp; TEXT(N5,"yy")+1))</f>
        <v>1899-00</v>
      </c>
      <c r="P3" s="54"/>
      <c r="Q3" s="54"/>
      <c r="S3" s="54" t="str">
        <f>IF(MONTH(R5)&lt;=3,TEXT(R5,"yyyy")-1 &amp; "-" &amp; TEXT(R5,"yy"),IF(MONTH(R5)&gt;3,TEXT(R5,"yyyy") &amp; "-" &amp; TEXT(R5,"yy")+1))</f>
        <v>1900-1</v>
      </c>
      <c r="T3" s="54"/>
      <c r="U3" s="54"/>
      <c r="W3" s="54" t="str">
        <f>IF(MONTH(V5)&lt;=3,TEXT(V5,"yyyy")-1 &amp; "-" &amp; TEXT(V5,"yy"),IF(MONTH(V5)&gt;3,TEXT(V5,"yyyy") &amp; "-" &amp; TEXT(V5,"yy")+1))</f>
        <v>1900-1</v>
      </c>
      <c r="X3" s="54"/>
      <c r="Y3" s="54"/>
      <c r="AA3" s="54" t="str">
        <f>IF(MONTH(Z5)&lt;=3,TEXT(Z5,"yyyy")-1 &amp; "-" &amp; TEXT(Z5,"yy"),IF(MONTH(Z5)&gt;3,TEXT(Z5,"yyyy") &amp; "-" &amp; TEXT(Z5,"yy")+1))</f>
        <v>1900-1</v>
      </c>
      <c r="AB3" s="54"/>
      <c r="AC3" s="54"/>
      <c r="AE3" s="54" t="str">
        <f>IF(MONTH(AD5)&lt;=3,TEXT(AD5,"yyyy")-1 &amp; "-" &amp; TEXT(AD5,"yy"),IF(MONTH(AD5)&gt;3,TEXT(AD5,"yyyy") &amp; "-" &amp; TEXT(AD5,"yy")+1))</f>
        <v>1900-1</v>
      </c>
      <c r="AF3" s="54"/>
      <c r="AG3" s="54"/>
      <c r="AI3" s="54" t="str">
        <f>IF(MONTH(AH5)&lt;=3,TEXT(AH5,"yyyy")-1 &amp; "-" &amp; TEXT(AH5,"yy"),IF(MONTH(AH5)&gt;3,TEXT(AH5,"yyyy") &amp; "-" &amp; TEXT(AH5,"yy")+1))</f>
        <v>1900-1</v>
      </c>
      <c r="AJ3" s="54"/>
      <c r="AK3" s="54"/>
      <c r="AM3" s="54" t="str">
        <f>IF(MONTH(AL5)&lt;=3,TEXT(AL5,"yyyy")-1 &amp; "-" &amp; TEXT(AL5,"yy"),IF(MONTH(AL5)&gt;3,TEXT(AL5,"yyyy") &amp; "-" &amp; TEXT(AL5,"yy")+1))</f>
        <v>1900-1</v>
      </c>
      <c r="AN3" s="54"/>
      <c r="AO3" s="54"/>
      <c r="AP3" s="54"/>
      <c r="AQ3" s="54" t="str">
        <f>IF(MONTH(AP5)&lt;=3,TEXT(AP5,"yyyy")-1 &amp; "-" &amp; TEXT(AP5,"yy"),IF(MONTH(AP5)&gt;3,TEXT(AP5,"yyyy") &amp; "-" &amp; TEXT(AP5,"yy")+1))</f>
        <v>1900-1</v>
      </c>
      <c r="AR3" s="54"/>
      <c r="AS3" s="54"/>
      <c r="AT3" s="54"/>
      <c r="AU3" s="54" t="str">
        <f>IF(MONTH(AT5)&lt;=3,TEXT(AT5,"yyyy")-1 &amp; "-" &amp; TEXT(AT5,"yy"),IF(MONTH(AT5)&gt;3,TEXT(AT5,"yyyy") &amp; "-" &amp; TEXT(AT5,"yy")+1))</f>
        <v>1900-1</v>
      </c>
      <c r="AV3" s="54"/>
      <c r="AW3" s="54"/>
      <c r="AX3" s="54"/>
      <c r="AY3" s="54" t="str">
        <f>IF(MONTH(AX5)&lt;=3,TEXT(AX5,"yyyy")-1 &amp; "-" &amp; TEXT(AX5,"yy"),IF(MONTH(AX5)&gt;3,TEXT(AX5,"yyyy") &amp; "-" &amp; TEXT(AX5,"yy")+1))</f>
        <v>1900-1</v>
      </c>
      <c r="AZ3" s="54"/>
      <c r="BA3" s="54"/>
      <c r="BB3" s="54"/>
      <c r="BC3" s="54"/>
      <c r="BD3" s="54"/>
      <c r="BF3" s="13" t="s">
        <v>223</v>
      </c>
      <c r="BG3" s="54" t="str">
        <f>IF(MONTH(BF5)&lt;=3,TEXT(BF5,"yyyy")-1 &amp; "-" &amp; TEXT(BF5,"yy"),IF(MONTH(BF5)&gt;3,TEXT(BF5,"yyyy") &amp; "-" &amp; TEXT(BF5,"yy")+1))</f>
        <v>1900-01</v>
      </c>
      <c r="BK3" s="54" t="str">
        <f>IF(MONTH(BJ5)&lt;=3,TEXT(BJ5,"yyyy")-1 &amp; "-" &amp; TEXT(BJ5,"yy"),IF(MONTH(BJ5)&gt;3,TEXT(BJ5,"yyyy") &amp; "-" &amp; TEXT(BJ5,"yy")+1))</f>
        <v>1900-01</v>
      </c>
      <c r="BO3" s="61"/>
      <c r="BS3" s="61"/>
      <c r="DC3" s="54"/>
      <c r="DD3" s="54"/>
      <c r="FC3" s="54"/>
      <c r="FD3" s="54"/>
      <c r="HC3" s="54"/>
      <c r="HD3" s="54"/>
      <c r="JC3" s="54"/>
      <c r="JD3" s="54"/>
      <c r="LC3" s="54"/>
      <c r="LD3" s="54"/>
    </row>
    <row r="4" spans="2:316" x14ac:dyDescent="0.25">
      <c r="B4" s="9"/>
      <c r="C4" s="19" t="s">
        <v>203</v>
      </c>
      <c r="D4" s="19"/>
      <c r="E4" s="20"/>
      <c r="F4" s="62"/>
      <c r="G4" s="63" t="s">
        <v>204</v>
      </c>
      <c r="H4" s="64">
        <v>1</v>
      </c>
      <c r="I4" s="65"/>
      <c r="J4" s="62"/>
      <c r="K4" s="63" t="s">
        <v>204</v>
      </c>
      <c r="L4" s="64">
        <f>H4+1</f>
        <v>2</v>
      </c>
      <c r="M4" s="65"/>
      <c r="N4" s="62"/>
      <c r="O4" s="66" t="s">
        <v>204</v>
      </c>
      <c r="P4" s="67">
        <f>L4+1</f>
        <v>3</v>
      </c>
      <c r="Q4" s="65"/>
      <c r="R4" s="62"/>
      <c r="S4" s="66" t="s">
        <v>204</v>
      </c>
      <c r="T4" s="67">
        <f>P4+1</f>
        <v>4</v>
      </c>
      <c r="U4" s="65"/>
      <c r="V4" s="62"/>
      <c r="W4" s="66" t="s">
        <v>204</v>
      </c>
      <c r="X4" s="67">
        <f>T4+1</f>
        <v>5</v>
      </c>
      <c r="Y4" s="65"/>
      <c r="Z4" s="62"/>
      <c r="AA4" s="66" t="s">
        <v>204</v>
      </c>
      <c r="AB4" s="67">
        <f>X4+1</f>
        <v>6</v>
      </c>
      <c r="AC4" s="65"/>
      <c r="AD4" s="62"/>
      <c r="AE4" s="66" t="s">
        <v>204</v>
      </c>
      <c r="AF4" s="67">
        <f>AB4+1</f>
        <v>7</v>
      </c>
      <c r="AG4" s="65"/>
      <c r="AH4" s="62"/>
      <c r="AI4" s="66" t="s">
        <v>204</v>
      </c>
      <c r="AJ4" s="67">
        <f>AF4+1</f>
        <v>8</v>
      </c>
      <c r="AK4" s="65"/>
      <c r="AL4" s="62"/>
      <c r="AM4" s="66" t="s">
        <v>204</v>
      </c>
      <c r="AN4" s="67">
        <f>AJ4+1</f>
        <v>9</v>
      </c>
      <c r="AO4" s="65"/>
      <c r="AP4" s="62"/>
      <c r="AQ4" s="66" t="s">
        <v>204</v>
      </c>
      <c r="AR4" s="67">
        <f>AN4+1</f>
        <v>10</v>
      </c>
      <c r="AS4" s="65"/>
      <c r="AT4" s="62"/>
      <c r="AU4" s="66" t="s">
        <v>204</v>
      </c>
      <c r="AV4" s="67">
        <f>AR4+1</f>
        <v>11</v>
      </c>
      <c r="AW4" s="65"/>
      <c r="AX4" s="62"/>
      <c r="AY4" s="66" t="s">
        <v>204</v>
      </c>
      <c r="AZ4" s="67">
        <f>AV4+1</f>
        <v>12</v>
      </c>
      <c r="BA4" s="65"/>
      <c r="BB4" s="62" t="s">
        <v>181</v>
      </c>
      <c r="BC4" s="62"/>
      <c r="BD4" s="62"/>
      <c r="BF4" s="62"/>
      <c r="BG4" s="63" t="s">
        <v>204</v>
      </c>
      <c r="BH4" s="64">
        <f>AZ4+1</f>
        <v>13</v>
      </c>
      <c r="BI4" s="65"/>
      <c r="BJ4" s="62"/>
      <c r="BK4" s="63" t="s">
        <v>204</v>
      </c>
      <c r="BL4" s="64">
        <f>BH4+1</f>
        <v>14</v>
      </c>
      <c r="BM4" s="65"/>
      <c r="BN4" s="62"/>
      <c r="BO4" s="66" t="s">
        <v>204</v>
      </c>
      <c r="BP4" s="67">
        <f>BL4+1</f>
        <v>15</v>
      </c>
      <c r="BQ4" s="65"/>
      <c r="BR4" s="62"/>
      <c r="BS4" s="66" t="s">
        <v>204</v>
      </c>
      <c r="BT4" s="67">
        <f>BP4+1</f>
        <v>16</v>
      </c>
      <c r="BU4" s="65"/>
      <c r="BV4" s="62"/>
      <c r="BW4" s="66" t="s">
        <v>204</v>
      </c>
      <c r="BX4" s="67">
        <f>BT4+1</f>
        <v>17</v>
      </c>
      <c r="BY4" s="65"/>
      <c r="BZ4" s="62"/>
      <c r="CA4" s="66" t="s">
        <v>204</v>
      </c>
      <c r="CB4" s="67">
        <f>BX4+1</f>
        <v>18</v>
      </c>
      <c r="CC4" s="65"/>
      <c r="CD4" s="62"/>
      <c r="CE4" s="66" t="s">
        <v>204</v>
      </c>
      <c r="CF4" s="67">
        <f>CB4+1</f>
        <v>19</v>
      </c>
      <c r="CG4" s="65"/>
      <c r="CH4" s="62"/>
      <c r="CI4" s="66" t="s">
        <v>204</v>
      </c>
      <c r="CJ4" s="67">
        <f>CF4+1</f>
        <v>20</v>
      </c>
      <c r="CK4" s="65"/>
      <c r="CL4" s="62"/>
      <c r="CM4" s="66" t="s">
        <v>204</v>
      </c>
      <c r="CN4" s="67">
        <f>CJ4+1</f>
        <v>21</v>
      </c>
      <c r="CO4" s="65"/>
      <c r="CP4" s="62"/>
      <c r="CQ4" s="66" t="s">
        <v>204</v>
      </c>
      <c r="CR4" s="67">
        <f>CN4+1</f>
        <v>22</v>
      </c>
      <c r="CS4" s="65"/>
      <c r="CT4" s="62"/>
      <c r="CU4" s="66" t="s">
        <v>204</v>
      </c>
      <c r="CV4" s="67">
        <f>CR4+1</f>
        <v>23</v>
      </c>
      <c r="CW4" s="65"/>
      <c r="CX4" s="62"/>
      <c r="CY4" s="66" t="s">
        <v>204</v>
      </c>
      <c r="CZ4" s="67">
        <f>CV4+1</f>
        <v>24</v>
      </c>
      <c r="DA4" s="68"/>
      <c r="DB4" s="62" t="s">
        <v>224</v>
      </c>
      <c r="DC4" s="62"/>
      <c r="DD4" s="62"/>
      <c r="DF4" s="62"/>
      <c r="DG4" s="63" t="s">
        <v>204</v>
      </c>
      <c r="DH4" s="64">
        <f>CZ4+1</f>
        <v>25</v>
      </c>
      <c r="DI4" s="65"/>
      <c r="DJ4" s="62"/>
      <c r="DK4" s="63" t="s">
        <v>204</v>
      </c>
      <c r="DL4" s="64">
        <f>DH4+1</f>
        <v>26</v>
      </c>
      <c r="DM4" s="65"/>
      <c r="DN4" s="62"/>
      <c r="DO4" s="66" t="s">
        <v>204</v>
      </c>
      <c r="DP4" s="67">
        <f>DL4+1</f>
        <v>27</v>
      </c>
      <c r="DQ4" s="65"/>
      <c r="DR4" s="62"/>
      <c r="DS4" s="66" t="s">
        <v>204</v>
      </c>
      <c r="DT4" s="67">
        <f>DP4+1</f>
        <v>28</v>
      </c>
      <c r="DU4" s="65"/>
      <c r="DV4" s="62"/>
      <c r="DW4" s="66" t="s">
        <v>204</v>
      </c>
      <c r="DX4" s="67">
        <f>DT4+1</f>
        <v>29</v>
      </c>
      <c r="DY4" s="65"/>
      <c r="DZ4" s="62"/>
      <c r="EA4" s="66" t="s">
        <v>204</v>
      </c>
      <c r="EB4" s="67">
        <f>DX4+1</f>
        <v>30</v>
      </c>
      <c r="EC4" s="65"/>
      <c r="ED4" s="62"/>
      <c r="EE4" s="66" t="s">
        <v>204</v>
      </c>
      <c r="EF4" s="67">
        <f>EB4+1</f>
        <v>31</v>
      </c>
      <c r="EG4" s="65"/>
      <c r="EH4" s="62"/>
      <c r="EI4" s="66" t="s">
        <v>204</v>
      </c>
      <c r="EJ4" s="67">
        <f>EF4+1</f>
        <v>32</v>
      </c>
      <c r="EK4" s="65"/>
      <c r="EL4" s="62"/>
      <c r="EM4" s="66" t="s">
        <v>204</v>
      </c>
      <c r="EN4" s="67">
        <f>EJ4+1</f>
        <v>33</v>
      </c>
      <c r="EO4" s="65"/>
      <c r="EP4" s="62"/>
      <c r="EQ4" s="66" t="s">
        <v>204</v>
      </c>
      <c r="ER4" s="67">
        <f>EN4+1</f>
        <v>34</v>
      </c>
      <c r="ES4" s="65"/>
      <c r="ET4" s="62"/>
      <c r="EU4" s="66" t="s">
        <v>204</v>
      </c>
      <c r="EV4" s="67">
        <f>ER4+1</f>
        <v>35</v>
      </c>
      <c r="EW4" s="65"/>
      <c r="EX4" s="62"/>
      <c r="EY4" s="66" t="s">
        <v>204</v>
      </c>
      <c r="EZ4" s="67">
        <f>EV4+1</f>
        <v>36</v>
      </c>
      <c r="FA4" s="68"/>
      <c r="FB4" s="62" t="s">
        <v>207</v>
      </c>
      <c r="FC4" s="62"/>
      <c r="FD4" s="62"/>
      <c r="FF4" s="62"/>
      <c r="FG4" s="63" t="s">
        <v>204</v>
      </c>
      <c r="FH4" s="64">
        <f>EZ4+1</f>
        <v>37</v>
      </c>
      <c r="FI4" s="65"/>
      <c r="FJ4" s="62"/>
      <c r="FK4" s="63" t="s">
        <v>204</v>
      </c>
      <c r="FL4" s="64">
        <f>FH4+1</f>
        <v>38</v>
      </c>
      <c r="FM4" s="65"/>
      <c r="FN4" s="62"/>
      <c r="FO4" s="66" t="s">
        <v>204</v>
      </c>
      <c r="FP4" s="67">
        <f>FL4+1</f>
        <v>39</v>
      </c>
      <c r="FQ4" s="65"/>
      <c r="FR4" s="62"/>
      <c r="FS4" s="66" t="s">
        <v>204</v>
      </c>
      <c r="FT4" s="67">
        <f>FP4+1</f>
        <v>40</v>
      </c>
      <c r="FU4" s="65"/>
      <c r="FV4" s="62"/>
      <c r="FW4" s="66" t="s">
        <v>204</v>
      </c>
      <c r="FX4" s="67">
        <f>FT4+1</f>
        <v>41</v>
      </c>
      <c r="FY4" s="65"/>
      <c r="FZ4" s="62"/>
      <c r="GA4" s="66" t="s">
        <v>204</v>
      </c>
      <c r="GB4" s="67">
        <f>FX4+1</f>
        <v>42</v>
      </c>
      <c r="GC4" s="65"/>
      <c r="GD4" s="62"/>
      <c r="GE4" s="66" t="s">
        <v>204</v>
      </c>
      <c r="GF4" s="67">
        <f>GB4+1</f>
        <v>43</v>
      </c>
      <c r="GG4" s="65"/>
      <c r="GH4" s="62"/>
      <c r="GI4" s="66" t="s">
        <v>204</v>
      </c>
      <c r="GJ4" s="67">
        <f>GF4+1</f>
        <v>44</v>
      </c>
      <c r="GK4" s="65"/>
      <c r="GL4" s="62"/>
      <c r="GM4" s="66" t="s">
        <v>204</v>
      </c>
      <c r="GN4" s="67">
        <f>GJ4+1</f>
        <v>45</v>
      </c>
      <c r="GO4" s="65"/>
      <c r="GP4" s="62"/>
      <c r="GQ4" s="66" t="s">
        <v>204</v>
      </c>
      <c r="GR4" s="67">
        <f>GN4+1</f>
        <v>46</v>
      </c>
      <c r="GS4" s="65"/>
      <c r="GT4" s="62"/>
      <c r="GU4" s="66" t="s">
        <v>204</v>
      </c>
      <c r="GV4" s="67">
        <f>GR4+1</f>
        <v>47</v>
      </c>
      <c r="GW4" s="65"/>
      <c r="GX4" s="62"/>
      <c r="GY4" s="66" t="s">
        <v>204</v>
      </c>
      <c r="GZ4" s="67">
        <f>GV4+1</f>
        <v>48</v>
      </c>
      <c r="HB4" s="62" t="s">
        <v>208</v>
      </c>
      <c r="HC4" s="62"/>
      <c r="HD4" s="62"/>
      <c r="HF4" s="62"/>
      <c r="HG4" s="63" t="s">
        <v>204</v>
      </c>
      <c r="HH4" s="64">
        <f>GZ4+1</f>
        <v>49</v>
      </c>
      <c r="HI4" s="65"/>
      <c r="HJ4" s="62"/>
      <c r="HK4" s="63" t="s">
        <v>204</v>
      </c>
      <c r="HL4" s="64">
        <f>HH4+1</f>
        <v>50</v>
      </c>
      <c r="HM4" s="65"/>
      <c r="HN4" s="62"/>
      <c r="HO4" s="66" t="s">
        <v>204</v>
      </c>
      <c r="HP4" s="67">
        <f>HL4+1</f>
        <v>51</v>
      </c>
      <c r="HQ4" s="65"/>
      <c r="HR4" s="62"/>
      <c r="HS4" s="66" t="s">
        <v>204</v>
      </c>
      <c r="HT4" s="67">
        <f>HP4+1</f>
        <v>52</v>
      </c>
      <c r="HU4" s="65"/>
      <c r="HV4" s="62"/>
      <c r="HW4" s="66" t="s">
        <v>204</v>
      </c>
      <c r="HX4" s="67">
        <f>HT4+1</f>
        <v>53</v>
      </c>
      <c r="HY4" s="65"/>
      <c r="HZ4" s="62"/>
      <c r="IA4" s="66" t="s">
        <v>204</v>
      </c>
      <c r="IB4" s="67">
        <f>HX4+1</f>
        <v>54</v>
      </c>
      <c r="IC4" s="65"/>
      <c r="ID4" s="62"/>
      <c r="IE4" s="66" t="s">
        <v>204</v>
      </c>
      <c r="IF4" s="67">
        <f>IB4+1</f>
        <v>55</v>
      </c>
      <c r="IG4" s="65"/>
      <c r="IH4" s="62"/>
      <c r="II4" s="66" t="s">
        <v>204</v>
      </c>
      <c r="IJ4" s="67">
        <f>IF4+1</f>
        <v>56</v>
      </c>
      <c r="IK4" s="65"/>
      <c r="IL4" s="62"/>
      <c r="IM4" s="66" t="s">
        <v>204</v>
      </c>
      <c r="IN4" s="67">
        <f>IJ4+1</f>
        <v>57</v>
      </c>
      <c r="IO4" s="65"/>
      <c r="IP4" s="62"/>
      <c r="IQ4" s="66" t="s">
        <v>204</v>
      </c>
      <c r="IR4" s="67">
        <f>IN4+1</f>
        <v>58</v>
      </c>
      <c r="IS4" s="65"/>
      <c r="IT4" s="62"/>
      <c r="IU4" s="66" t="s">
        <v>204</v>
      </c>
      <c r="IV4" s="67">
        <f>IR4+1</f>
        <v>59</v>
      </c>
      <c r="IW4" s="65"/>
      <c r="IX4" s="62"/>
      <c r="IY4" s="66" t="s">
        <v>204</v>
      </c>
      <c r="IZ4" s="67">
        <f>IV4+1</f>
        <v>60</v>
      </c>
      <c r="JB4" s="62" t="s">
        <v>209</v>
      </c>
      <c r="JC4" s="62"/>
      <c r="JD4" s="62"/>
      <c r="JF4" s="62"/>
      <c r="JG4" s="63" t="s">
        <v>204</v>
      </c>
      <c r="JH4" s="64">
        <f>IZ4+1</f>
        <v>61</v>
      </c>
      <c r="JI4" s="65"/>
      <c r="JJ4" s="62"/>
      <c r="JK4" s="63" t="s">
        <v>204</v>
      </c>
      <c r="JL4" s="64">
        <f>JH4+1</f>
        <v>62</v>
      </c>
      <c r="JM4" s="65"/>
      <c r="JN4" s="62"/>
      <c r="JO4" s="66" t="s">
        <v>204</v>
      </c>
      <c r="JP4" s="67">
        <f>JL4+1</f>
        <v>63</v>
      </c>
      <c r="JQ4" s="65"/>
      <c r="JR4" s="62"/>
      <c r="JS4" s="66" t="s">
        <v>204</v>
      </c>
      <c r="JT4" s="67">
        <f>JP4+1</f>
        <v>64</v>
      </c>
      <c r="JU4" s="65"/>
      <c r="JV4" s="62"/>
      <c r="JW4" s="66" t="s">
        <v>204</v>
      </c>
      <c r="JX4" s="67">
        <f>JT4+1</f>
        <v>65</v>
      </c>
      <c r="JY4" s="65"/>
      <c r="JZ4" s="62"/>
      <c r="KA4" s="66" t="s">
        <v>204</v>
      </c>
      <c r="KB4" s="67">
        <f>JX4+1</f>
        <v>66</v>
      </c>
      <c r="KC4" s="65"/>
      <c r="KD4" s="62"/>
      <c r="KE4" s="66" t="s">
        <v>204</v>
      </c>
      <c r="KF4" s="67">
        <f>KB4+1</f>
        <v>67</v>
      </c>
      <c r="KG4" s="65"/>
      <c r="KH4" s="62"/>
      <c r="KI4" s="66" t="s">
        <v>204</v>
      </c>
      <c r="KJ4" s="67">
        <f>KF4+1</f>
        <v>68</v>
      </c>
      <c r="KK4" s="65"/>
      <c r="KL4" s="62"/>
      <c r="KM4" s="66" t="s">
        <v>204</v>
      </c>
      <c r="KN4" s="67">
        <f>KJ4+1</f>
        <v>69</v>
      </c>
      <c r="KO4" s="65"/>
      <c r="KP4" s="62"/>
      <c r="KQ4" s="66" t="s">
        <v>204</v>
      </c>
      <c r="KR4" s="67">
        <f>KN4+1</f>
        <v>70</v>
      </c>
      <c r="KS4" s="65"/>
      <c r="KT4" s="62"/>
      <c r="KU4" s="66" t="s">
        <v>204</v>
      </c>
      <c r="KV4" s="67">
        <f>KR4+1</f>
        <v>71</v>
      </c>
      <c r="KW4" s="65"/>
      <c r="KX4" s="62"/>
      <c r="KY4" s="66" t="s">
        <v>204</v>
      </c>
      <c r="KZ4" s="67">
        <f>KV4+1</f>
        <v>72</v>
      </c>
      <c r="LB4" s="62" t="s">
        <v>210</v>
      </c>
      <c r="LC4" s="62"/>
      <c r="LD4" s="62"/>
    </row>
    <row r="5" spans="2:316" x14ac:dyDescent="0.25">
      <c r="B5" s="9"/>
      <c r="C5" s="19"/>
      <c r="D5" s="19"/>
      <c r="E5" s="20"/>
      <c r="F5" s="69">
        <f>EOMONTH('A.I Revenue Streams - P2'!E5,0)</f>
        <v>31</v>
      </c>
      <c r="G5" s="69"/>
      <c r="H5" s="69"/>
      <c r="I5" s="70"/>
      <c r="J5" s="69">
        <f>EOMONTH($F$5,1)</f>
        <v>59</v>
      </c>
      <c r="K5" s="69"/>
      <c r="L5" s="69"/>
      <c r="M5" s="70"/>
      <c r="N5" s="69">
        <f>EOMONTH($F$5,2)</f>
        <v>91</v>
      </c>
      <c r="O5" s="69"/>
      <c r="P5" s="69"/>
      <c r="Q5" s="70"/>
      <c r="R5" s="69">
        <f>EOMONTH($F$5,3)</f>
        <v>121</v>
      </c>
      <c r="S5" s="69"/>
      <c r="T5" s="69"/>
      <c r="U5" s="70"/>
      <c r="V5" s="69">
        <f>EOMONTH($F$5,4)</f>
        <v>152</v>
      </c>
      <c r="W5" s="69"/>
      <c r="X5" s="69"/>
      <c r="Y5" s="70"/>
      <c r="Z5" s="69">
        <f>EOMONTH($F$5,5)</f>
        <v>182</v>
      </c>
      <c r="AA5" s="69"/>
      <c r="AB5" s="69"/>
      <c r="AC5" s="70"/>
      <c r="AD5" s="69">
        <f>EOMONTH($F$5,6)</f>
        <v>213</v>
      </c>
      <c r="AE5" s="69"/>
      <c r="AF5" s="69"/>
      <c r="AG5" s="70"/>
      <c r="AH5" s="69">
        <f>EOMONTH($F$5,7)</f>
        <v>244</v>
      </c>
      <c r="AI5" s="69"/>
      <c r="AJ5" s="69"/>
      <c r="AK5" s="70"/>
      <c r="AL5" s="69">
        <f>EOMONTH($F$5,8)</f>
        <v>274</v>
      </c>
      <c r="AM5" s="69"/>
      <c r="AN5" s="69"/>
      <c r="AO5" s="70"/>
      <c r="AP5" s="69">
        <f>EOMONTH($F$5,9)</f>
        <v>305</v>
      </c>
      <c r="AQ5" s="69"/>
      <c r="AR5" s="69"/>
      <c r="AS5" s="70"/>
      <c r="AT5" s="69">
        <f>EOMONTH($F$5,10)</f>
        <v>335</v>
      </c>
      <c r="AU5" s="69"/>
      <c r="AV5" s="69"/>
      <c r="AW5" s="70"/>
      <c r="AX5" s="69">
        <f>EOMONTH($F$5,11)</f>
        <v>366</v>
      </c>
      <c r="AY5" s="69"/>
      <c r="AZ5" s="69"/>
      <c r="BA5" s="70"/>
      <c r="BB5" s="71" t="s">
        <v>225</v>
      </c>
      <c r="BC5" s="71"/>
      <c r="BD5" s="71"/>
      <c r="BF5" s="69">
        <f>EOMONTH($F$5,12)</f>
        <v>397</v>
      </c>
      <c r="BG5" s="69"/>
      <c r="BH5" s="69"/>
      <c r="BI5" s="70"/>
      <c r="BJ5" s="69">
        <f>EOMONTH($F$5,13)</f>
        <v>425</v>
      </c>
      <c r="BK5" s="69"/>
      <c r="BL5" s="69"/>
      <c r="BM5" s="70"/>
      <c r="BN5" s="69">
        <f>EOMONTH($F$5,14)</f>
        <v>456</v>
      </c>
      <c r="BO5" s="69"/>
      <c r="BP5" s="69"/>
      <c r="BQ5" s="70"/>
      <c r="BR5" s="69">
        <f>EOMONTH($F$5,15)</f>
        <v>486</v>
      </c>
      <c r="BS5" s="69"/>
      <c r="BT5" s="69"/>
      <c r="BU5" s="70"/>
      <c r="BV5" s="69">
        <f>EOMONTH($F$5,16)</f>
        <v>517</v>
      </c>
      <c r="BW5" s="69"/>
      <c r="BX5" s="69"/>
      <c r="BY5" s="70"/>
      <c r="BZ5" s="69">
        <f>EOMONTH($F$5,17)</f>
        <v>547</v>
      </c>
      <c r="CA5" s="69"/>
      <c r="CB5" s="69"/>
      <c r="CC5" s="70"/>
      <c r="CD5" s="69">
        <f>EOMONTH($F$5,18)</f>
        <v>578</v>
      </c>
      <c r="CE5" s="69"/>
      <c r="CF5" s="69"/>
      <c r="CG5" s="70"/>
      <c r="CH5" s="69">
        <f>EOMONTH($F$5,19)</f>
        <v>609</v>
      </c>
      <c r="CI5" s="69"/>
      <c r="CJ5" s="69"/>
      <c r="CK5" s="70"/>
      <c r="CL5" s="69">
        <f>EOMONTH($F$5,20)</f>
        <v>639</v>
      </c>
      <c r="CM5" s="69"/>
      <c r="CN5" s="69"/>
      <c r="CO5" s="70"/>
      <c r="CP5" s="69">
        <f>EOMONTH($F$5,21)</f>
        <v>670</v>
      </c>
      <c r="CQ5" s="69"/>
      <c r="CR5" s="69"/>
      <c r="CS5" s="70"/>
      <c r="CT5" s="69">
        <f>EOMONTH($F$5,22)</f>
        <v>700</v>
      </c>
      <c r="CU5" s="69"/>
      <c r="CV5" s="69"/>
      <c r="CW5" s="70"/>
      <c r="CX5" s="69">
        <f>EOMONTH($F$5,23)</f>
        <v>731</v>
      </c>
      <c r="CY5" s="69"/>
      <c r="CZ5" s="69"/>
      <c r="DA5" s="70"/>
      <c r="DB5" s="71" t="s">
        <v>226</v>
      </c>
      <c r="DC5" s="71"/>
      <c r="DD5" s="71"/>
      <c r="DF5" s="69">
        <f>EOMONTH($F$5,24)</f>
        <v>762</v>
      </c>
      <c r="DG5" s="69"/>
      <c r="DH5" s="69"/>
      <c r="DI5" s="70"/>
      <c r="DJ5" s="69">
        <f>EOMONTH($F$5,25)</f>
        <v>790</v>
      </c>
      <c r="DK5" s="69"/>
      <c r="DL5" s="69"/>
      <c r="DM5" s="70"/>
      <c r="DN5" s="69">
        <f>EOMONTH($F$5,26)</f>
        <v>821</v>
      </c>
      <c r="DO5" s="69"/>
      <c r="DP5" s="69"/>
      <c r="DQ5" s="70"/>
      <c r="DR5" s="69">
        <f>EOMONTH($F$5,27)</f>
        <v>851</v>
      </c>
      <c r="DS5" s="69"/>
      <c r="DT5" s="69"/>
      <c r="DU5" s="70"/>
      <c r="DV5" s="69">
        <f>EOMONTH($F$5,28)</f>
        <v>882</v>
      </c>
      <c r="DW5" s="69"/>
      <c r="DX5" s="69"/>
      <c r="DY5" s="70"/>
      <c r="DZ5" s="69">
        <f>EOMONTH($F$5,29)</f>
        <v>912</v>
      </c>
      <c r="EA5" s="69"/>
      <c r="EB5" s="69"/>
      <c r="EC5" s="70"/>
      <c r="ED5" s="69">
        <f>EOMONTH($F$5,30)</f>
        <v>943</v>
      </c>
      <c r="EE5" s="69"/>
      <c r="EF5" s="69"/>
      <c r="EG5" s="70"/>
      <c r="EH5" s="69">
        <f>EOMONTH($F$5,31)</f>
        <v>974</v>
      </c>
      <c r="EI5" s="69"/>
      <c r="EJ5" s="69"/>
      <c r="EK5" s="70"/>
      <c r="EL5" s="69">
        <f>EOMONTH($F$5,32)</f>
        <v>1004</v>
      </c>
      <c r="EM5" s="69"/>
      <c r="EN5" s="69"/>
      <c r="EO5" s="70"/>
      <c r="EP5" s="69">
        <f>EOMONTH($F$5,33)</f>
        <v>1035</v>
      </c>
      <c r="EQ5" s="69"/>
      <c r="ER5" s="69"/>
      <c r="ES5" s="70"/>
      <c r="ET5" s="69">
        <f>EOMONTH($F$5,34)</f>
        <v>1065</v>
      </c>
      <c r="EU5" s="69"/>
      <c r="EV5" s="69"/>
      <c r="EW5" s="70"/>
      <c r="EX5" s="69">
        <f>EOMONTH($F$5,35)</f>
        <v>1096</v>
      </c>
      <c r="EY5" s="69"/>
      <c r="EZ5" s="69"/>
      <c r="FA5" s="70"/>
      <c r="FB5" s="71" t="s">
        <v>227</v>
      </c>
      <c r="FC5" s="71"/>
      <c r="FD5" s="71"/>
      <c r="FF5" s="69">
        <f>EOMONTH($F$5,36)</f>
        <v>1127</v>
      </c>
      <c r="FG5" s="69"/>
      <c r="FH5" s="69"/>
      <c r="FI5" s="70"/>
      <c r="FJ5" s="69">
        <f>EOMONTH($F$5,37)</f>
        <v>1155</v>
      </c>
      <c r="FK5" s="69"/>
      <c r="FL5" s="69"/>
      <c r="FM5" s="70"/>
      <c r="FN5" s="69">
        <f>EOMONTH($F$5,38)</f>
        <v>1186</v>
      </c>
      <c r="FO5" s="69"/>
      <c r="FP5" s="69"/>
      <c r="FQ5" s="70"/>
      <c r="FR5" s="69">
        <f>EOMONTH($F$5,39)</f>
        <v>1216</v>
      </c>
      <c r="FS5" s="69"/>
      <c r="FT5" s="69"/>
      <c r="FU5" s="70"/>
      <c r="FV5" s="69">
        <f>EOMONTH($F$5,40)</f>
        <v>1247</v>
      </c>
      <c r="FW5" s="69"/>
      <c r="FX5" s="69"/>
      <c r="FY5" s="70"/>
      <c r="FZ5" s="69">
        <f>EOMONTH($F$5,41)</f>
        <v>1277</v>
      </c>
      <c r="GA5" s="69"/>
      <c r="GB5" s="69"/>
      <c r="GC5" s="70"/>
      <c r="GD5" s="69">
        <f>EOMONTH($F$5,42)</f>
        <v>1308</v>
      </c>
      <c r="GE5" s="69"/>
      <c r="GF5" s="69"/>
      <c r="GG5" s="70"/>
      <c r="GH5" s="69">
        <f>EOMONTH($F$5,43)</f>
        <v>1339</v>
      </c>
      <c r="GI5" s="69"/>
      <c r="GJ5" s="69"/>
      <c r="GK5" s="70"/>
      <c r="GL5" s="69">
        <f>EOMONTH($F$5,44)</f>
        <v>1369</v>
      </c>
      <c r="GM5" s="69"/>
      <c r="GN5" s="69"/>
      <c r="GO5" s="70"/>
      <c r="GP5" s="69">
        <f>EOMONTH($F$5,45)</f>
        <v>1400</v>
      </c>
      <c r="GQ5" s="69"/>
      <c r="GR5" s="69"/>
      <c r="GS5" s="70"/>
      <c r="GT5" s="69">
        <f>EOMONTH($F$5,46)</f>
        <v>1430</v>
      </c>
      <c r="GU5" s="69"/>
      <c r="GV5" s="69"/>
      <c r="GW5" s="70"/>
      <c r="GX5" s="69">
        <f>EOMONTH($F$5,47)</f>
        <v>1461</v>
      </c>
      <c r="GY5" s="69"/>
      <c r="GZ5" s="69"/>
      <c r="HB5" s="71" t="s">
        <v>228</v>
      </c>
      <c r="HC5" s="71"/>
      <c r="HD5" s="71"/>
      <c r="HF5" s="69">
        <f>EOMONTH($F$5,48)</f>
        <v>1492</v>
      </c>
      <c r="HG5" s="69"/>
      <c r="HH5" s="69"/>
      <c r="HI5" s="70"/>
      <c r="HJ5" s="69">
        <f>EOMONTH($F$5,49)</f>
        <v>1521</v>
      </c>
      <c r="HK5" s="69"/>
      <c r="HL5" s="69"/>
      <c r="HM5" s="70"/>
      <c r="HN5" s="69">
        <f>EOMONTH($F$5,50)</f>
        <v>1552</v>
      </c>
      <c r="HO5" s="69"/>
      <c r="HP5" s="69"/>
      <c r="HQ5" s="70"/>
      <c r="HR5" s="69">
        <f>EOMONTH($F$5,51)</f>
        <v>1582</v>
      </c>
      <c r="HS5" s="69"/>
      <c r="HT5" s="69"/>
      <c r="HU5" s="70"/>
      <c r="HV5" s="69">
        <f>EOMONTH($F$5,52)</f>
        <v>1613</v>
      </c>
      <c r="HW5" s="69"/>
      <c r="HX5" s="69"/>
      <c r="HY5" s="70"/>
      <c r="HZ5" s="69">
        <f>EOMONTH($F$5,53)</f>
        <v>1643</v>
      </c>
      <c r="IA5" s="69"/>
      <c r="IB5" s="69"/>
      <c r="IC5" s="70"/>
      <c r="ID5" s="69">
        <f>EOMONTH($F$5,54)</f>
        <v>1674</v>
      </c>
      <c r="IE5" s="69"/>
      <c r="IF5" s="69"/>
      <c r="IG5" s="70"/>
      <c r="IH5" s="69">
        <f>EOMONTH($F$5,55)</f>
        <v>1705</v>
      </c>
      <c r="II5" s="69"/>
      <c r="IJ5" s="69"/>
      <c r="IK5" s="70"/>
      <c r="IL5" s="69">
        <f>EOMONTH($F$5,56)</f>
        <v>1735</v>
      </c>
      <c r="IM5" s="69"/>
      <c r="IN5" s="69"/>
      <c r="IO5" s="70"/>
      <c r="IP5" s="69">
        <f>EOMONTH($F$5,57)</f>
        <v>1766</v>
      </c>
      <c r="IQ5" s="69"/>
      <c r="IR5" s="69"/>
      <c r="IS5" s="70"/>
      <c r="IT5" s="69">
        <f>EOMONTH($F$5,58)</f>
        <v>1796</v>
      </c>
      <c r="IU5" s="69"/>
      <c r="IV5" s="69"/>
      <c r="IW5" s="70"/>
      <c r="IX5" s="69">
        <f>EOMONTH($F$5,59)</f>
        <v>1827</v>
      </c>
      <c r="IY5" s="69"/>
      <c r="IZ5" s="69"/>
      <c r="JB5" s="71" t="s">
        <v>229</v>
      </c>
      <c r="JC5" s="71"/>
      <c r="JD5" s="71"/>
      <c r="JF5" s="69">
        <f>EOMONTH($F$5,60)</f>
        <v>1858</v>
      </c>
      <c r="JG5" s="69"/>
      <c r="JH5" s="69"/>
      <c r="JI5" s="70"/>
      <c r="JJ5" s="69">
        <f>EOMONTH($F$5,61)</f>
        <v>1886</v>
      </c>
      <c r="JK5" s="69"/>
      <c r="JL5" s="69"/>
      <c r="JM5" s="70"/>
      <c r="JN5" s="69">
        <f>EOMONTH($F$5,62)</f>
        <v>1917</v>
      </c>
      <c r="JO5" s="69"/>
      <c r="JP5" s="69"/>
      <c r="JQ5" s="70"/>
      <c r="JR5" s="69">
        <f>EOMONTH($F$5,63)</f>
        <v>1947</v>
      </c>
      <c r="JS5" s="69"/>
      <c r="JT5" s="69"/>
      <c r="JU5" s="70"/>
      <c r="JV5" s="69">
        <f>EOMONTH($F$5,64)</f>
        <v>1978</v>
      </c>
      <c r="JW5" s="69"/>
      <c r="JX5" s="69"/>
      <c r="JY5" s="70"/>
      <c r="JZ5" s="69">
        <f>EOMONTH($F$5,65)</f>
        <v>2008</v>
      </c>
      <c r="KA5" s="69"/>
      <c r="KB5" s="69"/>
      <c r="KC5" s="70"/>
      <c r="KD5" s="69">
        <f>EOMONTH($F$5,66)</f>
        <v>2039</v>
      </c>
      <c r="KE5" s="69"/>
      <c r="KF5" s="69"/>
      <c r="KG5" s="70"/>
      <c r="KH5" s="69">
        <f>EOMONTH($F$5,67)</f>
        <v>2070</v>
      </c>
      <c r="KI5" s="69"/>
      <c r="KJ5" s="69"/>
      <c r="KK5" s="70"/>
      <c r="KL5" s="69">
        <f>EOMONTH($F$5,68)</f>
        <v>2100</v>
      </c>
      <c r="KM5" s="69"/>
      <c r="KN5" s="69"/>
      <c r="KO5" s="70"/>
      <c r="KP5" s="69">
        <f>EOMONTH($F$5,69)</f>
        <v>2131</v>
      </c>
      <c r="KQ5" s="69"/>
      <c r="KR5" s="69"/>
      <c r="KS5" s="70"/>
      <c r="KT5" s="69">
        <f>EOMONTH($F$5,70)</f>
        <v>2161</v>
      </c>
      <c r="KU5" s="69"/>
      <c r="KV5" s="69"/>
      <c r="KW5" s="70"/>
      <c r="KX5" s="69">
        <f>EOMONTH($F$5,71)</f>
        <v>2192</v>
      </c>
      <c r="KY5" s="69"/>
      <c r="KZ5" s="69"/>
      <c r="LB5" s="71" t="s">
        <v>230</v>
      </c>
      <c r="LC5" s="71"/>
      <c r="LD5" s="71"/>
    </row>
    <row r="6" spans="2:316" s="23" customFormat="1" x14ac:dyDescent="0.25">
      <c r="B6" s="21"/>
      <c r="C6" s="72" t="s">
        <v>231</v>
      </c>
      <c r="D6" s="72"/>
      <c r="E6" s="21"/>
      <c r="F6" s="73" t="s">
        <v>212</v>
      </c>
      <c r="G6" s="74" t="s">
        <v>213</v>
      </c>
      <c r="H6" s="74" t="s">
        <v>214</v>
      </c>
      <c r="I6" s="75"/>
      <c r="J6" s="73" t="s">
        <v>212</v>
      </c>
      <c r="K6" s="74" t="s">
        <v>213</v>
      </c>
      <c r="L6" s="74" t="s">
        <v>214</v>
      </c>
      <c r="M6" s="75"/>
      <c r="N6" s="73" t="s">
        <v>212</v>
      </c>
      <c r="O6" s="74" t="s">
        <v>213</v>
      </c>
      <c r="P6" s="74" t="s">
        <v>214</v>
      </c>
      <c r="Q6" s="75"/>
      <c r="R6" s="73" t="s">
        <v>212</v>
      </c>
      <c r="S6" s="74" t="s">
        <v>213</v>
      </c>
      <c r="T6" s="74" t="s">
        <v>214</v>
      </c>
      <c r="U6" s="75"/>
      <c r="V6" s="73" t="s">
        <v>212</v>
      </c>
      <c r="W6" s="74" t="s">
        <v>213</v>
      </c>
      <c r="X6" s="74" t="s">
        <v>214</v>
      </c>
      <c r="Y6" s="75"/>
      <c r="Z6" s="73" t="s">
        <v>212</v>
      </c>
      <c r="AA6" s="74" t="s">
        <v>213</v>
      </c>
      <c r="AB6" s="74" t="s">
        <v>214</v>
      </c>
      <c r="AC6" s="75"/>
      <c r="AD6" s="73" t="s">
        <v>212</v>
      </c>
      <c r="AE6" s="74" t="s">
        <v>213</v>
      </c>
      <c r="AF6" s="74" t="s">
        <v>214</v>
      </c>
      <c r="AG6" s="75"/>
      <c r="AH6" s="73" t="s">
        <v>212</v>
      </c>
      <c r="AI6" s="74" t="s">
        <v>213</v>
      </c>
      <c r="AJ6" s="74" t="s">
        <v>214</v>
      </c>
      <c r="AK6" s="75"/>
      <c r="AL6" s="73" t="s">
        <v>212</v>
      </c>
      <c r="AM6" s="74" t="s">
        <v>213</v>
      </c>
      <c r="AN6" s="74" t="s">
        <v>214</v>
      </c>
      <c r="AO6" s="75"/>
      <c r="AP6" s="73" t="s">
        <v>212</v>
      </c>
      <c r="AQ6" s="74" t="s">
        <v>213</v>
      </c>
      <c r="AR6" s="74" t="s">
        <v>214</v>
      </c>
      <c r="AS6" s="75"/>
      <c r="AT6" s="73" t="s">
        <v>212</v>
      </c>
      <c r="AU6" s="74" t="s">
        <v>213</v>
      </c>
      <c r="AV6" s="74" t="s">
        <v>214</v>
      </c>
      <c r="AW6" s="75"/>
      <c r="AX6" s="73" t="s">
        <v>212</v>
      </c>
      <c r="AY6" s="74" t="s">
        <v>213</v>
      </c>
      <c r="AZ6" s="74" t="s">
        <v>214</v>
      </c>
      <c r="BA6" s="75"/>
      <c r="BB6" s="73" t="s">
        <v>212</v>
      </c>
      <c r="BC6" s="74" t="s">
        <v>213</v>
      </c>
      <c r="BD6" s="74" t="s">
        <v>214</v>
      </c>
      <c r="BF6" s="73" t="s">
        <v>212</v>
      </c>
      <c r="BG6" s="74" t="s">
        <v>213</v>
      </c>
      <c r="BH6" s="74" t="s">
        <v>214</v>
      </c>
      <c r="BI6" s="75"/>
      <c r="BJ6" s="73" t="s">
        <v>212</v>
      </c>
      <c r="BK6" s="74" t="s">
        <v>213</v>
      </c>
      <c r="BL6" s="74" t="s">
        <v>214</v>
      </c>
      <c r="BM6" s="75"/>
      <c r="BN6" s="73" t="s">
        <v>212</v>
      </c>
      <c r="BO6" s="74" t="s">
        <v>213</v>
      </c>
      <c r="BP6" s="74" t="s">
        <v>214</v>
      </c>
      <c r="BQ6" s="75"/>
      <c r="BR6" s="73" t="s">
        <v>212</v>
      </c>
      <c r="BS6" s="74" t="s">
        <v>213</v>
      </c>
      <c r="BT6" s="74" t="s">
        <v>214</v>
      </c>
      <c r="BU6" s="75"/>
      <c r="BV6" s="73" t="s">
        <v>212</v>
      </c>
      <c r="BW6" s="74" t="s">
        <v>213</v>
      </c>
      <c r="BX6" s="74" t="s">
        <v>214</v>
      </c>
      <c r="BY6" s="75"/>
      <c r="BZ6" s="73" t="s">
        <v>212</v>
      </c>
      <c r="CA6" s="74" t="s">
        <v>213</v>
      </c>
      <c r="CB6" s="74" t="s">
        <v>214</v>
      </c>
      <c r="CC6" s="75"/>
      <c r="CD6" s="73" t="s">
        <v>212</v>
      </c>
      <c r="CE6" s="74" t="s">
        <v>213</v>
      </c>
      <c r="CF6" s="74" t="s">
        <v>214</v>
      </c>
      <c r="CG6" s="75"/>
      <c r="CH6" s="73" t="s">
        <v>212</v>
      </c>
      <c r="CI6" s="74" t="s">
        <v>213</v>
      </c>
      <c r="CJ6" s="74" t="s">
        <v>214</v>
      </c>
      <c r="CK6" s="75"/>
      <c r="CL6" s="73" t="s">
        <v>212</v>
      </c>
      <c r="CM6" s="74" t="s">
        <v>213</v>
      </c>
      <c r="CN6" s="74" t="s">
        <v>214</v>
      </c>
      <c r="CO6" s="75"/>
      <c r="CP6" s="73" t="s">
        <v>212</v>
      </c>
      <c r="CQ6" s="74" t="s">
        <v>213</v>
      </c>
      <c r="CR6" s="74" t="s">
        <v>214</v>
      </c>
      <c r="CS6" s="75"/>
      <c r="CT6" s="73" t="s">
        <v>212</v>
      </c>
      <c r="CU6" s="74" t="s">
        <v>213</v>
      </c>
      <c r="CV6" s="74" t="s">
        <v>214</v>
      </c>
      <c r="CW6" s="75"/>
      <c r="CX6" s="73" t="s">
        <v>212</v>
      </c>
      <c r="CY6" s="74" t="s">
        <v>213</v>
      </c>
      <c r="CZ6" s="74" t="s">
        <v>214</v>
      </c>
      <c r="DA6" s="75"/>
      <c r="DB6" s="73" t="s">
        <v>212</v>
      </c>
      <c r="DC6" s="74" t="s">
        <v>213</v>
      </c>
      <c r="DD6" s="74" t="s">
        <v>214</v>
      </c>
      <c r="DF6" s="73" t="s">
        <v>212</v>
      </c>
      <c r="DG6" s="74" t="s">
        <v>213</v>
      </c>
      <c r="DH6" s="74" t="s">
        <v>214</v>
      </c>
      <c r="DI6" s="75"/>
      <c r="DJ6" s="73" t="s">
        <v>212</v>
      </c>
      <c r="DK6" s="74" t="s">
        <v>213</v>
      </c>
      <c r="DL6" s="74" t="s">
        <v>214</v>
      </c>
      <c r="DM6" s="75"/>
      <c r="DN6" s="73" t="s">
        <v>212</v>
      </c>
      <c r="DO6" s="74" t="s">
        <v>213</v>
      </c>
      <c r="DP6" s="74" t="s">
        <v>214</v>
      </c>
      <c r="DQ6" s="75"/>
      <c r="DR6" s="73" t="s">
        <v>212</v>
      </c>
      <c r="DS6" s="74" t="s">
        <v>213</v>
      </c>
      <c r="DT6" s="74" t="s">
        <v>214</v>
      </c>
      <c r="DU6" s="75"/>
      <c r="DV6" s="73" t="s">
        <v>212</v>
      </c>
      <c r="DW6" s="74" t="s">
        <v>213</v>
      </c>
      <c r="DX6" s="74" t="s">
        <v>214</v>
      </c>
      <c r="DY6" s="75"/>
      <c r="DZ6" s="73" t="s">
        <v>212</v>
      </c>
      <c r="EA6" s="74" t="s">
        <v>213</v>
      </c>
      <c r="EB6" s="74" t="s">
        <v>214</v>
      </c>
      <c r="EC6" s="75"/>
      <c r="ED6" s="73" t="s">
        <v>212</v>
      </c>
      <c r="EE6" s="74" t="s">
        <v>213</v>
      </c>
      <c r="EF6" s="74" t="s">
        <v>214</v>
      </c>
      <c r="EG6" s="75"/>
      <c r="EH6" s="73" t="s">
        <v>212</v>
      </c>
      <c r="EI6" s="74" t="s">
        <v>213</v>
      </c>
      <c r="EJ6" s="74" t="s">
        <v>214</v>
      </c>
      <c r="EK6" s="75"/>
      <c r="EL6" s="73" t="s">
        <v>212</v>
      </c>
      <c r="EM6" s="74" t="s">
        <v>213</v>
      </c>
      <c r="EN6" s="74" t="s">
        <v>214</v>
      </c>
      <c r="EO6" s="75"/>
      <c r="EP6" s="73" t="s">
        <v>212</v>
      </c>
      <c r="EQ6" s="74" t="s">
        <v>213</v>
      </c>
      <c r="ER6" s="74" t="s">
        <v>214</v>
      </c>
      <c r="ES6" s="75"/>
      <c r="ET6" s="73" t="s">
        <v>212</v>
      </c>
      <c r="EU6" s="74" t="s">
        <v>213</v>
      </c>
      <c r="EV6" s="74" t="s">
        <v>214</v>
      </c>
      <c r="EW6" s="75"/>
      <c r="EX6" s="73" t="s">
        <v>212</v>
      </c>
      <c r="EY6" s="74" t="s">
        <v>213</v>
      </c>
      <c r="EZ6" s="74" t="s">
        <v>214</v>
      </c>
      <c r="FA6" s="75"/>
      <c r="FB6" s="73" t="s">
        <v>212</v>
      </c>
      <c r="FC6" s="74" t="s">
        <v>213</v>
      </c>
      <c r="FD6" s="74" t="s">
        <v>214</v>
      </c>
      <c r="FF6" s="73" t="s">
        <v>212</v>
      </c>
      <c r="FG6" s="74" t="s">
        <v>213</v>
      </c>
      <c r="FH6" s="74" t="s">
        <v>214</v>
      </c>
      <c r="FI6" s="75"/>
      <c r="FJ6" s="73" t="s">
        <v>212</v>
      </c>
      <c r="FK6" s="74" t="s">
        <v>213</v>
      </c>
      <c r="FL6" s="74" t="s">
        <v>214</v>
      </c>
      <c r="FM6" s="75"/>
      <c r="FN6" s="73" t="s">
        <v>212</v>
      </c>
      <c r="FO6" s="74" t="s">
        <v>213</v>
      </c>
      <c r="FP6" s="74" t="s">
        <v>214</v>
      </c>
      <c r="FQ6" s="75"/>
      <c r="FR6" s="73" t="s">
        <v>212</v>
      </c>
      <c r="FS6" s="74" t="s">
        <v>213</v>
      </c>
      <c r="FT6" s="74" t="s">
        <v>214</v>
      </c>
      <c r="FU6" s="75"/>
      <c r="FV6" s="73" t="s">
        <v>212</v>
      </c>
      <c r="FW6" s="74" t="s">
        <v>213</v>
      </c>
      <c r="FX6" s="74" t="s">
        <v>214</v>
      </c>
      <c r="FY6" s="75"/>
      <c r="FZ6" s="73" t="s">
        <v>212</v>
      </c>
      <c r="GA6" s="74" t="s">
        <v>213</v>
      </c>
      <c r="GB6" s="74" t="s">
        <v>214</v>
      </c>
      <c r="GC6" s="75"/>
      <c r="GD6" s="73" t="s">
        <v>212</v>
      </c>
      <c r="GE6" s="74" t="s">
        <v>213</v>
      </c>
      <c r="GF6" s="74" t="s">
        <v>214</v>
      </c>
      <c r="GG6" s="75"/>
      <c r="GH6" s="73" t="s">
        <v>212</v>
      </c>
      <c r="GI6" s="74" t="s">
        <v>213</v>
      </c>
      <c r="GJ6" s="74" t="s">
        <v>214</v>
      </c>
      <c r="GK6" s="75"/>
      <c r="GL6" s="73" t="s">
        <v>212</v>
      </c>
      <c r="GM6" s="74" t="s">
        <v>213</v>
      </c>
      <c r="GN6" s="74" t="s">
        <v>214</v>
      </c>
      <c r="GO6" s="75"/>
      <c r="GP6" s="73" t="s">
        <v>212</v>
      </c>
      <c r="GQ6" s="74" t="s">
        <v>213</v>
      </c>
      <c r="GR6" s="74" t="s">
        <v>214</v>
      </c>
      <c r="GS6" s="75"/>
      <c r="GT6" s="73" t="s">
        <v>212</v>
      </c>
      <c r="GU6" s="74" t="s">
        <v>213</v>
      </c>
      <c r="GV6" s="74" t="s">
        <v>214</v>
      </c>
      <c r="GW6" s="75"/>
      <c r="GX6" s="73" t="s">
        <v>212</v>
      </c>
      <c r="GY6" s="74" t="s">
        <v>213</v>
      </c>
      <c r="GZ6" s="74" t="s">
        <v>214</v>
      </c>
      <c r="HB6" s="73" t="s">
        <v>212</v>
      </c>
      <c r="HC6" s="74" t="s">
        <v>213</v>
      </c>
      <c r="HD6" s="74" t="s">
        <v>214</v>
      </c>
      <c r="HF6" s="73" t="s">
        <v>212</v>
      </c>
      <c r="HG6" s="74" t="s">
        <v>213</v>
      </c>
      <c r="HH6" s="74" t="s">
        <v>214</v>
      </c>
      <c r="HI6" s="75"/>
      <c r="HJ6" s="73" t="s">
        <v>212</v>
      </c>
      <c r="HK6" s="74" t="s">
        <v>213</v>
      </c>
      <c r="HL6" s="74" t="s">
        <v>214</v>
      </c>
      <c r="HM6" s="75"/>
      <c r="HN6" s="73" t="s">
        <v>212</v>
      </c>
      <c r="HO6" s="74" t="s">
        <v>213</v>
      </c>
      <c r="HP6" s="74" t="s">
        <v>214</v>
      </c>
      <c r="HQ6" s="75"/>
      <c r="HR6" s="73" t="s">
        <v>212</v>
      </c>
      <c r="HS6" s="74" t="s">
        <v>213</v>
      </c>
      <c r="HT6" s="74" t="s">
        <v>214</v>
      </c>
      <c r="HU6" s="75"/>
      <c r="HV6" s="73" t="s">
        <v>212</v>
      </c>
      <c r="HW6" s="74" t="s">
        <v>213</v>
      </c>
      <c r="HX6" s="74" t="s">
        <v>214</v>
      </c>
      <c r="HY6" s="75"/>
      <c r="HZ6" s="73" t="s">
        <v>212</v>
      </c>
      <c r="IA6" s="74" t="s">
        <v>213</v>
      </c>
      <c r="IB6" s="74" t="s">
        <v>214</v>
      </c>
      <c r="IC6" s="75"/>
      <c r="ID6" s="73" t="s">
        <v>212</v>
      </c>
      <c r="IE6" s="74" t="s">
        <v>213</v>
      </c>
      <c r="IF6" s="74" t="s">
        <v>214</v>
      </c>
      <c r="IG6" s="75"/>
      <c r="IH6" s="73" t="s">
        <v>212</v>
      </c>
      <c r="II6" s="74" t="s">
        <v>213</v>
      </c>
      <c r="IJ6" s="74" t="s">
        <v>214</v>
      </c>
      <c r="IK6" s="75"/>
      <c r="IL6" s="73" t="s">
        <v>212</v>
      </c>
      <c r="IM6" s="74" t="s">
        <v>213</v>
      </c>
      <c r="IN6" s="74" t="s">
        <v>214</v>
      </c>
      <c r="IO6" s="75"/>
      <c r="IP6" s="73" t="s">
        <v>212</v>
      </c>
      <c r="IQ6" s="74" t="s">
        <v>213</v>
      </c>
      <c r="IR6" s="74" t="s">
        <v>214</v>
      </c>
      <c r="IS6" s="75"/>
      <c r="IT6" s="73" t="s">
        <v>212</v>
      </c>
      <c r="IU6" s="74" t="s">
        <v>213</v>
      </c>
      <c r="IV6" s="74" t="s">
        <v>214</v>
      </c>
      <c r="IW6" s="75"/>
      <c r="IX6" s="73" t="s">
        <v>212</v>
      </c>
      <c r="IY6" s="74" t="s">
        <v>213</v>
      </c>
      <c r="IZ6" s="74" t="s">
        <v>214</v>
      </c>
      <c r="JB6" s="73" t="s">
        <v>212</v>
      </c>
      <c r="JC6" s="74" t="s">
        <v>213</v>
      </c>
      <c r="JD6" s="74" t="s">
        <v>214</v>
      </c>
      <c r="JF6" s="73" t="s">
        <v>212</v>
      </c>
      <c r="JG6" s="74" t="s">
        <v>213</v>
      </c>
      <c r="JH6" s="74" t="s">
        <v>214</v>
      </c>
      <c r="JI6" s="75"/>
      <c r="JJ6" s="73" t="s">
        <v>212</v>
      </c>
      <c r="JK6" s="74" t="s">
        <v>213</v>
      </c>
      <c r="JL6" s="74" t="s">
        <v>214</v>
      </c>
      <c r="JM6" s="75"/>
      <c r="JN6" s="73" t="s">
        <v>212</v>
      </c>
      <c r="JO6" s="74" t="s">
        <v>213</v>
      </c>
      <c r="JP6" s="74" t="s">
        <v>214</v>
      </c>
      <c r="JQ6" s="75"/>
      <c r="JR6" s="73" t="s">
        <v>212</v>
      </c>
      <c r="JS6" s="74" t="s">
        <v>213</v>
      </c>
      <c r="JT6" s="74" t="s">
        <v>214</v>
      </c>
      <c r="JU6" s="75"/>
      <c r="JV6" s="73" t="s">
        <v>212</v>
      </c>
      <c r="JW6" s="74" t="s">
        <v>213</v>
      </c>
      <c r="JX6" s="74" t="s">
        <v>214</v>
      </c>
      <c r="JY6" s="75"/>
      <c r="JZ6" s="73" t="s">
        <v>212</v>
      </c>
      <c r="KA6" s="74" t="s">
        <v>213</v>
      </c>
      <c r="KB6" s="74" t="s">
        <v>214</v>
      </c>
      <c r="KC6" s="75"/>
      <c r="KD6" s="73" t="s">
        <v>212</v>
      </c>
      <c r="KE6" s="74" t="s">
        <v>213</v>
      </c>
      <c r="KF6" s="74" t="s">
        <v>214</v>
      </c>
      <c r="KG6" s="75"/>
      <c r="KH6" s="73" t="s">
        <v>212</v>
      </c>
      <c r="KI6" s="74" t="s">
        <v>213</v>
      </c>
      <c r="KJ6" s="74" t="s">
        <v>214</v>
      </c>
      <c r="KK6" s="75"/>
      <c r="KL6" s="73" t="s">
        <v>212</v>
      </c>
      <c r="KM6" s="74" t="s">
        <v>213</v>
      </c>
      <c r="KN6" s="74" t="s">
        <v>214</v>
      </c>
      <c r="KO6" s="75"/>
      <c r="KP6" s="73" t="s">
        <v>212</v>
      </c>
      <c r="KQ6" s="74" t="s">
        <v>213</v>
      </c>
      <c r="KR6" s="74" t="s">
        <v>214</v>
      </c>
      <c r="KS6" s="75"/>
      <c r="KT6" s="73" t="s">
        <v>212</v>
      </c>
      <c r="KU6" s="74" t="s">
        <v>213</v>
      </c>
      <c r="KV6" s="74" t="s">
        <v>214</v>
      </c>
      <c r="KW6" s="75"/>
      <c r="KX6" s="73" t="s">
        <v>212</v>
      </c>
      <c r="KY6" s="74" t="s">
        <v>213</v>
      </c>
      <c r="KZ6" s="74" t="s">
        <v>214</v>
      </c>
      <c r="LB6" s="73" t="s">
        <v>212</v>
      </c>
      <c r="LC6" s="74" t="s">
        <v>213</v>
      </c>
      <c r="LD6" s="74" t="s">
        <v>214</v>
      </c>
    </row>
    <row r="7" ht="9.75" customHeight="1" spans="2:316" s="23" customFormat="1" x14ac:dyDescent="0.25">
      <c r="B7" s="21"/>
      <c r="C7" s="72"/>
      <c r="D7" s="72"/>
      <c r="E7" s="21"/>
      <c r="F7" s="76"/>
      <c r="G7" s="75"/>
      <c r="H7" s="75"/>
      <c r="I7" s="75"/>
      <c r="J7" s="76"/>
      <c r="K7" s="75"/>
      <c r="L7" s="75"/>
      <c r="M7" s="75"/>
      <c r="N7" s="76"/>
      <c r="O7" s="75"/>
      <c r="P7" s="75"/>
      <c r="Q7" s="75"/>
      <c r="R7" s="76"/>
      <c r="S7" s="75"/>
      <c r="T7" s="75"/>
      <c r="U7" s="75"/>
      <c r="V7" s="76"/>
      <c r="W7" s="75"/>
      <c r="X7" s="75"/>
      <c r="Y7" s="75"/>
      <c r="Z7" s="76"/>
      <c r="AA7" s="75"/>
      <c r="AB7" s="75"/>
      <c r="AC7" s="75"/>
      <c r="AD7" s="76"/>
      <c r="AE7" s="75"/>
      <c r="AF7" s="75"/>
      <c r="AG7" s="75"/>
      <c r="AH7" s="76"/>
      <c r="AI7" s="75"/>
      <c r="AJ7" s="75"/>
      <c r="AK7" s="75"/>
      <c r="AL7" s="76"/>
      <c r="AM7" s="75"/>
      <c r="AN7" s="75"/>
      <c r="AO7" s="75"/>
      <c r="AP7" s="76"/>
      <c r="AQ7" s="75"/>
      <c r="AR7" s="75"/>
      <c r="AS7" s="75"/>
      <c r="AT7" s="76"/>
      <c r="AU7" s="75"/>
      <c r="AV7" s="75"/>
      <c r="AW7" s="75"/>
      <c r="AX7" s="76"/>
      <c r="AY7" s="75"/>
      <c r="AZ7" s="75"/>
      <c r="BA7" s="75"/>
      <c r="BB7" s="76"/>
      <c r="BC7" s="75"/>
      <c r="BD7" s="75"/>
      <c r="BF7" s="76"/>
      <c r="BG7" s="75"/>
      <c r="BH7" s="75"/>
      <c r="BI7" s="75"/>
      <c r="BJ7" s="76"/>
      <c r="BK7" s="75"/>
      <c r="BL7" s="75"/>
      <c r="BM7" s="75"/>
      <c r="BN7" s="76"/>
      <c r="BO7" s="75"/>
      <c r="BP7" s="75"/>
      <c r="BQ7" s="75"/>
      <c r="BR7" s="76"/>
      <c r="BS7" s="75"/>
      <c r="BT7" s="75"/>
      <c r="BU7" s="75"/>
      <c r="BV7" s="76"/>
      <c r="BW7" s="75"/>
      <c r="BX7" s="75"/>
      <c r="BY7" s="75"/>
      <c r="BZ7" s="76"/>
      <c r="CA7" s="75"/>
      <c r="CB7" s="75"/>
      <c r="CC7" s="75"/>
      <c r="CD7" s="76"/>
      <c r="CE7" s="75"/>
      <c r="CF7" s="75"/>
      <c r="CG7" s="75"/>
      <c r="CH7" s="76"/>
      <c r="CI7" s="75"/>
      <c r="CJ7" s="75"/>
      <c r="CK7" s="75"/>
      <c r="CL7" s="76"/>
      <c r="CM7" s="75"/>
      <c r="CN7" s="75"/>
      <c r="CO7" s="75"/>
      <c r="CP7" s="76"/>
      <c r="CQ7" s="75"/>
      <c r="CR7" s="75"/>
      <c r="CS7" s="75"/>
      <c r="CT7" s="76"/>
      <c r="CU7" s="75"/>
      <c r="CV7" s="75"/>
      <c r="CW7" s="75"/>
      <c r="CX7" s="76"/>
      <c r="CY7" s="75"/>
      <c r="CZ7" s="75"/>
      <c r="DA7" s="75"/>
      <c r="DB7" s="76"/>
      <c r="DC7" s="75"/>
      <c r="DD7" s="75"/>
      <c r="DF7" s="76"/>
      <c r="DG7" s="75"/>
      <c r="DH7" s="75"/>
      <c r="DI7" s="75"/>
      <c r="DJ7" s="76"/>
      <c r="DK7" s="75"/>
      <c r="DL7" s="75"/>
      <c r="DM7" s="75"/>
      <c r="DN7" s="76"/>
      <c r="DO7" s="75"/>
      <c r="DP7" s="75"/>
      <c r="DQ7" s="75"/>
      <c r="DR7" s="76"/>
      <c r="DS7" s="75"/>
      <c r="DT7" s="75"/>
      <c r="DU7" s="75"/>
      <c r="DV7" s="76"/>
      <c r="DW7" s="75"/>
      <c r="DX7" s="75"/>
      <c r="DY7" s="75"/>
      <c r="DZ7" s="76"/>
      <c r="EA7" s="75"/>
      <c r="EB7" s="75"/>
      <c r="EC7" s="75"/>
      <c r="ED7" s="76"/>
      <c r="EE7" s="75"/>
      <c r="EF7" s="75"/>
      <c r="EG7" s="75"/>
      <c r="EH7" s="76"/>
      <c r="EI7" s="75"/>
      <c r="EJ7" s="75"/>
      <c r="EK7" s="75"/>
      <c r="EL7" s="76"/>
      <c r="EM7" s="75"/>
      <c r="EN7" s="75"/>
      <c r="EO7" s="75"/>
      <c r="EP7" s="76"/>
      <c r="EQ7" s="75"/>
      <c r="ER7" s="75"/>
      <c r="ES7" s="75"/>
      <c r="ET7" s="76"/>
      <c r="EU7" s="75"/>
      <c r="EV7" s="75"/>
      <c r="EW7" s="75"/>
      <c r="EX7" s="76"/>
      <c r="EY7" s="75"/>
      <c r="EZ7" s="75"/>
      <c r="FA7" s="75"/>
      <c r="FB7" s="76"/>
      <c r="FC7" s="75"/>
      <c r="FD7" s="75"/>
      <c r="FF7" s="76"/>
      <c r="FG7" s="75"/>
      <c r="FH7" s="75"/>
      <c r="FI7" s="75"/>
      <c r="FJ7" s="76"/>
      <c r="FK7" s="75"/>
      <c r="FL7" s="75"/>
      <c r="FM7" s="75"/>
      <c r="FN7" s="76"/>
      <c r="FO7" s="75"/>
      <c r="FP7" s="75"/>
      <c r="FQ7" s="75"/>
      <c r="FR7" s="76"/>
      <c r="FS7" s="75"/>
      <c r="FT7" s="75"/>
      <c r="FU7" s="75"/>
      <c r="FV7" s="76"/>
      <c r="FW7" s="75"/>
      <c r="FX7" s="75"/>
      <c r="FY7" s="75"/>
      <c r="FZ7" s="76"/>
      <c r="GA7" s="75"/>
      <c r="GB7" s="75"/>
      <c r="GC7" s="75"/>
      <c r="GD7" s="76"/>
      <c r="GE7" s="75"/>
      <c r="GF7" s="75"/>
      <c r="GG7" s="75"/>
      <c r="GH7" s="76"/>
      <c r="GI7" s="75"/>
      <c r="GJ7" s="75"/>
      <c r="GK7" s="75"/>
      <c r="GL7" s="76"/>
      <c r="GM7" s="75"/>
      <c r="GN7" s="75"/>
      <c r="GO7" s="75"/>
      <c r="GP7" s="76"/>
      <c r="GQ7" s="75"/>
      <c r="GR7" s="75"/>
      <c r="GS7" s="75"/>
      <c r="GT7" s="76"/>
      <c r="GU7" s="75"/>
      <c r="GV7" s="75"/>
      <c r="GW7" s="75"/>
      <c r="GX7" s="76"/>
      <c r="GY7" s="75"/>
      <c r="GZ7" s="75"/>
      <c r="HB7" s="76"/>
      <c r="HC7" s="75"/>
      <c r="HD7" s="75"/>
      <c r="HF7" s="76"/>
      <c r="HG7" s="75"/>
      <c r="HH7" s="75"/>
      <c r="HI7" s="75"/>
      <c r="HJ7" s="76"/>
      <c r="HK7" s="75"/>
      <c r="HL7" s="75"/>
      <c r="HM7" s="75"/>
      <c r="HN7" s="76"/>
      <c r="HO7" s="75"/>
      <c r="HP7" s="75"/>
      <c r="HQ7" s="75"/>
      <c r="HR7" s="76"/>
      <c r="HS7" s="75"/>
      <c r="HT7" s="75"/>
      <c r="HU7" s="75"/>
      <c r="HV7" s="76"/>
      <c r="HW7" s="75"/>
      <c r="HX7" s="75"/>
      <c r="HY7" s="75"/>
      <c r="HZ7" s="76"/>
      <c r="IA7" s="75"/>
      <c r="IB7" s="75"/>
      <c r="IC7" s="75"/>
      <c r="ID7" s="76"/>
      <c r="IE7" s="75"/>
      <c r="IF7" s="75"/>
      <c r="IG7" s="75"/>
      <c r="IH7" s="76"/>
      <c r="II7" s="75"/>
      <c r="IJ7" s="75"/>
      <c r="IK7" s="75"/>
      <c r="IL7" s="76"/>
      <c r="IM7" s="75"/>
      <c r="IN7" s="75"/>
      <c r="IO7" s="75"/>
      <c r="IP7" s="76"/>
      <c r="IQ7" s="75"/>
      <c r="IR7" s="75"/>
      <c r="IS7" s="75"/>
      <c r="IT7" s="76"/>
      <c r="IU7" s="75"/>
      <c r="IV7" s="75"/>
      <c r="IW7" s="75"/>
      <c r="IX7" s="76"/>
      <c r="IY7" s="75"/>
      <c r="IZ7" s="75"/>
      <c r="JB7" s="76"/>
      <c r="JC7" s="75"/>
      <c r="JD7" s="75"/>
      <c r="JF7" s="76"/>
      <c r="JG7" s="75"/>
      <c r="JH7" s="75"/>
      <c r="JI7" s="75"/>
      <c r="JJ7" s="76"/>
      <c r="JK7" s="75"/>
      <c r="JL7" s="75"/>
      <c r="JM7" s="75"/>
      <c r="JN7" s="76"/>
      <c r="JO7" s="75"/>
      <c r="JP7" s="75"/>
      <c r="JQ7" s="75"/>
      <c r="JR7" s="76"/>
      <c r="JS7" s="75"/>
      <c r="JT7" s="75"/>
      <c r="JU7" s="75"/>
      <c r="JV7" s="76"/>
      <c r="JW7" s="75"/>
      <c r="JX7" s="75"/>
      <c r="JY7" s="75"/>
      <c r="JZ7" s="76"/>
      <c r="KA7" s="75"/>
      <c r="KB7" s="75"/>
      <c r="KC7" s="75"/>
      <c r="KD7" s="76"/>
      <c r="KE7" s="75"/>
      <c r="KF7" s="75"/>
      <c r="KG7" s="75"/>
      <c r="KH7" s="76"/>
      <c r="KI7" s="75"/>
      <c r="KJ7" s="75"/>
      <c r="KK7" s="75"/>
      <c r="KL7" s="76"/>
      <c r="KM7" s="75"/>
      <c r="KN7" s="75"/>
      <c r="KO7" s="75"/>
      <c r="KP7" s="76"/>
      <c r="KQ7" s="75"/>
      <c r="KR7" s="75"/>
      <c r="KS7" s="75"/>
      <c r="KT7" s="76"/>
      <c r="KU7" s="75"/>
      <c r="KV7" s="75"/>
      <c r="KW7" s="75"/>
      <c r="KX7" s="76"/>
      <c r="KY7" s="75"/>
      <c r="KZ7" s="75"/>
      <c r="LB7" s="76"/>
      <c r="LC7" s="75"/>
      <c r="LD7" s="75"/>
    </row>
    <row r="8" ht="18.75" customHeight="1" spans="2:316" s="28" customFormat="1" x14ac:dyDescent="0.25">
      <c r="B8" s="17"/>
      <c r="C8" s="17" t="s">
        <v>216</v>
      </c>
      <c r="D8" s="17" t="s">
        <v>109</v>
      </c>
      <c r="E8" s="17"/>
      <c r="F8" s="17"/>
      <c r="G8" s="77" t="s">
        <v>217</v>
      </c>
      <c r="H8" s="77"/>
      <c r="I8" s="77"/>
      <c r="J8" s="78">
        <f>'A.I Revenue Streams - P2'!K10+100%</f>
        <v>1.1</v>
      </c>
      <c r="K8" s="78">
        <v>1</v>
      </c>
      <c r="L8" s="77"/>
      <c r="M8" s="77"/>
      <c r="N8" s="78">
        <v>1</v>
      </c>
      <c r="O8" s="78">
        <v>1</v>
      </c>
      <c r="P8" s="77"/>
      <c r="Q8" s="77"/>
      <c r="R8" s="78">
        <f>N8</f>
        <v>1</v>
      </c>
      <c r="S8" s="78">
        <v>1</v>
      </c>
      <c r="T8" s="77"/>
      <c r="U8" s="77"/>
      <c r="V8" s="78">
        <f>R8</f>
        <v>1</v>
      </c>
      <c r="W8" s="78">
        <v>1</v>
      </c>
      <c r="X8" s="77"/>
      <c r="Y8" s="77"/>
      <c r="Z8" s="78">
        <f>V8</f>
        <v>1</v>
      </c>
      <c r="AA8" s="78">
        <v>1</v>
      </c>
      <c r="AB8" s="77"/>
      <c r="AC8" s="77"/>
      <c r="AD8" s="78">
        <f>Z8</f>
        <v>1</v>
      </c>
      <c r="AE8" s="78">
        <v>1</v>
      </c>
      <c r="AF8" s="77"/>
      <c r="AG8" s="77"/>
      <c r="AH8" s="78">
        <f>AD8</f>
        <v>1</v>
      </c>
      <c r="AI8" s="78">
        <v>1</v>
      </c>
      <c r="AJ8" s="77"/>
      <c r="AK8" s="77"/>
      <c r="AL8" s="78">
        <f>AH8</f>
        <v>1</v>
      </c>
      <c r="AM8" s="78">
        <v>1</v>
      </c>
      <c r="AN8" s="77"/>
      <c r="AO8" s="77"/>
      <c r="AP8" s="78">
        <f>AL8</f>
        <v>1</v>
      </c>
      <c r="AQ8" s="78">
        <v>1</v>
      </c>
      <c r="AR8" s="77"/>
      <c r="AS8" s="77"/>
      <c r="AT8" s="78">
        <f>AP8</f>
        <v>1</v>
      </c>
      <c r="AU8" s="78">
        <v>1</v>
      </c>
      <c r="AV8" s="77"/>
      <c r="AW8" s="77"/>
      <c r="AX8" s="78">
        <f>AT8</f>
        <v>1</v>
      </c>
      <c r="AY8" s="78">
        <v>1</v>
      </c>
      <c r="AZ8" s="77"/>
      <c r="BA8" s="77"/>
      <c r="BB8" s="77"/>
      <c r="BC8" s="77"/>
      <c r="BD8" s="77"/>
      <c r="BF8" s="78">
        <f>'A.I Revenue Streams - P2'!M10+100%</f>
        <v>1.1</v>
      </c>
      <c r="BG8" s="78">
        <v>1</v>
      </c>
      <c r="BH8" s="77"/>
      <c r="BI8" s="77"/>
      <c r="BJ8" s="78">
        <v>1</v>
      </c>
      <c r="BK8" s="78">
        <v>1</v>
      </c>
      <c r="BL8" s="77"/>
      <c r="BM8" s="77"/>
      <c r="BN8" s="78">
        <f>BJ8</f>
        <v>1</v>
      </c>
      <c r="BO8" s="78">
        <v>1</v>
      </c>
      <c r="BP8" s="77"/>
      <c r="BQ8" s="77"/>
      <c r="BR8" s="79">
        <f>BN8</f>
        <v>1</v>
      </c>
      <c r="BS8" s="79">
        <v>1</v>
      </c>
      <c r="BT8" s="77"/>
      <c r="BU8" s="77"/>
      <c r="BV8" s="78">
        <f>BR8</f>
        <v>1</v>
      </c>
      <c r="BW8" s="78">
        <v>1</v>
      </c>
      <c r="BX8" s="77"/>
      <c r="BY8" s="77"/>
      <c r="BZ8" s="78">
        <f>BV8</f>
        <v>1</v>
      </c>
      <c r="CA8" s="78">
        <v>1</v>
      </c>
      <c r="CB8" s="77"/>
      <c r="CC8" s="77"/>
      <c r="CD8" s="79">
        <f>BZ8</f>
        <v>1</v>
      </c>
      <c r="CE8" s="79">
        <v>1</v>
      </c>
      <c r="CF8" s="77"/>
      <c r="CG8" s="77"/>
      <c r="CH8" s="78">
        <f>CD8</f>
        <v>1</v>
      </c>
      <c r="CI8" s="78">
        <v>1</v>
      </c>
      <c r="CJ8" s="77"/>
      <c r="CK8" s="77"/>
      <c r="CL8" s="78">
        <f>CH8</f>
        <v>1</v>
      </c>
      <c r="CM8" s="78">
        <v>1</v>
      </c>
      <c r="CN8" s="77"/>
      <c r="CO8" s="77"/>
      <c r="CP8" s="78">
        <f>CL8</f>
        <v>1</v>
      </c>
      <c r="CQ8" s="78">
        <v>1</v>
      </c>
      <c r="CR8" s="77"/>
      <c r="CS8" s="77"/>
      <c r="CT8" s="78">
        <f>CP8</f>
        <v>1</v>
      </c>
      <c r="CU8" s="78">
        <v>1</v>
      </c>
      <c r="CV8" s="77"/>
      <c r="CW8" s="77"/>
      <c r="CX8" s="79">
        <f>CT8</f>
        <v>1</v>
      </c>
      <c r="CY8" s="79">
        <v>1</v>
      </c>
      <c r="CZ8" s="77"/>
      <c r="DA8" s="77"/>
      <c r="DB8" s="78">
        <f>'A.I Revenue Streams - P2'!M10+100%</f>
        <v>1.1</v>
      </c>
      <c r="DC8" s="78">
        <v>1</v>
      </c>
      <c r="DD8" s="77"/>
      <c r="DF8" s="78">
        <f>'A.I Revenue Streams - P2'!O10+100%</f>
        <v>1.1</v>
      </c>
      <c r="DG8" s="78">
        <v>1</v>
      </c>
      <c r="DH8" s="77"/>
      <c r="DI8" s="77"/>
      <c r="DJ8" s="78">
        <v>1</v>
      </c>
      <c r="DK8" s="78">
        <v>1</v>
      </c>
      <c r="DL8" s="77"/>
      <c r="DM8" s="77"/>
      <c r="DN8" s="78">
        <f>DJ8</f>
        <v>1</v>
      </c>
      <c r="DO8" s="78">
        <v>1</v>
      </c>
      <c r="DP8" s="77"/>
      <c r="DQ8" s="77"/>
      <c r="DR8" s="79">
        <f>DN8</f>
        <v>1</v>
      </c>
      <c r="DS8" s="79">
        <v>1</v>
      </c>
      <c r="DT8" s="77"/>
      <c r="DU8" s="77"/>
      <c r="DV8" s="78">
        <f>DR8</f>
        <v>1</v>
      </c>
      <c r="DW8" s="78">
        <v>1</v>
      </c>
      <c r="DX8" s="77"/>
      <c r="DY8" s="77"/>
      <c r="DZ8" s="78">
        <f>DV8</f>
        <v>1</v>
      </c>
      <c r="EA8" s="78">
        <v>1</v>
      </c>
      <c r="EB8" s="77"/>
      <c r="EC8" s="77"/>
      <c r="ED8" s="79">
        <f>DZ8</f>
        <v>1</v>
      </c>
      <c r="EE8" s="79">
        <v>1</v>
      </c>
      <c r="EF8" s="77"/>
      <c r="EG8" s="77"/>
      <c r="EH8" s="78">
        <f>ED8</f>
        <v>1</v>
      </c>
      <c r="EI8" s="78">
        <v>1</v>
      </c>
      <c r="EJ8" s="77"/>
      <c r="EK8" s="77"/>
      <c r="EL8" s="78">
        <f>EH8</f>
        <v>1</v>
      </c>
      <c r="EM8" s="78">
        <v>1</v>
      </c>
      <c r="EN8" s="77"/>
      <c r="EO8" s="77"/>
      <c r="EP8" s="78">
        <f>EL8</f>
        <v>1</v>
      </c>
      <c r="EQ8" s="78">
        <v>1</v>
      </c>
      <c r="ER8" s="77"/>
      <c r="ES8" s="77"/>
      <c r="ET8" s="78">
        <f>EP8</f>
        <v>1</v>
      </c>
      <c r="EU8" s="78">
        <v>1</v>
      </c>
      <c r="EV8" s="77"/>
      <c r="EW8" s="77"/>
      <c r="EX8" s="79">
        <f>ET8</f>
        <v>1</v>
      </c>
      <c r="EY8" s="79">
        <v>1</v>
      </c>
      <c r="EZ8" s="77"/>
      <c r="FA8" s="77"/>
      <c r="FB8" s="78">
        <f>'A.I Revenue Streams - P2'!O10+100%</f>
        <v>1.1</v>
      </c>
      <c r="FC8" s="78">
        <v>1</v>
      </c>
      <c r="FD8" s="77"/>
      <c r="FF8" s="78">
        <f>'A.I Revenue Streams - P2'!Q10+100%</f>
        <v>1.1</v>
      </c>
      <c r="FG8" s="78">
        <v>1</v>
      </c>
      <c r="FH8" s="77"/>
      <c r="FI8" s="77"/>
      <c r="FJ8" s="78">
        <v>1</v>
      </c>
      <c r="FK8" s="78">
        <v>1</v>
      </c>
      <c r="FL8" s="77"/>
      <c r="FM8" s="77"/>
      <c r="FN8" s="78">
        <f>FJ8</f>
        <v>1</v>
      </c>
      <c r="FO8" s="78">
        <v>1</v>
      </c>
      <c r="FP8" s="77"/>
      <c r="FQ8" s="77"/>
      <c r="FR8" s="79">
        <f>FN8</f>
        <v>1</v>
      </c>
      <c r="FS8" s="79">
        <v>1</v>
      </c>
      <c r="FT8" s="77"/>
      <c r="FU8" s="77"/>
      <c r="FV8" s="78">
        <f>FR8</f>
        <v>1</v>
      </c>
      <c r="FW8" s="78">
        <v>1</v>
      </c>
      <c r="FX8" s="77"/>
      <c r="FY8" s="77"/>
      <c r="FZ8" s="78">
        <f>FV8</f>
        <v>1</v>
      </c>
      <c r="GA8" s="78">
        <v>1</v>
      </c>
      <c r="GB8" s="77"/>
      <c r="GC8" s="77"/>
      <c r="GD8" s="79">
        <f>FZ8</f>
        <v>1</v>
      </c>
      <c r="GE8" s="79">
        <v>1</v>
      </c>
      <c r="GF8" s="77"/>
      <c r="GG8" s="77"/>
      <c r="GH8" s="78">
        <f>GD8</f>
        <v>1</v>
      </c>
      <c r="GI8" s="78">
        <v>1</v>
      </c>
      <c r="GJ8" s="77"/>
      <c r="GK8" s="77"/>
      <c r="GL8" s="78">
        <f>GH8</f>
        <v>1</v>
      </c>
      <c r="GM8" s="78">
        <v>1</v>
      </c>
      <c r="GN8" s="77"/>
      <c r="GO8" s="77"/>
      <c r="GP8" s="78">
        <f>GL8</f>
        <v>1</v>
      </c>
      <c r="GQ8" s="78">
        <v>1</v>
      </c>
      <c r="GR8" s="77"/>
      <c r="GS8" s="77"/>
      <c r="GT8" s="78">
        <f>GP8</f>
        <v>1</v>
      </c>
      <c r="GU8" s="78">
        <v>1</v>
      </c>
      <c r="GV8" s="77"/>
      <c r="GW8" s="77"/>
      <c r="GX8" s="79">
        <f>GT8</f>
        <v>1</v>
      </c>
      <c r="GY8" s="79">
        <v>1</v>
      </c>
      <c r="GZ8" s="77"/>
      <c r="HB8" s="78">
        <f>'A.I Revenue Streams - P2'!Q10+100%</f>
        <v>1.1</v>
      </c>
      <c r="HC8" s="78">
        <v>1</v>
      </c>
      <c r="HD8" s="77"/>
      <c r="HF8" s="78">
        <f>'A.I Revenue Streams - P2'!S10+100%</f>
        <v>1.1</v>
      </c>
      <c r="HG8" s="78">
        <v>1</v>
      </c>
      <c r="HH8" s="77"/>
      <c r="HI8" s="77"/>
      <c r="HJ8" s="78">
        <v>1</v>
      </c>
      <c r="HK8" s="78">
        <v>1</v>
      </c>
      <c r="HL8" s="77"/>
      <c r="HM8" s="77"/>
      <c r="HN8" s="78">
        <f>HJ8</f>
        <v>1</v>
      </c>
      <c r="HO8" s="78">
        <v>1</v>
      </c>
      <c r="HP8" s="77"/>
      <c r="HQ8" s="77"/>
      <c r="HR8" s="79">
        <f>HN8</f>
        <v>1</v>
      </c>
      <c r="HS8" s="79">
        <v>1</v>
      </c>
      <c r="HT8" s="77"/>
      <c r="HU8" s="77"/>
      <c r="HV8" s="78">
        <f>HR8</f>
        <v>1</v>
      </c>
      <c r="HW8" s="78">
        <v>1</v>
      </c>
      <c r="HX8" s="77"/>
      <c r="HY8" s="77"/>
      <c r="HZ8" s="78">
        <f>HV8</f>
        <v>1</v>
      </c>
      <c r="IA8" s="78">
        <v>1</v>
      </c>
      <c r="IB8" s="77"/>
      <c r="IC8" s="77"/>
      <c r="ID8" s="79">
        <f>HZ8</f>
        <v>1</v>
      </c>
      <c r="IE8" s="79">
        <v>1</v>
      </c>
      <c r="IF8" s="77"/>
      <c r="IG8" s="77"/>
      <c r="IH8" s="78">
        <f>ID8</f>
        <v>1</v>
      </c>
      <c r="II8" s="78">
        <v>1</v>
      </c>
      <c r="IJ8" s="77"/>
      <c r="IK8" s="77"/>
      <c r="IL8" s="78">
        <f>IH8</f>
        <v>1</v>
      </c>
      <c r="IM8" s="78">
        <v>1</v>
      </c>
      <c r="IN8" s="77"/>
      <c r="IO8" s="77"/>
      <c r="IP8" s="78">
        <f>IL8</f>
        <v>1</v>
      </c>
      <c r="IQ8" s="78">
        <v>1</v>
      </c>
      <c r="IR8" s="77"/>
      <c r="IS8" s="77"/>
      <c r="IT8" s="78">
        <f>IP8</f>
        <v>1</v>
      </c>
      <c r="IU8" s="78">
        <v>1</v>
      </c>
      <c r="IV8" s="77"/>
      <c r="IW8" s="77"/>
      <c r="IX8" s="79">
        <f>IT8</f>
        <v>1</v>
      </c>
      <c r="IY8" s="79">
        <v>1</v>
      </c>
      <c r="IZ8" s="77"/>
      <c r="JB8" s="78">
        <f>'A.I Revenue Streams - P2'!S10+100%</f>
        <v>1.1</v>
      </c>
      <c r="JC8" s="78">
        <v>1</v>
      </c>
      <c r="JD8" s="77"/>
      <c r="JF8" s="78">
        <f>'A.I Revenue Streams - P2'!U10+100%</f>
        <v>1.1</v>
      </c>
      <c r="JG8" s="78">
        <v>1</v>
      </c>
      <c r="JH8" s="77"/>
      <c r="JI8" s="77"/>
      <c r="JJ8" s="78">
        <v>1</v>
      </c>
      <c r="JK8" s="78">
        <v>1</v>
      </c>
      <c r="JL8" s="77"/>
      <c r="JM8" s="77"/>
      <c r="JN8" s="78">
        <f>JJ8</f>
        <v>1</v>
      </c>
      <c r="JO8" s="78">
        <v>1</v>
      </c>
      <c r="JP8" s="77"/>
      <c r="JQ8" s="77"/>
      <c r="JR8" s="79">
        <f>JN8</f>
        <v>1</v>
      </c>
      <c r="JS8" s="79">
        <v>1</v>
      </c>
      <c r="JT8" s="77"/>
      <c r="JU8" s="77"/>
      <c r="JV8" s="78">
        <f>JR8</f>
        <v>1</v>
      </c>
      <c r="JW8" s="78">
        <v>1</v>
      </c>
      <c r="JX8" s="77"/>
      <c r="JY8" s="77"/>
      <c r="JZ8" s="78">
        <f>JV8</f>
        <v>1</v>
      </c>
      <c r="KA8" s="78">
        <v>1</v>
      </c>
      <c r="KB8" s="77"/>
      <c r="KC8" s="77"/>
      <c r="KD8" s="79">
        <f>JZ8</f>
        <v>1</v>
      </c>
      <c r="KE8" s="79">
        <v>1</v>
      </c>
      <c r="KF8" s="77"/>
      <c r="KG8" s="77"/>
      <c r="KH8" s="78">
        <f>KD8</f>
        <v>1</v>
      </c>
      <c r="KI8" s="78">
        <v>1</v>
      </c>
      <c r="KJ8" s="77"/>
      <c r="KK8" s="77"/>
      <c r="KL8" s="78">
        <f>KH8</f>
        <v>1</v>
      </c>
      <c r="KM8" s="78">
        <v>1</v>
      </c>
      <c r="KN8" s="77"/>
      <c r="KO8" s="77"/>
      <c r="KP8" s="78">
        <f>KL8</f>
        <v>1</v>
      </c>
      <c r="KQ8" s="78">
        <v>1</v>
      </c>
      <c r="KR8" s="77"/>
      <c r="KS8" s="77"/>
      <c r="KT8" s="78">
        <f>KP8</f>
        <v>1</v>
      </c>
      <c r="KU8" s="78">
        <v>1</v>
      </c>
      <c r="KV8" s="77"/>
      <c r="KW8" s="77"/>
      <c r="KX8" s="79">
        <f>KT8</f>
        <v>1</v>
      </c>
      <c r="KY8" s="79">
        <v>1</v>
      </c>
      <c r="KZ8" s="77"/>
      <c r="LB8" s="78">
        <f>'A.I Revenue Streams - P2'!U10+100%</f>
        <v>1.1</v>
      </c>
      <c r="LC8" s="78">
        <v>1</v>
      </c>
      <c r="LD8" s="77"/>
    </row>
    <row r="9" ht="18.75" customHeight="1" spans="2:316" x14ac:dyDescent="0.25">
      <c r="B9" s="5">
        <v>1</v>
      </c>
      <c r="C9" s="29" t="str">
        <f>'A.I Revenue Streams - P1'!D9</f>
        <v>Doctor Consultations</v>
      </c>
      <c r="D9" s="27"/>
      <c r="E9" s="28"/>
      <c r="F9" s="51"/>
      <c r="G9" s="51"/>
      <c r="H9" s="51"/>
      <c r="I9" s="54"/>
      <c r="J9" s="51"/>
      <c r="K9" s="51"/>
      <c r="L9" s="51"/>
      <c r="M9" s="54"/>
      <c r="N9" s="51"/>
      <c r="O9" s="51"/>
      <c r="P9" s="51"/>
      <c r="Q9" s="54"/>
      <c r="R9" s="51"/>
      <c r="S9" s="51"/>
      <c r="T9" s="51"/>
      <c r="U9" s="54"/>
      <c r="V9" s="51"/>
      <c r="W9" s="51"/>
      <c r="X9" s="51"/>
      <c r="Y9" s="54"/>
      <c r="Z9" s="51"/>
      <c r="AA9" s="51"/>
      <c r="AB9" s="51"/>
      <c r="AC9" s="54"/>
      <c r="AD9" s="51"/>
      <c r="AE9" s="51"/>
      <c r="AF9" s="51"/>
      <c r="AG9" s="54"/>
      <c r="AH9" s="51"/>
      <c r="AI9" s="51"/>
      <c r="AJ9" s="51"/>
      <c r="AK9" s="54"/>
      <c r="AL9" s="51"/>
      <c r="AM9" s="51"/>
      <c r="AN9" s="51"/>
      <c r="AO9" s="54"/>
      <c r="AP9" s="51"/>
      <c r="AQ9" s="51"/>
      <c r="AR9" s="51"/>
      <c r="AS9" s="54"/>
      <c r="AT9" s="51"/>
      <c r="AU9" s="51"/>
      <c r="AV9" s="51"/>
      <c r="AW9" s="54"/>
      <c r="AX9" s="51"/>
      <c r="AY9" s="51"/>
      <c r="AZ9" s="51"/>
      <c r="BA9" s="54"/>
      <c r="BB9" s="80"/>
      <c r="BC9" s="80"/>
      <c r="BD9" s="80"/>
      <c r="BF9" s="51"/>
      <c r="BG9" s="51"/>
      <c r="BH9" s="51"/>
      <c r="BI9" s="54"/>
      <c r="BJ9" s="51"/>
      <c r="BK9" s="51"/>
      <c r="BL9" s="51"/>
      <c r="BM9" s="54"/>
      <c r="BN9" s="51"/>
      <c r="BO9" s="51"/>
      <c r="BP9" s="51"/>
      <c r="BQ9" s="54"/>
      <c r="BR9" s="51"/>
      <c r="BS9" s="51"/>
      <c r="BT9" s="51"/>
      <c r="BU9" s="54"/>
      <c r="BV9" s="51"/>
      <c r="BW9" s="51"/>
      <c r="BX9" s="51"/>
      <c r="BY9" s="54"/>
      <c r="BZ9" s="51"/>
      <c r="CA9" s="51"/>
      <c r="CB9" s="51"/>
      <c r="CC9" s="54"/>
      <c r="CD9" s="51"/>
      <c r="CE9" s="51"/>
      <c r="CF9" s="51"/>
      <c r="CG9" s="54"/>
      <c r="CH9" s="51"/>
      <c r="CI9" s="51"/>
      <c r="CJ9" s="51"/>
      <c r="CK9" s="54"/>
      <c r="CL9" s="51"/>
      <c r="CM9" s="51"/>
      <c r="CN9" s="51"/>
      <c r="CO9" s="54"/>
      <c r="CP9" s="51"/>
      <c r="CQ9" s="51"/>
      <c r="CR9" s="51"/>
      <c r="CS9" s="54"/>
      <c r="CT9" s="51"/>
      <c r="CU9" s="51"/>
      <c r="CV9" s="51"/>
      <c r="CW9" s="54"/>
      <c r="CX9" s="51"/>
      <c r="CY9" s="51"/>
      <c r="CZ9" s="51"/>
      <c r="DA9" s="54"/>
      <c r="DB9" s="80"/>
      <c r="DC9" s="80"/>
      <c r="DD9" s="80"/>
      <c r="DF9" s="51"/>
      <c r="DG9" s="51"/>
      <c r="DH9" s="51"/>
      <c r="DI9" s="54"/>
      <c r="DJ9" s="51"/>
      <c r="DK9" s="51"/>
      <c r="DL9" s="51"/>
      <c r="DM9" s="54"/>
      <c r="DN9" s="51"/>
      <c r="DO9" s="51"/>
      <c r="DP9" s="51"/>
      <c r="DQ9" s="54"/>
      <c r="DR9" s="51"/>
      <c r="DS9" s="51"/>
      <c r="DT9" s="51"/>
      <c r="DU9" s="54"/>
      <c r="DV9" s="51"/>
      <c r="DW9" s="51"/>
      <c r="DX9" s="51"/>
      <c r="DY9" s="54"/>
      <c r="DZ9" s="51"/>
      <c r="EA9" s="51"/>
      <c r="EB9" s="51"/>
      <c r="EC9" s="54"/>
      <c r="ED9" s="51"/>
      <c r="EE9" s="51"/>
      <c r="EF9" s="51"/>
      <c r="EG9" s="54"/>
      <c r="EH9" s="51"/>
      <c r="EI9" s="51"/>
      <c r="EJ9" s="51"/>
      <c r="EK9" s="54"/>
      <c r="EL9" s="51"/>
      <c r="EM9" s="51"/>
      <c r="EN9" s="51"/>
      <c r="EO9" s="54"/>
      <c r="EP9" s="51"/>
      <c r="EQ9" s="51"/>
      <c r="ER9" s="51"/>
      <c r="ES9" s="54"/>
      <c r="ET9" s="51"/>
      <c r="EU9" s="51"/>
      <c r="EV9" s="51"/>
      <c r="EW9" s="54"/>
      <c r="EX9" s="51"/>
      <c r="EY9" s="51"/>
      <c r="EZ9" s="51"/>
      <c r="FA9" s="54"/>
      <c r="FB9" s="80"/>
      <c r="FC9" s="80"/>
      <c r="FD9" s="80"/>
      <c r="FF9" s="51"/>
      <c r="FG9" s="51"/>
      <c r="FH9" s="51"/>
      <c r="FI9" s="54"/>
      <c r="FJ9" s="51"/>
      <c r="FK9" s="51"/>
      <c r="FL9" s="51"/>
      <c r="FM9" s="54"/>
      <c r="FN9" s="51"/>
      <c r="FO9" s="51"/>
      <c r="FP9" s="51"/>
      <c r="FQ9" s="54"/>
      <c r="FR9" s="51"/>
      <c r="FS9" s="51"/>
      <c r="FT9" s="51"/>
      <c r="FU9" s="54"/>
      <c r="FV9" s="51"/>
      <c r="FW9" s="51"/>
      <c r="FX9" s="51"/>
      <c r="FY9" s="54"/>
      <c r="FZ9" s="51"/>
      <c r="GA9" s="51"/>
      <c r="GB9" s="51"/>
      <c r="GC9" s="54"/>
      <c r="GD9" s="51"/>
      <c r="GE9" s="51"/>
      <c r="GF9" s="51"/>
      <c r="GG9" s="54"/>
      <c r="GH9" s="51"/>
      <c r="GI9" s="51"/>
      <c r="GJ9" s="51"/>
      <c r="GK9" s="54"/>
      <c r="GL9" s="51"/>
      <c r="GM9" s="51"/>
      <c r="GN9" s="51"/>
      <c r="GO9" s="54"/>
      <c r="GP9" s="51"/>
      <c r="GQ9" s="51"/>
      <c r="GR9" s="51"/>
      <c r="GS9" s="54"/>
      <c r="GT9" s="51"/>
      <c r="GU9" s="51"/>
      <c r="GV9" s="51"/>
      <c r="GW9" s="54"/>
      <c r="GX9" s="51"/>
      <c r="GY9" s="51"/>
      <c r="GZ9" s="51"/>
      <c r="HB9" s="80"/>
      <c r="HC9" s="80"/>
      <c r="HD9" s="80"/>
      <c r="HF9" s="51"/>
      <c r="HG9" s="51"/>
      <c r="HH9" s="51"/>
      <c r="HI9" s="54"/>
      <c r="HJ9" s="51"/>
      <c r="HK9" s="51"/>
      <c r="HL9" s="51"/>
      <c r="HM9" s="54"/>
      <c r="HN9" s="51"/>
      <c r="HO9" s="51"/>
      <c r="HP9" s="51"/>
      <c r="HQ9" s="54"/>
      <c r="HR9" s="51"/>
      <c r="HS9" s="51"/>
      <c r="HT9" s="51"/>
      <c r="HU9" s="54"/>
      <c r="HV9" s="51"/>
      <c r="HW9" s="51"/>
      <c r="HX9" s="51"/>
      <c r="HY9" s="54"/>
      <c r="HZ9" s="51"/>
      <c r="IA9" s="51"/>
      <c r="IB9" s="51"/>
      <c r="IC9" s="54"/>
      <c r="ID9" s="51"/>
      <c r="IE9" s="51"/>
      <c r="IF9" s="51"/>
      <c r="IG9" s="54"/>
      <c r="IH9" s="51"/>
      <c r="II9" s="51"/>
      <c r="IJ9" s="51"/>
      <c r="IK9" s="54"/>
      <c r="IL9" s="51"/>
      <c r="IM9" s="51"/>
      <c r="IN9" s="51"/>
      <c r="IO9" s="54"/>
      <c r="IP9" s="51"/>
      <c r="IQ9" s="51"/>
      <c r="IR9" s="51"/>
      <c r="IS9" s="54"/>
      <c r="IT9" s="51"/>
      <c r="IU9" s="51"/>
      <c r="IV9" s="51"/>
      <c r="IW9" s="54"/>
      <c r="IX9" s="51"/>
      <c r="IY9" s="51"/>
      <c r="IZ9" s="51"/>
      <c r="JB9" s="80"/>
      <c r="JC9" s="80"/>
      <c r="JD9" s="80"/>
      <c r="JF9" s="51"/>
      <c r="JG9" s="51"/>
      <c r="JH9" s="51"/>
      <c r="JI9" s="54"/>
      <c r="JJ9" s="51"/>
      <c r="JK9" s="51"/>
      <c r="JL9" s="51"/>
      <c r="JM9" s="54"/>
      <c r="JN9" s="51"/>
      <c r="JO9" s="51"/>
      <c r="JP9" s="51"/>
      <c r="JQ9" s="54"/>
      <c r="JR9" s="51"/>
      <c r="JS9" s="51"/>
      <c r="JT9" s="51"/>
      <c r="JU9" s="54"/>
      <c r="JV9" s="51"/>
      <c r="JW9" s="51"/>
      <c r="JX9" s="51"/>
      <c r="JY9" s="54"/>
      <c r="JZ9" s="51"/>
      <c r="KA9" s="51"/>
      <c r="KB9" s="51"/>
      <c r="KC9" s="54"/>
      <c r="KD9" s="51"/>
      <c r="KE9" s="51"/>
      <c r="KF9" s="51"/>
      <c r="KG9" s="54"/>
      <c r="KH9" s="51"/>
      <c r="KI9" s="51"/>
      <c r="KJ9" s="51"/>
      <c r="KK9" s="54"/>
      <c r="KL9" s="51"/>
      <c r="KM9" s="51"/>
      <c r="KN9" s="51"/>
      <c r="KO9" s="54"/>
      <c r="KP9" s="51"/>
      <c r="KQ9" s="51"/>
      <c r="KR9" s="51"/>
      <c r="KS9" s="54"/>
      <c r="KT9" s="51"/>
      <c r="KU9" s="51"/>
      <c r="KV9" s="51"/>
      <c r="KW9" s="54"/>
      <c r="KX9" s="51"/>
      <c r="KY9" s="51"/>
      <c r="KZ9" s="51"/>
      <c r="LB9" s="80"/>
      <c r="LC9" s="80"/>
      <c r="LD9" s="80"/>
    </row>
    <row r="10" ht="21" customHeight="1" spans="2:316" x14ac:dyDescent="0.25">
      <c r="B10" s="5" t="s">
        <v>52</v>
      </c>
      <c r="C10" s="29"/>
      <c r="D10" s="29" t="str">
        <f>'A.I Revenue Streams - P1'!E10</f>
        <v>Platform Access Fees</v>
      </c>
      <c r="E10" s="30"/>
      <c r="F10" s="51">
        <f>'A.I Revenue Streams - P2'!G10*25</f>
        <v>125</v>
      </c>
      <c r="G10" s="51">
        <f>'A.I Revenue Streams - P2'!I10</f>
        <v>20</v>
      </c>
      <c r="H10" s="51">
        <f>F10*G10</f>
        <v>2500</v>
      </c>
      <c r="I10" s="54"/>
      <c r="J10" s="51">
        <f>F10*$J$8</f>
        <v>137.5</v>
      </c>
      <c r="K10" s="51">
        <f>G10*$K$8</f>
        <v>20</v>
      </c>
      <c r="L10" s="51">
        <f>J10*K10</f>
        <v>2750</v>
      </c>
      <c r="M10" s="54"/>
      <c r="N10" s="51">
        <f>J10*$N$8</f>
        <v>137.5</v>
      </c>
      <c r="O10" s="51">
        <f>K10*$O$8</f>
        <v>20</v>
      </c>
      <c r="P10" s="51">
        <f>N10*O10</f>
        <v>2750</v>
      </c>
      <c r="Q10" s="54"/>
      <c r="R10" s="51">
        <f>N10*$R$8</f>
        <v>137.5</v>
      </c>
      <c r="S10" s="51">
        <f>O10*$S$8</f>
        <v>20</v>
      </c>
      <c r="T10" s="51">
        <f>R10*S10</f>
        <v>2750</v>
      </c>
      <c r="U10" s="54"/>
      <c r="V10" s="51">
        <f>R10*$V$8</f>
        <v>137.5</v>
      </c>
      <c r="W10" s="51">
        <f>S10*$W$8</f>
        <v>20</v>
      </c>
      <c r="X10" s="51">
        <f>V10*W10</f>
        <v>2750</v>
      </c>
      <c r="Y10" s="54"/>
      <c r="Z10" s="51">
        <f>V10*$Z$8</f>
        <v>137.5</v>
      </c>
      <c r="AA10" s="51">
        <f>W10*$AA$8</f>
        <v>20</v>
      </c>
      <c r="AB10" s="51">
        <f>Z10*AA10</f>
        <v>2750</v>
      </c>
      <c r="AC10" s="54"/>
      <c r="AD10" s="51">
        <f>Z10*$AD$8</f>
        <v>137.5</v>
      </c>
      <c r="AE10" s="51">
        <f>AA10*$AE$8</f>
        <v>20</v>
      </c>
      <c r="AF10" s="51">
        <f>AD10*AE10</f>
        <v>2750</v>
      </c>
      <c r="AG10" s="54"/>
      <c r="AH10" s="51">
        <f>AD10*$AH$8</f>
        <v>137.5</v>
      </c>
      <c r="AI10" s="51">
        <f>AE10*$AI$8</f>
        <v>20</v>
      </c>
      <c r="AJ10" s="51">
        <f>AH10*AI10</f>
        <v>2750</v>
      </c>
      <c r="AK10" s="54"/>
      <c r="AL10" s="51">
        <f>AH10*$AL$8</f>
        <v>137.5</v>
      </c>
      <c r="AM10" s="51">
        <f>AI10*$AM$8</f>
        <v>20</v>
      </c>
      <c r="AN10" s="51">
        <f>AL10*AM10</f>
        <v>2750</v>
      </c>
      <c r="AO10" s="54"/>
      <c r="AP10" s="51">
        <f>AL10*$AP$8</f>
        <v>137.5</v>
      </c>
      <c r="AQ10" s="51">
        <f>AM10*$AQ$8</f>
        <v>20</v>
      </c>
      <c r="AR10" s="51">
        <f>AP10*AQ10</f>
        <v>2750</v>
      </c>
      <c r="AS10" s="54"/>
      <c r="AT10" s="51">
        <f>AP10*$AH$8</f>
        <v>137.5</v>
      </c>
      <c r="AU10" s="51">
        <f>AQ10*$AI$8</f>
        <v>20</v>
      </c>
      <c r="AV10" s="51">
        <f>AT10*AU10</f>
        <v>2750</v>
      </c>
      <c r="AW10" s="54"/>
      <c r="AX10" s="51">
        <f>AT10*$AL$8</f>
        <v>137.5</v>
      </c>
      <c r="AY10" s="51">
        <f>AU10*$AM$8</f>
        <v>20</v>
      </c>
      <c r="AZ10" s="51">
        <f>AX10*AY10</f>
        <v>2750</v>
      </c>
      <c r="BA10" s="54"/>
      <c r="BB10" s="85">
        <f>SUMIF($F$6:$AZ$6,$BB$6,F10:AZ10)</f>
        <v>1637.5</v>
      </c>
      <c r="BC10" s="85">
        <f>SUMIF($F$6:$AZ$6,$BC$6,F10:AZ10)/12</f>
        <v>20</v>
      </c>
      <c r="BD10" s="80">
        <f>H10+L10+P10+T10+X10+AB10+AF10+AJ10+AN10</f>
        <v>24500</v>
      </c>
      <c r="BE10" t="b">
        <f>(BB10*BC10)=BD10</f>
        <v>0</v>
      </c>
      <c r="BF10" s="51">
        <f>AX10*$BF$8</f>
        <v>151.25</v>
      </c>
      <c r="BG10" s="51">
        <f>AY10*$BG$8</f>
        <v>20</v>
      </c>
      <c r="BH10" s="51">
        <f>BF10*BG10</f>
        <v>3025</v>
      </c>
      <c r="BI10" s="54"/>
      <c r="BJ10" s="51">
        <f>BF10*$BJ$8</f>
        <v>151.25</v>
      </c>
      <c r="BK10" s="51">
        <f>BG10*$BK$8</f>
        <v>20</v>
      </c>
      <c r="BL10" s="51">
        <f>BJ10*BK10</f>
        <v>3025</v>
      </c>
      <c r="BM10" s="54"/>
      <c r="BN10" s="51">
        <f>BJ10*$BN$8</f>
        <v>151.25</v>
      </c>
      <c r="BO10" s="51">
        <f>BK10*$BO$8</f>
        <v>20</v>
      </c>
      <c r="BP10" s="51">
        <f>BN10*BO10</f>
        <v>3025</v>
      </c>
      <c r="BQ10" s="54"/>
      <c r="BR10" s="51">
        <f>BN10*$BR$8</f>
        <v>151.25</v>
      </c>
      <c r="BS10" s="51">
        <f>BO10*$BS$8</f>
        <v>20</v>
      </c>
      <c r="BT10" s="51">
        <f>BR10*BS10</f>
        <v>3025</v>
      </c>
      <c r="BU10" s="54"/>
      <c r="BV10" s="51">
        <f>BR10*$BV$8</f>
        <v>151.25</v>
      </c>
      <c r="BW10" s="51">
        <f>BS10*$BW$8</f>
        <v>20</v>
      </c>
      <c r="BX10" s="51">
        <f>BV10*BW10</f>
        <v>3025</v>
      </c>
      <c r="BY10" s="54"/>
      <c r="BZ10" s="51">
        <f>BV10*$BZ$8</f>
        <v>151.25</v>
      </c>
      <c r="CA10" s="51">
        <f>BW10*$CA$8</f>
        <v>20</v>
      </c>
      <c r="CB10" s="51">
        <f>BZ10*CA10</f>
        <v>3025</v>
      </c>
      <c r="CC10" s="54"/>
      <c r="CD10" s="51">
        <f>BZ10*$CD$8</f>
        <v>151.25</v>
      </c>
      <c r="CE10" s="51">
        <f>CA10*$CE$8</f>
        <v>20</v>
      </c>
      <c r="CF10" s="51">
        <f>CD10*CE10</f>
        <v>3025</v>
      </c>
      <c r="CG10" s="54"/>
      <c r="CH10" s="51">
        <f>CD10*$CH$8</f>
        <v>151.25</v>
      </c>
      <c r="CI10" s="51">
        <f>CE10*$CI$8</f>
        <v>20</v>
      </c>
      <c r="CJ10" s="51">
        <f>CH10*CI10</f>
        <v>3025</v>
      </c>
      <c r="CK10" s="54"/>
      <c r="CL10" s="51">
        <f>CH10*$CL$8</f>
        <v>151.25</v>
      </c>
      <c r="CM10" s="51">
        <f>CI10*$CM$8</f>
        <v>20</v>
      </c>
      <c r="CN10" s="51">
        <f>CL10*CM10</f>
        <v>3025</v>
      </c>
      <c r="CO10" s="54"/>
      <c r="CP10" s="51">
        <f>CL10*$CP$8</f>
        <v>151.25</v>
      </c>
      <c r="CQ10" s="51">
        <f>CM10*$CQ$8</f>
        <v>20</v>
      </c>
      <c r="CR10" s="51">
        <f>CP10*CQ10</f>
        <v>3025</v>
      </c>
      <c r="CS10" s="54"/>
      <c r="CT10" s="51">
        <f>CP10*$CT$8</f>
        <v>151.25</v>
      </c>
      <c r="CU10" s="51">
        <f>CQ10*$CU$8</f>
        <v>20</v>
      </c>
      <c r="CV10" s="51">
        <f>CT10*CU10</f>
        <v>3025</v>
      </c>
      <c r="CW10" s="54"/>
      <c r="CX10" s="51">
        <f>CT10*$CX$8</f>
        <v>151.25</v>
      </c>
      <c r="CY10" s="51">
        <f>CU10*$CY$8</f>
        <v>20</v>
      </c>
      <c r="CZ10" s="51">
        <f>CX10*CY10</f>
        <v>3025</v>
      </c>
      <c r="DA10" s="54"/>
      <c r="DB10" s="80">
        <f>BF10+BJ10+BN10+BR10+BV10+BZ10+CD10+CH10+CL10+CP10+CT10+CX10</f>
        <v>1815</v>
      </c>
      <c r="DC10" s="80">
        <f>(BG10+BK10+BO10+BS10+BW10+CA10+CE10+CI10+CM10+CQ10+CU10+CY10)/12</f>
        <v>20</v>
      </c>
      <c r="DD10" s="80">
        <f>BH10+BL10+BP10+BT10+BX10+CB10+CF10+CJ10+CN10+CR10+CV10+CZ10</f>
        <v>36300</v>
      </c>
      <c r="DF10" s="51">
        <f>CX10*$DF$8</f>
        <v>166.375</v>
      </c>
      <c r="DG10" s="51">
        <f>CY10*$DG$8</f>
        <v>20</v>
      </c>
      <c r="DH10" s="51">
        <f>DF10*DG10</f>
        <v>3327.5</v>
      </c>
      <c r="DI10" s="54"/>
      <c r="DJ10" s="51">
        <f>DF10*$DJ$8</f>
        <v>166.375</v>
      </c>
      <c r="DK10" s="51">
        <f>DG10*$DK$8</f>
        <v>20</v>
      </c>
      <c r="DL10" s="51">
        <f>DJ10*DK10</f>
        <v>3327.5</v>
      </c>
      <c r="DM10" s="54"/>
      <c r="DN10" s="51">
        <f>DJ10*$DN$8</f>
        <v>166.375</v>
      </c>
      <c r="DO10" s="51">
        <f>DK10*$DO$8</f>
        <v>20</v>
      </c>
      <c r="DP10" s="51">
        <f>DN10*DO10</f>
        <v>3327.5</v>
      </c>
      <c r="DQ10" s="54"/>
      <c r="DR10" s="51">
        <f>DN10*$DR$8</f>
        <v>166.375</v>
      </c>
      <c r="DS10" s="51">
        <f>DO10*$DS$8</f>
        <v>20</v>
      </c>
      <c r="DT10" s="51">
        <f>DR10*DS10</f>
        <v>3327.5</v>
      </c>
      <c r="DU10" s="54"/>
      <c r="DV10" s="51">
        <f>DR10*$DV$8</f>
        <v>166.375</v>
      </c>
      <c r="DW10" s="51">
        <f>DS10*$DW$8</f>
        <v>20</v>
      </c>
      <c r="DX10" s="51">
        <f>DV10*DW10</f>
        <v>3327.5</v>
      </c>
      <c r="DY10" s="54"/>
      <c r="DZ10" s="51">
        <f>DV10*$DZ$8</f>
        <v>166.375</v>
      </c>
      <c r="EA10" s="51">
        <f>DW10*$EA$8</f>
        <v>20</v>
      </c>
      <c r="EB10" s="51">
        <f>DZ10*EA10</f>
        <v>3327.5</v>
      </c>
      <c r="EC10" s="54"/>
      <c r="ED10" s="51">
        <f>DZ10*$ED$8</f>
        <v>166.375</v>
      </c>
      <c r="EE10" s="51">
        <f>EA10*$EE$8</f>
        <v>20</v>
      </c>
      <c r="EF10" s="51">
        <f>ED10*EE10</f>
        <v>3327.5</v>
      </c>
      <c r="EG10" s="54"/>
      <c r="EH10" s="51">
        <f>ED10*$EH$8</f>
        <v>166.375</v>
      </c>
      <c r="EI10" s="51">
        <f>EE10*$EI$8</f>
        <v>20</v>
      </c>
      <c r="EJ10" s="51">
        <f>EH10*EI10</f>
        <v>3327.5</v>
      </c>
      <c r="EK10" s="54"/>
      <c r="EL10" s="51">
        <f>EH10*$EL$8</f>
        <v>166.375</v>
      </c>
      <c r="EM10" s="51">
        <f>EI10*$EM$8</f>
        <v>20</v>
      </c>
      <c r="EN10" s="51">
        <f>EL10*EM10</f>
        <v>3327.5</v>
      </c>
      <c r="EO10" s="54"/>
      <c r="EP10" s="51">
        <f>EL10*$EP$8</f>
        <v>166.375</v>
      </c>
      <c r="EQ10" s="51">
        <f>EM10*$EQ$8</f>
        <v>20</v>
      </c>
      <c r="ER10" s="51">
        <f>EP10*EQ10</f>
        <v>3327.5</v>
      </c>
      <c r="ES10" s="54"/>
      <c r="ET10" s="51">
        <f>EP10*$ET$8</f>
        <v>166.375</v>
      </c>
      <c r="EU10" s="51">
        <f>EQ10*$EU$8</f>
        <v>20</v>
      </c>
      <c r="EV10" s="51">
        <f>ET10*EU10</f>
        <v>3327.5</v>
      </c>
      <c r="EW10" s="54"/>
      <c r="EX10" s="51">
        <f>ET10*$EX$8</f>
        <v>166.375</v>
      </c>
      <c r="EY10" s="51">
        <f>EU10*$EY$8</f>
        <v>20</v>
      </c>
      <c r="EZ10" s="51">
        <f>EX10*EY10</f>
        <v>3327.5</v>
      </c>
      <c r="FA10" s="54"/>
      <c r="FB10" s="80">
        <f>DF10+DJ10+DN10+DR10+DV10+DZ10+ED10+EH10+EL10+EP10+ET10+EX10</f>
        <v>1996.5</v>
      </c>
      <c r="FC10" s="80">
        <f>(DG10+DK10+DO10+DS10+DW10+EA10+EE10+EI10+EM10+EQ10+EU10+EY10)/12</f>
        <v>20</v>
      </c>
      <c r="FD10" s="80">
        <f>DH10+DL10+DP10+DT10+DX10+EB10+EF10+EJ10+EN10+ER10+EV10+EZ10</f>
        <v>39930</v>
      </c>
      <c r="FF10" s="51">
        <f>EX10*$FF$8</f>
        <v>183.01250000000002</v>
      </c>
      <c r="FG10" s="51">
        <f>EY10*$FG$8</f>
        <v>20</v>
      </c>
      <c r="FH10" s="51">
        <f>FF10*FG10</f>
        <v>3660.2500000000005</v>
      </c>
      <c r="FI10" s="54"/>
      <c r="FJ10" s="51">
        <f>FF10*$FJ$8</f>
        <v>183.01250000000002</v>
      </c>
      <c r="FK10" s="51">
        <f>FG10*$FK$8</f>
        <v>20</v>
      </c>
      <c r="FL10" s="51">
        <f>FJ10*FK10</f>
        <v>3660.2500000000005</v>
      </c>
      <c r="FM10" s="54"/>
      <c r="FN10" s="51">
        <f>FJ10*$FN$8</f>
        <v>183.01250000000002</v>
      </c>
      <c r="FO10" s="51">
        <f>FK10*$FO$8</f>
        <v>20</v>
      </c>
      <c r="FP10" s="51">
        <f>FN10*FO10</f>
        <v>3660.2500000000005</v>
      </c>
      <c r="FQ10" s="54"/>
      <c r="FR10" s="51">
        <f>FN10*$FR$8</f>
        <v>183.01250000000002</v>
      </c>
      <c r="FS10" s="51">
        <f>FO10*$FS$8</f>
        <v>20</v>
      </c>
      <c r="FT10" s="51">
        <f>FR10*FS10</f>
        <v>3660.2500000000005</v>
      </c>
      <c r="FU10" s="54"/>
      <c r="FV10" s="51">
        <f>FR10*$FV$8</f>
        <v>183.01250000000002</v>
      </c>
      <c r="FW10" s="51">
        <f>FS10*$FW$8</f>
        <v>20</v>
      </c>
      <c r="FX10" s="51">
        <f>FV10*FW10</f>
        <v>3660.2500000000005</v>
      </c>
      <c r="FY10" s="54"/>
      <c r="FZ10" s="51">
        <f>FV10*$FZ$8</f>
        <v>183.01250000000002</v>
      </c>
      <c r="GA10" s="51">
        <f>FW10*$GA$8</f>
        <v>20</v>
      </c>
      <c r="GB10" s="51">
        <f>FZ10*GA10</f>
        <v>3660.2500000000005</v>
      </c>
      <c r="GC10" s="54"/>
      <c r="GD10" s="51">
        <f>FZ10*$GD$8</f>
        <v>183.01250000000002</v>
      </c>
      <c r="GE10" s="51">
        <f>GA10*$GE$8</f>
        <v>20</v>
      </c>
      <c r="GF10" s="51">
        <f>GD10*GE10</f>
        <v>3660.2500000000005</v>
      </c>
      <c r="GG10" s="54"/>
      <c r="GH10" s="51">
        <f>GD10*$GH$8</f>
        <v>183.01250000000002</v>
      </c>
      <c r="GI10" s="51">
        <f>GE10*$GI$8</f>
        <v>20</v>
      </c>
      <c r="GJ10" s="51">
        <f>GH10*GI10</f>
        <v>3660.2500000000005</v>
      </c>
      <c r="GK10" s="54"/>
      <c r="GL10" s="51">
        <f>GH10*$GL$8</f>
        <v>183.01250000000002</v>
      </c>
      <c r="GM10" s="51">
        <f>GI10*$GM$8</f>
        <v>20</v>
      </c>
      <c r="GN10" s="51">
        <f>GL10*GM10</f>
        <v>3660.2500000000005</v>
      </c>
      <c r="GO10" s="54"/>
      <c r="GP10" s="51">
        <f>GL10*$GP$8</f>
        <v>183.01250000000002</v>
      </c>
      <c r="GQ10" s="51">
        <f>GM10*$GQ$8</f>
        <v>20</v>
      </c>
      <c r="GR10" s="51">
        <f>GP10*GQ10</f>
        <v>3660.2500000000005</v>
      </c>
      <c r="GS10" s="54"/>
      <c r="GT10" s="51">
        <f>GP10*$GT$8</f>
        <v>183.01250000000002</v>
      </c>
      <c r="GU10" s="51">
        <f>GQ10*$GU$8</f>
        <v>20</v>
      </c>
      <c r="GV10" s="51">
        <f>GT10*GU10</f>
        <v>3660.2500000000005</v>
      </c>
      <c r="GW10" s="54"/>
      <c r="GX10" s="51">
        <f>GT10*$GX$8</f>
        <v>183.01250000000002</v>
      </c>
      <c r="GY10" s="51">
        <f>GU10*$GY$8</f>
        <v>20</v>
      </c>
      <c r="GZ10" s="51">
        <f>GX10*GY10</f>
        <v>3660.2500000000005</v>
      </c>
      <c r="HB10" s="80">
        <f>FF10+FJ10+FN10+FR10+FV10+FZ10+GD10+GH10+GL10+GP10+GT10+GX10</f>
        <v>2196.15</v>
      </c>
      <c r="HC10" s="80">
        <f>(FG10+FK10+FO10+FS10+FW10+GA10+GE10+GI10+GM10+GQ10+GU10+GY10)/12</f>
        <v>20</v>
      </c>
      <c r="HD10" s="80">
        <f>FH10+FL10+FP10+FT10+FX10+GB10+GF10+GJ10+GN10+GR10+GV10+GZ10</f>
        <v>43923.00000000001</v>
      </c>
      <c r="HF10" s="51">
        <f>GX10*$HF$8</f>
        <v>201.31375000000003</v>
      </c>
      <c r="HG10" s="51">
        <f>GY10*$HG$8</f>
        <v>20</v>
      </c>
      <c r="HH10" s="51">
        <f>HF10*HG10</f>
        <v>4026.2750000000005</v>
      </c>
      <c r="HI10" s="54"/>
      <c r="HJ10" s="51">
        <f>HF10*$HJ$8</f>
        <v>201.31375000000003</v>
      </c>
      <c r="HK10" s="51">
        <f>HG10*$HK$8</f>
        <v>20</v>
      </c>
      <c r="HL10" s="51">
        <f>HJ10*HK10</f>
        <v>4026.2750000000005</v>
      </c>
      <c r="HM10" s="54"/>
      <c r="HN10" s="51">
        <f>HJ10*$HN$8</f>
        <v>201.31375000000003</v>
      </c>
      <c r="HO10" s="51">
        <f>HK10*$HO$8</f>
        <v>20</v>
      </c>
      <c r="HP10" s="51">
        <f>HN10*HO10</f>
        <v>4026.2750000000005</v>
      </c>
      <c r="HQ10" s="54"/>
      <c r="HR10" s="51">
        <f>HN10*$HR$8</f>
        <v>201.31375000000003</v>
      </c>
      <c r="HS10" s="51">
        <f>HO10*$HS$8</f>
        <v>20</v>
      </c>
      <c r="HT10" s="51">
        <f>HR10*HS10</f>
        <v>4026.2750000000005</v>
      </c>
      <c r="HU10" s="54"/>
      <c r="HV10" s="51">
        <f>HR10*$HV$8</f>
        <v>201.31375000000003</v>
      </c>
      <c r="HW10" s="51">
        <f>HS10*$HW$8</f>
        <v>20</v>
      </c>
      <c r="HX10" s="51">
        <f>HV10*HW10</f>
        <v>4026.2750000000005</v>
      </c>
      <c r="HY10" s="54"/>
      <c r="HZ10" s="51">
        <f>HV10*$HZ$8</f>
        <v>201.31375000000003</v>
      </c>
      <c r="IA10" s="51">
        <f>HW10*$IA$8</f>
        <v>20</v>
      </c>
      <c r="IB10" s="51">
        <f>HZ10*IA10</f>
        <v>4026.2750000000005</v>
      </c>
      <c r="IC10" s="54"/>
      <c r="ID10" s="51">
        <f>HZ10*$ID$8</f>
        <v>201.31375000000003</v>
      </c>
      <c r="IE10" s="51">
        <f>IA10*$IE$8</f>
        <v>20</v>
      </c>
      <c r="IF10" s="51">
        <f>ID10*IE10</f>
        <v>4026.2750000000005</v>
      </c>
      <c r="IG10" s="54"/>
      <c r="IH10" s="51">
        <f>ID10*$IH$8</f>
        <v>201.31375000000003</v>
      </c>
      <c r="II10" s="51">
        <f>IE10*$II$8</f>
        <v>20</v>
      </c>
      <c r="IJ10" s="51">
        <f>IH10*II10</f>
        <v>4026.2750000000005</v>
      </c>
      <c r="IK10" s="54"/>
      <c r="IL10" s="51">
        <f>IH10*$IL$8</f>
        <v>201.31375000000003</v>
      </c>
      <c r="IM10" s="51">
        <f>II10*$IM$8</f>
        <v>20</v>
      </c>
      <c r="IN10" s="51">
        <f>IL10*IM10</f>
        <v>4026.2750000000005</v>
      </c>
      <c r="IO10" s="54"/>
      <c r="IP10" s="51">
        <f>IL10*$IP$8</f>
        <v>201.31375000000003</v>
      </c>
      <c r="IQ10" s="51">
        <f>IM10*$IQ$8</f>
        <v>20</v>
      </c>
      <c r="IR10" s="51">
        <f>IP10*IQ10</f>
        <v>4026.2750000000005</v>
      </c>
      <c r="IS10" s="54"/>
      <c r="IT10" s="51">
        <f>IP10*$IT$8</f>
        <v>201.31375000000003</v>
      </c>
      <c r="IU10" s="51">
        <f>IQ10*$IU$8</f>
        <v>20</v>
      </c>
      <c r="IV10" s="51">
        <f>IT10*IU10</f>
        <v>4026.2750000000005</v>
      </c>
      <c r="IW10" s="54"/>
      <c r="IX10" s="51">
        <f>IT10*$IX$8</f>
        <v>201.31375000000003</v>
      </c>
      <c r="IY10" s="51">
        <f>IU10*$IY$8</f>
        <v>20</v>
      </c>
      <c r="IZ10" s="51">
        <f>IX10*IY10</f>
        <v>4026.2750000000005</v>
      </c>
      <c r="JB10" s="80">
        <f>HF10+HJ10+HN10+HR10+HV10+HZ10+ID10+IH10+IL10+IP10+IT10+IX10</f>
        <v>2415.7650000000003</v>
      </c>
      <c r="JC10" s="80">
        <f>(HG10+HK10+HO10+HS10+HW10+IA10+IE10+II10+IM10+IQ10+IU10+IY10)/12</f>
        <v>20</v>
      </c>
      <c r="JD10" s="80">
        <f>HH10+HL10+HP10+HT10+HX10+IB10+IF10+IJ10+IN10+IR10+IV10+IZ10</f>
        <v>48315.30000000001</v>
      </c>
      <c r="JF10" s="51">
        <f>IX10*$JF$8</f>
        <v>221.44512500000005</v>
      </c>
      <c r="JG10" s="51">
        <f>IY10*$JG$8</f>
        <v>20</v>
      </c>
      <c r="JH10" s="51">
        <f>JF10*JG10</f>
        <v>4428.902500000001</v>
      </c>
      <c r="JI10" s="54"/>
      <c r="JJ10" s="51">
        <f>JF10*$JJ$8</f>
        <v>221.44512500000005</v>
      </c>
      <c r="JK10" s="51">
        <f>JG10*$JK$8</f>
        <v>20</v>
      </c>
      <c r="JL10" s="51">
        <f>JJ10*JK10</f>
        <v>4428.902500000001</v>
      </c>
      <c r="JM10" s="54"/>
      <c r="JN10" s="51">
        <f>JJ10*$JN$8</f>
        <v>221.44512500000005</v>
      </c>
      <c r="JO10" s="51">
        <f>JK10*$JO$8</f>
        <v>20</v>
      </c>
      <c r="JP10" s="51">
        <f>JN10*JO10</f>
        <v>4428.902500000001</v>
      </c>
      <c r="JQ10" s="54"/>
      <c r="JR10" s="51">
        <f>JN10*$JR$8</f>
        <v>221.44512500000005</v>
      </c>
      <c r="JS10" s="51">
        <f>JO10*$JS$8</f>
        <v>20</v>
      </c>
      <c r="JT10" s="51">
        <f>JR10*JS10</f>
        <v>4428.902500000001</v>
      </c>
      <c r="JU10" s="54"/>
      <c r="JV10" s="51">
        <f>JR10*$JV$8</f>
        <v>221.44512500000005</v>
      </c>
      <c r="JW10" s="51">
        <f>JS10*$JW$8</f>
        <v>20</v>
      </c>
      <c r="JX10" s="51">
        <f>JV10*JW10</f>
        <v>4428.902500000001</v>
      </c>
      <c r="JY10" s="54"/>
      <c r="JZ10" s="51">
        <f>JV10*$JZ$8</f>
        <v>221.44512500000005</v>
      </c>
      <c r="KA10" s="51">
        <f>JW10*$KA$8</f>
        <v>20</v>
      </c>
      <c r="KB10" s="51">
        <f>JZ10*KA10</f>
        <v>4428.902500000001</v>
      </c>
      <c r="KC10" s="54"/>
      <c r="KD10" s="51">
        <f>JZ10*$KD$8</f>
        <v>221.44512500000005</v>
      </c>
      <c r="KE10" s="51">
        <f>KA10*$KE$8</f>
        <v>20</v>
      </c>
      <c r="KF10" s="51">
        <f>KD10*KE10</f>
        <v>4428.902500000001</v>
      </c>
      <c r="KG10" s="54"/>
      <c r="KH10" s="51">
        <f>KD10*$KH$8</f>
        <v>221.44512500000005</v>
      </c>
      <c r="KI10" s="51">
        <f>KE10*$KI$8</f>
        <v>20</v>
      </c>
      <c r="KJ10" s="51">
        <f>KH10*KI10</f>
        <v>4428.902500000001</v>
      </c>
      <c r="KK10" s="54"/>
      <c r="KL10" s="51">
        <f>KH10*$KL$8</f>
        <v>221.44512500000005</v>
      </c>
      <c r="KM10" s="51">
        <f>KI10*$KM$8</f>
        <v>20</v>
      </c>
      <c r="KN10" s="51">
        <f>KL10*KM10</f>
        <v>4428.902500000001</v>
      </c>
      <c r="KO10" s="54"/>
      <c r="KP10" s="51">
        <f>KL10*$KP$8</f>
        <v>221.44512500000005</v>
      </c>
      <c r="KQ10" s="51">
        <f>KM10*$KQ$8</f>
        <v>20</v>
      </c>
      <c r="KR10" s="51">
        <f>KP10*KQ10</f>
        <v>4428.902500000001</v>
      </c>
      <c r="KS10" s="54"/>
      <c r="KT10" s="51">
        <f>KP10*$KT$8</f>
        <v>221.44512500000005</v>
      </c>
      <c r="KU10" s="51">
        <f>KQ10*$KU$8</f>
        <v>20</v>
      </c>
      <c r="KV10" s="51">
        <f>KT10*KU10</f>
        <v>4428.902500000001</v>
      </c>
      <c r="KW10" s="54"/>
      <c r="KX10" s="51">
        <f>KT10*$KX$8</f>
        <v>221.44512500000005</v>
      </c>
      <c r="KY10" s="51">
        <f>KU10*$KY$8</f>
        <v>20</v>
      </c>
      <c r="KZ10" s="51">
        <f>KX10*KY10</f>
        <v>4428.902500000001</v>
      </c>
      <c r="LB10" s="80">
        <f>JF10+JJ10+JN10+JR10+JV10+JZ10+KD10+KH10+KL10+KP10+KT10+KX10</f>
        <v>2657.3415000000005</v>
      </c>
      <c r="LC10" s="80">
        <f>(JG10+JK10+JO10+JS10+JW10+KA10+KE10+KI10+KM10+KQ10+KU10+KY10)/12</f>
        <v>20</v>
      </c>
      <c r="LD10" s="80">
        <f>JH10+JL10+JP10+JT10+JX10+KB10+KF10+KJ10+KN10+KR10+KV10+KZ10</f>
        <v>53146.83000000002</v>
      </c>
    </row>
    <row r="11" ht="18.75" customHeight="1" spans="2:316" x14ac:dyDescent="0.25">
      <c r="B11" s="5" t="s">
        <v>54</v>
      </c>
      <c r="C11" s="29"/>
      <c r="D11" s="29">
        <f>'A.I Revenue Streams - P1'!E11</f>
        <v>0</v>
      </c>
      <c r="E11" s="30"/>
      <c r="F11" s="51">
        <f>'A.I Revenue Streams - P2'!G11*25</f>
        <v>100</v>
      </c>
      <c r="G11" s="51">
        <f>'A.I Revenue Streams - P2'!I11</f>
        <v>20</v>
      </c>
      <c r="H11" s="51">
        <f>F11*G11</f>
        <v>2000</v>
      </c>
      <c r="I11" s="54"/>
      <c r="J11" s="51">
        <f>F11*$J$8</f>
        <v>110.00000000000001</v>
      </c>
      <c r="K11" s="51">
        <f>G11*$K$8</f>
        <v>20</v>
      </c>
      <c r="L11" s="51">
        <f>J11*K11</f>
        <v>2200.0000000000005</v>
      </c>
      <c r="M11" s="54"/>
      <c r="N11" s="51">
        <f>J11*$N$8</f>
        <v>110.00000000000001</v>
      </c>
      <c r="O11" s="51">
        <f>K11*$O$8</f>
        <v>20</v>
      </c>
      <c r="P11" s="51">
        <f>N11*O11</f>
        <v>2200.0000000000005</v>
      </c>
      <c r="Q11" s="54"/>
      <c r="R11" s="51">
        <f>N11*$R$8</f>
        <v>110.00000000000001</v>
      </c>
      <c r="S11" s="51">
        <f>O11*$S$8</f>
        <v>20</v>
      </c>
      <c r="T11" s="51">
        <f>R11*S11</f>
        <v>2200.0000000000005</v>
      </c>
      <c r="U11" s="54"/>
      <c r="V11" s="51">
        <f>R11*$V$8</f>
        <v>110.00000000000001</v>
      </c>
      <c r="W11" s="51">
        <f>S11*$W$8</f>
        <v>20</v>
      </c>
      <c r="X11" s="51">
        <f>V11*W11</f>
        <v>2200.0000000000005</v>
      </c>
      <c r="Y11" s="54"/>
      <c r="Z11" s="51">
        <f>V11*$Z$8</f>
        <v>110.00000000000001</v>
      </c>
      <c r="AA11" s="51">
        <f>W11*$AA$8</f>
        <v>20</v>
      </c>
      <c r="AB11" s="51">
        <f>Z11*AA11</f>
        <v>2200.0000000000005</v>
      </c>
      <c r="AC11" s="54"/>
      <c r="AD11" s="51">
        <f>Z11*$AD$8</f>
        <v>110.00000000000001</v>
      </c>
      <c r="AE11" s="51">
        <f>AA11*$AE$8</f>
        <v>20</v>
      </c>
      <c r="AF11" s="51">
        <f>AD11*AE11</f>
        <v>2200.0000000000005</v>
      </c>
      <c r="AG11" s="54"/>
      <c r="AH11" s="51">
        <f>AD11*$AH$8</f>
        <v>110.00000000000001</v>
      </c>
      <c r="AI11" s="51">
        <f>AE11*$AI$8</f>
        <v>20</v>
      </c>
      <c r="AJ11" s="51">
        <f>AH11*AI11</f>
        <v>2200.0000000000005</v>
      </c>
      <c r="AK11" s="54"/>
      <c r="AL11" s="51">
        <f>AH11*$AL$8</f>
        <v>110.00000000000001</v>
      </c>
      <c r="AM11" s="51">
        <f>AI11*$AM$8</f>
        <v>20</v>
      </c>
      <c r="AN11" s="51">
        <f>AL11*AM11</f>
        <v>2200.0000000000005</v>
      </c>
      <c r="AO11" s="54"/>
      <c r="AP11" s="51">
        <f>AL11*$AP$8</f>
        <v>110.00000000000001</v>
      </c>
      <c r="AQ11" s="51">
        <f>AM11*$AQ$8</f>
        <v>20</v>
      </c>
      <c r="AR11" s="51">
        <f>AP11*AQ11</f>
        <v>2200.0000000000005</v>
      </c>
      <c r="AS11" s="54"/>
      <c r="AT11" s="51">
        <f>AP11*$AH$8</f>
        <v>110.00000000000001</v>
      </c>
      <c r="AU11" s="51">
        <f>AQ11*$AI$8</f>
        <v>20</v>
      </c>
      <c r="AV11" s="51">
        <f>AT11*AU11</f>
        <v>2200.0000000000005</v>
      </c>
      <c r="AW11" s="54"/>
      <c r="AX11" s="51">
        <f>AT11*$AL$8</f>
        <v>110.00000000000001</v>
      </c>
      <c r="AY11" s="51">
        <f>AU11*$AM$8</f>
        <v>20</v>
      </c>
      <c r="AZ11" s="51">
        <f>AX11*AY11</f>
        <v>2200.0000000000005</v>
      </c>
      <c r="BA11" s="54"/>
      <c r="BB11" s="85">
        <f>SUMIF($F$6:$AZ$6,$BB$6,F11:AZ11)</f>
        <v>1310</v>
      </c>
      <c r="BC11" s="85">
        <f>SUMIF($F$6:$AZ$6,$BC$6,F11:AZ11)/12</f>
        <v>20</v>
      </c>
      <c r="BD11" s="80">
        <f>H11+L11+P11+T11+X11+AB11+AF11+AJ11+AN11</f>
        <v>19600</v>
      </c>
      <c r="BE11" t="b">
        <f>(BB11*BC11)=BD11</f>
        <v>0</v>
      </c>
      <c r="BF11" s="51">
        <f>AX11*$BF$8</f>
        <v>121.00000000000003</v>
      </c>
      <c r="BG11" s="51">
        <f>AY11*$BG$8</f>
        <v>20</v>
      </c>
      <c r="BH11" s="51">
        <f>BF11*BG11</f>
        <v>2420.0000000000005</v>
      </c>
      <c r="BI11" s="54"/>
      <c r="BJ11" s="51">
        <f>BF11*$BJ$8</f>
        <v>121.00000000000003</v>
      </c>
      <c r="BK11" s="51">
        <f t="shared" ref="BK11:BK13" si="0">BG11*$BK$8</f>
        <v>20</v>
      </c>
      <c r="BL11" s="51">
        <f>BJ11*BK11</f>
        <v>2420.0000000000005</v>
      </c>
      <c r="BM11" s="54"/>
      <c r="BN11" s="51">
        <f t="shared" ref="BN11:BN14" si="1">BJ11*$BN$8</f>
        <v>121.00000000000003</v>
      </c>
      <c r="BO11" s="51">
        <f t="shared" ref="BO11:BO13" si="2">BK11*$BO$8</f>
        <v>20</v>
      </c>
      <c r="BP11" s="51">
        <f>BN11*BO11</f>
        <v>2420.0000000000005</v>
      </c>
      <c r="BQ11" s="54"/>
      <c r="BR11" s="51">
        <f t="shared" ref="BR11:BR13" si="3">BN11*$BR$8</f>
        <v>121.00000000000003</v>
      </c>
      <c r="BS11" s="51">
        <f t="shared" ref="BS11:BS13" si="4">BO11*$BS$8</f>
        <v>20</v>
      </c>
      <c r="BT11" s="51">
        <f>BR11*BS11</f>
        <v>2420.0000000000005</v>
      </c>
      <c r="BU11" s="54"/>
      <c r="BV11" s="51">
        <f t="shared" ref="BV11:BV14" si="5">BR11*$BV$8</f>
        <v>121.00000000000003</v>
      </c>
      <c r="BW11" s="51">
        <f t="shared" ref="BW11:BW14" si="6">BS11*$BW$8</f>
        <v>20</v>
      </c>
      <c r="BX11" s="51">
        <f>BV11*BW11</f>
        <v>2420.0000000000005</v>
      </c>
      <c r="BY11" s="54"/>
      <c r="BZ11" s="51">
        <f t="shared" ref="BZ11:BZ14" si="7">BV11*$BZ$8</f>
        <v>121.00000000000003</v>
      </c>
      <c r="CA11" s="51">
        <f t="shared" ref="CA11:CA14" si="8">BW11*$CA$8</f>
        <v>20</v>
      </c>
      <c r="CB11" s="51">
        <f>BZ11*CA11</f>
        <v>2420.0000000000005</v>
      </c>
      <c r="CC11" s="54"/>
      <c r="CD11" s="51">
        <f t="shared" ref="CD11:CD14" si="9">BZ11*$CD$8</f>
        <v>121.00000000000003</v>
      </c>
      <c r="CE11" s="51">
        <f t="shared" ref="CE11:CE14" si="10">CA11*$CE$8</f>
        <v>20</v>
      </c>
      <c r="CF11" s="51">
        <f>CD11*CE11</f>
        <v>2420.0000000000005</v>
      </c>
      <c r="CG11" s="54"/>
      <c r="CH11" s="51">
        <f t="shared" ref="CH11:CH14" si="11">CD11*$CH$8</f>
        <v>121.00000000000003</v>
      </c>
      <c r="CI11" s="51">
        <f t="shared" ref="CI11:CI14" si="12">CE11*$CI$8</f>
        <v>20</v>
      </c>
      <c r="CJ11" s="51">
        <f>CH11*CI11</f>
        <v>2420.0000000000005</v>
      </c>
      <c r="CK11" s="54"/>
      <c r="CL11" s="51">
        <f t="shared" ref="CL11:CL14" si="13">CH11*$CL$8</f>
        <v>121.00000000000003</v>
      </c>
      <c r="CM11" s="51">
        <f t="shared" ref="CM11:CM14" si="14">CI11*$CM$8</f>
        <v>20</v>
      </c>
      <c r="CN11" s="51">
        <f>CL11*CM11</f>
        <v>2420.0000000000005</v>
      </c>
      <c r="CO11" s="54"/>
      <c r="CP11" s="51">
        <f t="shared" ref="CP11:CP14" si="15">CL11*$CP$8</f>
        <v>121.00000000000003</v>
      </c>
      <c r="CQ11" s="51">
        <f t="shared" ref="CQ11:CQ14" si="16">CM11*$CQ$8</f>
        <v>20</v>
      </c>
      <c r="CR11" s="51">
        <f>CP11*CQ11</f>
        <v>2420.0000000000005</v>
      </c>
      <c r="CS11" s="54"/>
      <c r="CT11" s="51">
        <f t="shared" ref="CT11:CT14" si="17">CP11*$CT$8</f>
        <v>121.00000000000003</v>
      </c>
      <c r="CU11" s="51">
        <f t="shared" ref="CU11:CU14" si="18">CQ11*$CU$8</f>
        <v>20</v>
      </c>
      <c r="CV11" s="51">
        <f>CT11*CU11</f>
        <v>2420.0000000000005</v>
      </c>
      <c r="CW11" s="54"/>
      <c r="CX11" s="51">
        <f t="shared" ref="CX11:CX14" si="19">CT11*$CX$8</f>
        <v>121.00000000000003</v>
      </c>
      <c r="CY11" s="51">
        <f t="shared" ref="CY11:CY14" si="20">CU11*$CY$8</f>
        <v>20</v>
      </c>
      <c r="CZ11" s="51">
        <f>CX11*CY11</f>
        <v>2420.0000000000005</v>
      </c>
      <c r="DA11" s="54"/>
      <c r="DB11" s="80">
        <f>BF11+BJ11+BN11+BR11+BV11+BZ11+CD11+CH11+CL11+CP11+CT11+CX11</f>
        <v>1452.0000000000002</v>
      </c>
      <c r="DC11" s="80">
        <f>(BG11+BK11+BO11+BS11+BW11+CA11+CE11+CI11+CM11+CQ11+CU11+CY11)/12</f>
        <v>20</v>
      </c>
      <c r="DD11" s="80">
        <f>BH11+BL11+BP11+BT11+BX11+CB11+CF11+CJ11+CN11+CR11+CV11+CZ11</f>
        <v>29040.000000000004</v>
      </c>
      <c r="DF11" s="51">
        <f t="shared" ref="DF11:DF12" si="21">CX11*$DF$8</f>
        <v>133.10000000000005</v>
      </c>
      <c r="DG11" s="51">
        <f t="shared" ref="DG11:DG14" si="22">CY11*$DG$8</f>
        <v>20</v>
      </c>
      <c r="DH11" s="51">
        <f>DF11*DG11</f>
        <v>2662.000000000001</v>
      </c>
      <c r="DI11" s="54"/>
      <c r="DJ11" s="51">
        <f t="shared" ref="DJ11:DJ14" si="23">DF11*$DJ$8</f>
        <v>133.10000000000005</v>
      </c>
      <c r="DK11" s="51">
        <f t="shared" ref="DK11:DK14" si="24">DG11*$DK$8</f>
        <v>20</v>
      </c>
      <c r="DL11" s="51">
        <f>DJ11*DK11</f>
        <v>2662.000000000001</v>
      </c>
      <c r="DM11" s="54"/>
      <c r="DN11" s="51">
        <f t="shared" ref="DN11:DN14" si="25">DJ11*$DN$8</f>
        <v>133.10000000000005</v>
      </c>
      <c r="DO11" s="51">
        <f t="shared" ref="DO11:DO14" si="26">DK11*$DO$8</f>
        <v>20</v>
      </c>
      <c r="DP11" s="51">
        <f>DN11*DO11</f>
        <v>2662.000000000001</v>
      </c>
      <c r="DQ11" s="54"/>
      <c r="DR11" s="51">
        <f t="shared" ref="DR11:DR14" si="27">DN11*$DR$8</f>
        <v>133.10000000000005</v>
      </c>
      <c r="DS11" s="51">
        <f t="shared" ref="DS11:DS14" si="28">DO11*$DS$8</f>
        <v>20</v>
      </c>
      <c r="DT11" s="51">
        <f>DR11*DS11</f>
        <v>2662.000000000001</v>
      </c>
      <c r="DU11" s="54"/>
      <c r="DV11" s="51">
        <f t="shared" ref="DV11:DV14" si="29">DR11*$DV$8</f>
        <v>133.10000000000005</v>
      </c>
      <c r="DW11" s="51">
        <f t="shared" ref="DW11:DW14" si="30">DS11*$DW$8</f>
        <v>20</v>
      </c>
      <c r="DX11" s="51">
        <f>DV11*DW11</f>
        <v>2662.000000000001</v>
      </c>
      <c r="DY11" s="54"/>
      <c r="DZ11" s="51">
        <f t="shared" ref="DZ11:DZ14" si="31">DV11*$DZ$8</f>
        <v>133.10000000000005</v>
      </c>
      <c r="EA11" s="51">
        <f t="shared" ref="EA11:EA14" si="32">DW11*$EA$8</f>
        <v>20</v>
      </c>
      <c r="EB11" s="51">
        <f>DZ11*EA11</f>
        <v>2662.000000000001</v>
      </c>
      <c r="EC11" s="54"/>
      <c r="ED11" s="51">
        <f t="shared" ref="ED11:ED14" si="33">DZ11*$ED$8</f>
        <v>133.10000000000005</v>
      </c>
      <c r="EE11" s="51">
        <f t="shared" ref="EE11:EE14" si="34">EA11*$EE$8</f>
        <v>20</v>
      </c>
      <c r="EF11" s="51">
        <f>ED11*EE11</f>
        <v>2662.000000000001</v>
      </c>
      <c r="EG11" s="54"/>
      <c r="EH11" s="51">
        <f t="shared" ref="EH11:EH14" si="35">ED11*$EH$8</f>
        <v>133.10000000000005</v>
      </c>
      <c r="EI11" s="51">
        <f>EE11*$EI$8</f>
        <v>20</v>
      </c>
      <c r="EJ11" s="51">
        <f>EH11*EI11</f>
        <v>2662.000000000001</v>
      </c>
      <c r="EK11" s="54"/>
      <c r="EL11" s="51">
        <f t="shared" ref="EL11:EL14" si="36">EH11*$EL$8</f>
        <v>133.10000000000005</v>
      </c>
      <c r="EM11" s="51">
        <f t="shared" ref="EM11:EM14" si="37">EI11*$EM$8</f>
        <v>20</v>
      </c>
      <c r="EN11" s="51">
        <f>EL11*EM11</f>
        <v>2662.000000000001</v>
      </c>
      <c r="EO11" s="54"/>
      <c r="EP11" s="51">
        <f t="shared" ref="EP11:EP14" si="38">EL11*$EP$8</f>
        <v>133.10000000000005</v>
      </c>
      <c r="EQ11" s="51">
        <f t="shared" ref="EQ11:EQ14" si="39">EM11*$EQ$8</f>
        <v>20</v>
      </c>
      <c r="ER11" s="51">
        <f>EP11*EQ11</f>
        <v>2662.000000000001</v>
      </c>
      <c r="ES11" s="54"/>
      <c r="ET11" s="51">
        <f t="shared" ref="ET11:ET14" si="40">EP11*$ET$8</f>
        <v>133.10000000000005</v>
      </c>
      <c r="EU11" s="51">
        <f t="shared" ref="EU11:EU14" si="41">EQ11*$EU$8</f>
        <v>20</v>
      </c>
      <c r="EV11" s="51">
        <f>ET11*EU11</f>
        <v>2662.000000000001</v>
      </c>
      <c r="EW11" s="54"/>
      <c r="EX11" s="51">
        <f t="shared" ref="EX11:EX14" si="42">ET11*$EX$8</f>
        <v>133.10000000000005</v>
      </c>
      <c r="EY11" s="51">
        <f t="shared" ref="EY11:EY14" si="43">EU11*$EY$8</f>
        <v>20</v>
      </c>
      <c r="EZ11" s="51">
        <f>EX11*EY11</f>
        <v>2662.000000000001</v>
      </c>
      <c r="FA11" s="54"/>
      <c r="FB11" s="80">
        <f>DF11+DJ11+DN11+DR11+DV11+DZ11+ED11+EH11+EL11+EP11+ET11+EX11</f>
        <v>1597.200000000001</v>
      </c>
      <c r="FC11" s="80">
        <f>(DG11+DK11+DO11+DS11+DW11+EA11+EE11+EI11+EM11+EQ11+EU11+EY11)/12</f>
        <v>20</v>
      </c>
      <c r="FD11" s="80">
        <f>DH11+DL11+DP11+DT11+DX11+EB11+EF11+EJ11+EN11+ER11+EV11+EZ11</f>
        <v>31944.000000000004</v>
      </c>
      <c r="FF11" s="51">
        <f t="shared" ref="FF11:FF14" si="44">EX11*$FF$8</f>
        <v>146.41000000000008</v>
      </c>
      <c r="FG11" s="51">
        <f t="shared" ref="FG11:FG14" si="45">EY11*$FG$8</f>
        <v>20</v>
      </c>
      <c r="FH11" s="51">
        <f>FF11*FG11</f>
        <v>2928.2000000000016</v>
      </c>
      <c r="FI11" s="54"/>
      <c r="FJ11" s="51">
        <f t="shared" ref="FJ11:FJ14" si="46">FF11*$FJ$8</f>
        <v>146.41000000000008</v>
      </c>
      <c r="FK11" s="51">
        <f t="shared" ref="FK11:FK14" si="47">FG11*$FK$8</f>
        <v>20</v>
      </c>
      <c r="FL11" s="51">
        <f>FJ11*FK11</f>
        <v>2928.2000000000016</v>
      </c>
      <c r="FM11" s="54"/>
      <c r="FN11" s="51">
        <f t="shared" ref="FN11:FN14" si="48">FJ11*$FN$8</f>
        <v>146.41000000000008</v>
      </c>
      <c r="FO11" s="51">
        <f t="shared" ref="FO11:FO14" si="49">FK11*$FO$8</f>
        <v>20</v>
      </c>
      <c r="FP11" s="51">
        <f>FN11*FO11</f>
        <v>2928.2000000000016</v>
      </c>
      <c r="FQ11" s="54"/>
      <c r="FR11" s="51">
        <f t="shared" ref="FR11:FR14" si="50">FN11*$FR$8</f>
        <v>146.41000000000008</v>
      </c>
      <c r="FS11" s="51">
        <f t="shared" ref="FS11:FS14" si="51">FO11*$FS$8</f>
        <v>20</v>
      </c>
      <c r="FT11" s="51">
        <f>FR11*FS11</f>
        <v>2928.2000000000016</v>
      </c>
      <c r="FU11" s="54"/>
      <c r="FV11" s="51">
        <f t="shared" ref="FV11:FV14" si="52">FR11*$FV$8</f>
        <v>146.41000000000008</v>
      </c>
      <c r="FW11" s="51">
        <f t="shared" ref="FW11:FW14" si="53">FS11*$FW$8</f>
        <v>20</v>
      </c>
      <c r="FX11" s="51">
        <f>FV11*FW11</f>
        <v>2928.2000000000016</v>
      </c>
      <c r="FY11" s="54"/>
      <c r="FZ11" s="51">
        <f t="shared" ref="FZ11:FZ14" si="54">FV11*$FZ$8</f>
        <v>146.41000000000008</v>
      </c>
      <c r="GA11" s="51">
        <f t="shared" ref="GA11:GA12" si="55">FW11*$GA$8</f>
        <v>20</v>
      </c>
      <c r="GB11" s="51">
        <f>FZ11*GA11</f>
        <v>2928.2000000000016</v>
      </c>
      <c r="GC11" s="54"/>
      <c r="GD11" s="51">
        <f t="shared" ref="GD11:GD12" si="56">FZ11*$GD$8</f>
        <v>146.41000000000008</v>
      </c>
      <c r="GE11" s="51">
        <f t="shared" ref="GE11:GE14" si="57">GA11*$GE$8</f>
        <v>20</v>
      </c>
      <c r="GF11" s="51">
        <f>GD11*GE11</f>
        <v>2928.2000000000016</v>
      </c>
      <c r="GG11" s="54"/>
      <c r="GH11" s="51">
        <f t="shared" ref="GH11:GH12" si="58">GD11*$GH$8</f>
        <v>146.41000000000008</v>
      </c>
      <c r="GI11" s="51">
        <f>GE11*$GI$8</f>
        <v>20</v>
      </c>
      <c r="GJ11" s="51">
        <f>GH11*GI11</f>
        <v>2928.2000000000016</v>
      </c>
      <c r="GK11" s="54"/>
      <c r="GL11" s="51">
        <f t="shared" ref="GL11:GL14" si="59">GH11*$GL$8</f>
        <v>146.41000000000008</v>
      </c>
      <c r="GM11" s="51">
        <f t="shared" ref="GM11:GM14" si="60">GI11*$GM$8</f>
        <v>20</v>
      </c>
      <c r="GN11" s="51">
        <f>GL11*GM11</f>
        <v>2928.2000000000016</v>
      </c>
      <c r="GO11" s="54"/>
      <c r="GP11" s="51">
        <f t="shared" ref="GP11:GP14" si="61">GL11*$GP$8</f>
        <v>146.41000000000008</v>
      </c>
      <c r="GQ11" s="51">
        <f t="shared" ref="GQ11:GQ14" si="62">GM11*$GQ$8</f>
        <v>20</v>
      </c>
      <c r="GR11" s="51">
        <f>GP11*GQ11</f>
        <v>2928.2000000000016</v>
      </c>
      <c r="GS11" s="54"/>
      <c r="GT11" s="51">
        <f t="shared" ref="GT11:GT14" si="63">GP11*$GT$8</f>
        <v>146.41000000000008</v>
      </c>
      <c r="GU11" s="51">
        <f t="shared" ref="GU11:GU14" si="64">GQ11*$GU$8</f>
        <v>20</v>
      </c>
      <c r="GV11" s="51">
        <f>GT11*GU11</f>
        <v>2928.2000000000016</v>
      </c>
      <c r="GW11" s="54"/>
      <c r="GX11" s="51">
        <f t="shared" ref="GX11:GX14" si="65">GT11*$GX$8</f>
        <v>146.41000000000008</v>
      </c>
      <c r="GY11" s="51">
        <f t="shared" ref="GY11:GY14" si="66">GU11*$GY$8</f>
        <v>20</v>
      </c>
      <c r="GZ11" s="51">
        <f>GX11*GY11</f>
        <v>2928.2000000000016</v>
      </c>
      <c r="HB11" s="80">
        <f>FF11+FJ11+FN11+FR11+FV11+FZ11+GD11+GH11+GL11+GP11+GT11+GX11</f>
        <v>1756.920000000001</v>
      </c>
      <c r="HC11" s="80">
        <f>(FG11+FK11+FO11+FS11+FW11+GA11+GE11+GI11+GM11+GQ11+GU11+GY11)/12</f>
        <v>20</v>
      </c>
      <c r="HD11" s="80">
        <f>FH11+FL11+FP11+FT11+FX11+GB11+GF11+GJ11+GN11+GR11+GV11+GZ11</f>
        <v>35138.400000000016</v>
      </c>
      <c r="HF11" s="51">
        <f t="shared" ref="HF11:HF14" si="67">GX11*$HF$8</f>
        <v>161.0510000000001</v>
      </c>
      <c r="HG11" s="51">
        <f t="shared" ref="HG11:HG14" si="68">GY11*$HG$8</f>
        <v>20</v>
      </c>
      <c r="HH11" s="51">
        <f>HF11*HG11</f>
        <v>3221.0200000000023</v>
      </c>
      <c r="HI11" s="54"/>
      <c r="HJ11" s="51">
        <f t="shared" ref="HJ11:HJ14" si="69">HF11*$HJ$8</f>
        <v>161.0510000000001</v>
      </c>
      <c r="HK11" s="51">
        <f t="shared" ref="HK11" si="70">HG11*$HK$8</f>
        <v>20</v>
      </c>
      <c r="HL11" s="51">
        <f>HJ11*HK11</f>
        <v>3221.0200000000023</v>
      </c>
      <c r="HM11" s="54"/>
      <c r="HN11" s="51">
        <f t="shared" ref="HN11:HN14" si="71">HJ11*$HN$8</f>
        <v>161.0510000000001</v>
      </c>
      <c r="HO11" s="51">
        <f t="shared" ref="HO11:HO14" si="72">HK11*$HO$8</f>
        <v>20</v>
      </c>
      <c r="HP11" s="51">
        <f>HN11*HO11</f>
        <v>3221.0200000000023</v>
      </c>
      <c r="HQ11" s="54"/>
      <c r="HR11" s="51">
        <f t="shared" ref="HR11:HR14" si="73">HN11*$HR$8</f>
        <v>161.0510000000001</v>
      </c>
      <c r="HS11" s="51">
        <f t="shared" ref="HS11:HS14" si="74">HO11*$HS$8</f>
        <v>20</v>
      </c>
      <c r="HT11" s="51">
        <f>HR11*HS11</f>
        <v>3221.0200000000023</v>
      </c>
      <c r="HU11" s="54"/>
      <c r="HV11" s="51">
        <f t="shared" ref="HV11:HV14" si="75">HR11*$HV$8</f>
        <v>161.0510000000001</v>
      </c>
      <c r="HW11" s="51">
        <f t="shared" ref="HW11:HW14" si="76">HS11*$HW$8</f>
        <v>20</v>
      </c>
      <c r="HX11" s="51">
        <f>HV11*HW11</f>
        <v>3221.0200000000023</v>
      </c>
      <c r="HY11" s="54"/>
      <c r="HZ11" s="51">
        <f t="shared" ref="HZ11:HZ14" si="77">HV11*$HZ$8</f>
        <v>161.0510000000001</v>
      </c>
      <c r="IA11" s="51">
        <f t="shared" ref="IA11:IA14" si="78">HW11*$IA$8</f>
        <v>20</v>
      </c>
      <c r="IB11" s="51">
        <f>HZ11*IA11</f>
        <v>3221.0200000000023</v>
      </c>
      <c r="IC11" s="54"/>
      <c r="ID11" s="51">
        <f t="shared" ref="ID11:ID14" si="79">HZ11*$ID$8</f>
        <v>161.0510000000001</v>
      </c>
      <c r="IE11" s="51">
        <f t="shared" ref="IE11:IE14" si="80">IA11*$IE$8</f>
        <v>20</v>
      </c>
      <c r="IF11" s="51">
        <f>ID11*IE11</f>
        <v>3221.0200000000023</v>
      </c>
      <c r="IG11" s="54"/>
      <c r="IH11" s="51">
        <f t="shared" ref="IH11:IH14" si="81">ID11*$IH$8</f>
        <v>161.0510000000001</v>
      </c>
      <c r="II11" s="51">
        <f t="shared" ref="II11:II14" si="82">IE11*$II$8</f>
        <v>20</v>
      </c>
      <c r="IJ11" s="51">
        <f>IH11*II11</f>
        <v>3221.0200000000023</v>
      </c>
      <c r="IK11" s="54"/>
      <c r="IL11" s="51">
        <f t="shared" ref="IL11:IL14" si="83">IH11*$IL$8</f>
        <v>161.0510000000001</v>
      </c>
      <c r="IM11" s="51">
        <f t="shared" ref="IM11:IM14" si="84">II11*$IM$8</f>
        <v>20</v>
      </c>
      <c r="IN11" s="51">
        <f>IL11*IM11</f>
        <v>3221.0200000000023</v>
      </c>
      <c r="IO11" s="54"/>
      <c r="IP11" s="51">
        <f t="shared" ref="IP11:IP14" si="85">IL11*$IP$8</f>
        <v>161.0510000000001</v>
      </c>
      <c r="IQ11" s="51">
        <f t="shared" ref="IQ11:IQ14" si="86">IM11*$IQ$8</f>
        <v>20</v>
      </c>
      <c r="IR11" s="51">
        <f>IP11*IQ11</f>
        <v>3221.0200000000023</v>
      </c>
      <c r="IS11" s="54"/>
      <c r="IT11" s="51">
        <f t="shared" ref="IT11:IT14" si="87">IP11*$IT$8</f>
        <v>161.0510000000001</v>
      </c>
      <c r="IU11" s="51">
        <f t="shared" ref="IU11:IU14" si="88">IQ11*$IU$8</f>
        <v>20</v>
      </c>
      <c r="IV11" s="51">
        <f>IT11*IU11</f>
        <v>3221.0200000000023</v>
      </c>
      <c r="IW11" s="54"/>
      <c r="IX11" s="51">
        <f t="shared" ref="IX11:IX14" si="89">IT11*$IX$8</f>
        <v>161.0510000000001</v>
      </c>
      <c r="IY11" s="51">
        <f t="shared" ref="IY11:IY14" si="90">IU11*$IY$8</f>
        <v>20</v>
      </c>
      <c r="IZ11" s="51">
        <f>IX11*IY11</f>
        <v>3221.0200000000023</v>
      </c>
      <c r="JB11" s="80">
        <f>HF11+HJ11+HN11+HR11+HV11+HZ11+ID11+IH11+IL11+IP11+IT11+IX11</f>
        <v>1932.6120000000017</v>
      </c>
      <c r="JC11" s="80">
        <f>(HG11+HK11+HO11+HS11+HW11+IA11+IE11+II11+IM11+IQ11+IU11+IY11)/12</f>
        <v>20</v>
      </c>
      <c r="JD11" s="80">
        <f>HH11+HL11+HP11+HT11+HX11+IB11+IF11+IJ11+IN11+IR11+IV11+IZ11</f>
        <v>38652.240000000034</v>
      </c>
      <c r="JF11" s="51">
        <f t="shared" ref="JF11:JF14" si="91">IX11*$JF$8</f>
        <v>177.15610000000012</v>
      </c>
      <c r="JG11" s="51">
        <f t="shared" ref="JG11:JG14" si="92">IY11*$JG$8</f>
        <v>20</v>
      </c>
      <c r="JH11" s="51">
        <f>JF11*JG11</f>
        <v>3543.1220000000026</v>
      </c>
      <c r="JI11" s="54"/>
      <c r="JJ11" s="51">
        <f t="shared" ref="JJ11:JJ14" si="93">JF11*$JJ$8</f>
        <v>177.15610000000012</v>
      </c>
      <c r="JK11" s="51">
        <f t="shared" ref="JK11:JK14" si="94">JG11*$JK$8</f>
        <v>20</v>
      </c>
      <c r="JL11" s="51">
        <f>JJ11*JK11</f>
        <v>3543.1220000000026</v>
      </c>
      <c r="JM11" s="54"/>
      <c r="JN11" s="51">
        <f t="shared" ref="JN11:JN14" si="95">JJ11*$JN$8</f>
        <v>177.15610000000012</v>
      </c>
      <c r="JO11" s="51">
        <f t="shared" ref="JO11:JO14" si="96">JK11*$JO$8</f>
        <v>20</v>
      </c>
      <c r="JP11" s="51">
        <f>JN11*JO11</f>
        <v>3543.1220000000026</v>
      </c>
      <c r="JQ11" s="54"/>
      <c r="JR11" s="51">
        <f t="shared" ref="JR11:JR14" si="97">JN11*$JR$8</f>
        <v>177.15610000000012</v>
      </c>
      <c r="JS11" s="51">
        <f t="shared" ref="JS11:JS14" si="98">JO11*$JS$8</f>
        <v>20</v>
      </c>
      <c r="JT11" s="51">
        <f>JR11*JS11</f>
        <v>3543.1220000000026</v>
      </c>
      <c r="JU11" s="54"/>
      <c r="JV11" s="51">
        <f t="shared" ref="JV11:JV14" si="99">JR11*$JV$8</f>
        <v>177.15610000000012</v>
      </c>
      <c r="JW11" s="51">
        <f t="shared" ref="JW11:JW14" si="100">JS11*$JW$8</f>
        <v>20</v>
      </c>
      <c r="JX11" s="51">
        <f>JV11*JW11</f>
        <v>3543.1220000000026</v>
      </c>
      <c r="JY11" s="54"/>
      <c r="JZ11" s="51">
        <f t="shared" ref="JZ11:JZ14" si="101">JV11*$JZ$8</f>
        <v>177.15610000000012</v>
      </c>
      <c r="KA11" s="51">
        <f t="shared" ref="KA11:KA14" si="102">JW11*$KA$8</f>
        <v>20</v>
      </c>
      <c r="KB11" s="51">
        <f>JZ11*KA11</f>
        <v>3543.1220000000026</v>
      </c>
      <c r="KC11" s="54"/>
      <c r="KD11" s="51">
        <f t="shared" ref="KD11:KD14" si="103">JZ11*$KD$8</f>
        <v>177.15610000000012</v>
      </c>
      <c r="KE11" s="51">
        <f t="shared" ref="KE11:KE14" si="104">KA11*$KE$8</f>
        <v>20</v>
      </c>
      <c r="KF11" s="51">
        <f>KD11*KE11</f>
        <v>3543.1220000000026</v>
      </c>
      <c r="KG11" s="54"/>
      <c r="KH11" s="51">
        <f>KD11*$KH$8</f>
        <v>177.15610000000012</v>
      </c>
      <c r="KI11" s="51">
        <f t="shared" ref="KI11:KI12" si="105">KE11*$KI$8</f>
        <v>20</v>
      </c>
      <c r="KJ11" s="51">
        <f>KH11*KI11</f>
        <v>3543.1220000000026</v>
      </c>
      <c r="KK11" s="54"/>
      <c r="KL11" s="51">
        <f t="shared" ref="KL11:KL14" si="106">KH11*$KL$8</f>
        <v>177.15610000000012</v>
      </c>
      <c r="KM11" s="51">
        <f>KI11*$KM$8</f>
        <v>20</v>
      </c>
      <c r="KN11" s="51">
        <f>KL11*KM11</f>
        <v>3543.1220000000026</v>
      </c>
      <c r="KO11" s="54"/>
      <c r="KP11" s="51">
        <f t="shared" ref="KP11:KP14" si="107">KL11*$KP$8</f>
        <v>177.15610000000012</v>
      </c>
      <c r="KQ11" s="51">
        <f t="shared" ref="KQ11:KQ14" si="108">KM11*$KQ$8</f>
        <v>20</v>
      </c>
      <c r="KR11" s="51">
        <f>KP11*KQ11</f>
        <v>3543.1220000000026</v>
      </c>
      <c r="KS11" s="54"/>
      <c r="KT11" s="51">
        <f t="shared" ref="KT11:KT14" si="109">KP11*$KT$8</f>
        <v>177.15610000000012</v>
      </c>
      <c r="KU11" s="51">
        <f t="shared" ref="KU11:KU14" si="110">KQ11*$KU$8</f>
        <v>20</v>
      </c>
      <c r="KV11" s="51">
        <f>KT11*KU11</f>
        <v>3543.1220000000026</v>
      </c>
      <c r="KW11" s="54"/>
      <c r="KX11" s="51">
        <f t="shared" ref="KX11:KX14" si="111">KT11*$KX$8</f>
        <v>177.15610000000012</v>
      </c>
      <c r="KY11" s="51">
        <f t="shared" ref="KY11:KY14" si="112">KU11*$KY$8</f>
        <v>20</v>
      </c>
      <c r="KZ11" s="51">
        <f>KX11*KY11</f>
        <v>3543.1220000000026</v>
      </c>
      <c r="LB11" s="80">
        <f>JF11+JJ11+JN11+JR11+JV11+JZ11+KD11+KH11+KL11+KP11+KT11+KX11</f>
        <v>2125.8732000000014</v>
      </c>
      <c r="LC11" s="80">
        <f>(JG11+JK11+JO11+JS11+JW11+KA11+KE11+KI11+KM11+KQ11+KU11+KY11)/12</f>
        <v>20</v>
      </c>
      <c r="LD11" s="80">
        <f>JH11+JL11+JP11+JT11+JX11+KB11+KF11+KJ11+KN11+KR11+KV11+KZ11</f>
        <v>42517.46400000003</v>
      </c>
    </row>
    <row r="12" ht="18.75" customHeight="1" spans="2:316" x14ac:dyDescent="0.25">
      <c r="B12" s="5" t="s">
        <v>55</v>
      </c>
      <c r="C12" s="29"/>
      <c r="D12" s="29">
        <f>'A.I Revenue Streams - P1'!E12</f>
        <v>0</v>
      </c>
      <c r="E12" s="30"/>
      <c r="F12" s="51">
        <f>'A.I Revenue Streams - P2'!G12*25</f>
        <v>75</v>
      </c>
      <c r="G12" s="51">
        <f>'A.I Revenue Streams - P2'!I12</f>
        <v>20</v>
      </c>
      <c r="H12" s="51">
        <f>F12*G12</f>
        <v>1500</v>
      </c>
      <c r="I12" s="54"/>
      <c r="J12" s="51">
        <f>F12*$J$8</f>
        <v>82.5</v>
      </c>
      <c r="K12" s="51">
        <f>G12*$K$8</f>
        <v>20</v>
      </c>
      <c r="L12" s="51">
        <f>J12*K12</f>
        <v>1650</v>
      </c>
      <c r="M12" s="54"/>
      <c r="N12" s="51">
        <f>J12*$N$8</f>
        <v>82.5</v>
      </c>
      <c r="O12" s="51">
        <f>K12*$O$8</f>
        <v>20</v>
      </c>
      <c r="P12" s="51">
        <f>N12*O12</f>
        <v>1650</v>
      </c>
      <c r="Q12" s="54"/>
      <c r="R12" s="51">
        <f>N12*$R$8</f>
        <v>82.5</v>
      </c>
      <c r="S12" s="51">
        <f>O12*$S$8</f>
        <v>20</v>
      </c>
      <c r="T12" s="51">
        <f>R12*S12</f>
        <v>1650</v>
      </c>
      <c r="U12" s="54"/>
      <c r="V12" s="51">
        <f>R12*$V$8</f>
        <v>82.5</v>
      </c>
      <c r="W12" s="51">
        <f>S12*$W$8</f>
        <v>20</v>
      </c>
      <c r="X12" s="51">
        <f>V12*W12</f>
        <v>1650</v>
      </c>
      <c r="Y12" s="54"/>
      <c r="Z12" s="51">
        <f>V12*$Z$8</f>
        <v>82.5</v>
      </c>
      <c r="AA12" s="51">
        <f>W12*$AA$8</f>
        <v>20</v>
      </c>
      <c r="AB12" s="51">
        <f>Z12*AA12</f>
        <v>1650</v>
      </c>
      <c r="AC12" s="54"/>
      <c r="AD12" s="51">
        <f>Z12*$AD$8</f>
        <v>82.5</v>
      </c>
      <c r="AE12" s="51">
        <f>AA12*$AE$8</f>
        <v>20</v>
      </c>
      <c r="AF12" s="51">
        <f>AD12*AE12</f>
        <v>1650</v>
      </c>
      <c r="AG12" s="54"/>
      <c r="AH12" s="51">
        <f>AD12*$AH$8</f>
        <v>82.5</v>
      </c>
      <c r="AI12" s="51">
        <f>AE12*$AI$8</f>
        <v>20</v>
      </c>
      <c r="AJ12" s="51">
        <f>AH12*AI12</f>
        <v>1650</v>
      </c>
      <c r="AK12" s="54"/>
      <c r="AL12" s="51">
        <f>AH12*$AL$8</f>
        <v>82.5</v>
      </c>
      <c r="AM12" s="51">
        <f>AI12*$AM$8</f>
        <v>20</v>
      </c>
      <c r="AN12" s="51">
        <f>AL12*AM12</f>
        <v>1650</v>
      </c>
      <c r="AO12" s="54"/>
      <c r="AP12" s="51">
        <f>AL12*$AP$8</f>
        <v>82.5</v>
      </c>
      <c r="AQ12" s="51">
        <f>AM12*$AQ$8</f>
        <v>20</v>
      </c>
      <c r="AR12" s="51">
        <f>AP12*AQ12</f>
        <v>1650</v>
      </c>
      <c r="AS12" s="54"/>
      <c r="AT12" s="51">
        <f>AP12*$AH$8</f>
        <v>82.5</v>
      </c>
      <c r="AU12" s="51">
        <f>AQ12*$AI$8</f>
        <v>20</v>
      </c>
      <c r="AV12" s="51">
        <f>AT12*AU12</f>
        <v>1650</v>
      </c>
      <c r="AW12" s="54"/>
      <c r="AX12" s="51">
        <f>AT12*$AL$8</f>
        <v>82.5</v>
      </c>
      <c r="AY12" s="51">
        <f>AU12*$AM$8</f>
        <v>20</v>
      </c>
      <c r="AZ12" s="51">
        <f>AX12*AY12</f>
        <v>1650</v>
      </c>
      <c r="BA12" s="54"/>
      <c r="BB12" s="85">
        <f>SUMIF($F$6:$AZ$6,$BB$6,F12:AZ12)</f>
        <v>982.5</v>
      </c>
      <c r="BC12" s="85">
        <f>SUMIF($F$6:$AZ$6,$BC$6,F12:AZ12)/12</f>
        <v>20</v>
      </c>
      <c r="BD12" s="80">
        <f>H12+L12+P12+T12+X12+AB12+AF12+AJ12+AN12</f>
        <v>14700</v>
      </c>
      <c r="BE12" t="b">
        <f>(BB12*BC12)=BD12</f>
        <v>0</v>
      </c>
      <c r="BF12" s="51">
        <f>AX12*$BF$8</f>
        <v>90.75000000000001</v>
      </c>
      <c r="BG12" s="51">
        <f>AY12*$BG$8</f>
        <v>20</v>
      </c>
      <c r="BH12" s="51">
        <f>BF12*BG12</f>
        <v>1815.0000000000002</v>
      </c>
      <c r="BI12" s="54"/>
      <c r="BJ12" s="51">
        <f>BF12*$BJ$8</f>
        <v>90.75000000000001</v>
      </c>
      <c r="BK12" s="51">
        <f>BG12*$BK$8</f>
        <v>20</v>
      </c>
      <c r="BL12" s="51">
        <f>BJ12*BK12</f>
        <v>1815.0000000000002</v>
      </c>
      <c r="BM12" s="54"/>
      <c r="BN12" s="51">
        <f t="shared" si="1"/>
        <v>90.75000000000001</v>
      </c>
      <c r="BO12" s="51">
        <f t="shared" si="2"/>
        <v>20</v>
      </c>
      <c r="BP12" s="51">
        <f>BN12*BO12</f>
        <v>1815.0000000000002</v>
      </c>
      <c r="BQ12" s="54"/>
      <c r="BR12" s="51">
        <f t="shared" si="3"/>
        <v>90.75000000000001</v>
      </c>
      <c r="BS12" s="51">
        <f t="shared" si="4"/>
        <v>20</v>
      </c>
      <c r="BT12" s="51">
        <f>BR12*BS12</f>
        <v>1815.0000000000002</v>
      </c>
      <c r="BU12" s="54"/>
      <c r="BV12" s="51">
        <f t="shared" si="5"/>
        <v>90.75000000000001</v>
      </c>
      <c r="BW12" s="51">
        <f t="shared" si="6"/>
        <v>20</v>
      </c>
      <c r="BX12" s="51">
        <f>BV12*BW12</f>
        <v>1815.0000000000002</v>
      </c>
      <c r="BY12" s="54"/>
      <c r="BZ12" s="51">
        <f t="shared" si="7"/>
        <v>90.75000000000001</v>
      </c>
      <c r="CA12" s="51">
        <f t="shared" si="8"/>
        <v>20</v>
      </c>
      <c r="CB12" s="51">
        <f>BZ12*CA12</f>
        <v>1815.0000000000002</v>
      </c>
      <c r="CC12" s="54"/>
      <c r="CD12" s="51">
        <f t="shared" si="9"/>
        <v>90.75000000000001</v>
      </c>
      <c r="CE12" s="51">
        <f t="shared" si="10"/>
        <v>20</v>
      </c>
      <c r="CF12" s="51">
        <f>CD12*CE12</f>
        <v>1815.0000000000002</v>
      </c>
      <c r="CG12" s="54"/>
      <c r="CH12" s="51">
        <f t="shared" si="11"/>
        <v>90.75000000000001</v>
      </c>
      <c r="CI12" s="51">
        <f t="shared" si="12"/>
        <v>20</v>
      </c>
      <c r="CJ12" s="51">
        <f>CH12*CI12</f>
        <v>1815.0000000000002</v>
      </c>
      <c r="CK12" s="54"/>
      <c r="CL12" s="51">
        <f t="shared" si="13"/>
        <v>90.75000000000001</v>
      </c>
      <c r="CM12" s="51">
        <f t="shared" si="14"/>
        <v>20</v>
      </c>
      <c r="CN12" s="51">
        <f>CL12*CM12</f>
        <v>1815.0000000000002</v>
      </c>
      <c r="CO12" s="54"/>
      <c r="CP12" s="51">
        <f t="shared" si="15"/>
        <v>90.75000000000001</v>
      </c>
      <c r="CQ12" s="51">
        <f t="shared" si="16"/>
        <v>20</v>
      </c>
      <c r="CR12" s="51">
        <f>CP12*CQ12</f>
        <v>1815.0000000000002</v>
      </c>
      <c r="CS12" s="54"/>
      <c r="CT12" s="51">
        <f t="shared" si="17"/>
        <v>90.75000000000001</v>
      </c>
      <c r="CU12" s="51">
        <f t="shared" si="18"/>
        <v>20</v>
      </c>
      <c r="CV12" s="51">
        <f>CT12*CU12</f>
        <v>1815.0000000000002</v>
      </c>
      <c r="CW12" s="54"/>
      <c r="CX12" s="51">
        <f t="shared" si="19"/>
        <v>90.75000000000001</v>
      </c>
      <c r="CY12" s="51">
        <f t="shared" si="20"/>
        <v>20</v>
      </c>
      <c r="CZ12" s="51">
        <f>CX12*CY12</f>
        <v>1815.0000000000002</v>
      </c>
      <c r="DA12" s="54"/>
      <c r="DB12" s="80">
        <f>BF12+BJ12+BN12+BR12+BV12+BZ12+CD12+CH12+CL12+CP12+CT12+CX12</f>
        <v>1089.0000000000002</v>
      </c>
      <c r="DC12" s="80">
        <f>(BG12+BK12+BO12+BS12+BW12+CA12+CE12+CI12+CM12+CQ12+CU12+CY12)/12</f>
        <v>20</v>
      </c>
      <c r="DD12" s="80">
        <f>BH12+BL12+BP12+BT12+BX12+CB12+CF12+CJ12+CN12+CR12+CV12+CZ12</f>
        <v>21780.000000000004</v>
      </c>
      <c r="DF12" s="51">
        <f t="shared" si="21"/>
        <v>99.82500000000002</v>
      </c>
      <c r="DG12" s="51">
        <f t="shared" si="22"/>
        <v>20</v>
      </c>
      <c r="DH12" s="51">
        <f>DF12*DG12</f>
        <v>1996.5000000000005</v>
      </c>
      <c r="DI12" s="54"/>
      <c r="DJ12" s="51">
        <f t="shared" si="23"/>
        <v>99.82500000000002</v>
      </c>
      <c r="DK12" s="51">
        <f t="shared" si="24"/>
        <v>20</v>
      </c>
      <c r="DL12" s="51">
        <f>DJ12*DK12</f>
        <v>1996.5000000000005</v>
      </c>
      <c r="DM12" s="54"/>
      <c r="DN12" s="51">
        <f t="shared" si="25"/>
        <v>99.82500000000002</v>
      </c>
      <c r="DO12" s="51">
        <f t="shared" si="26"/>
        <v>20</v>
      </c>
      <c r="DP12" s="51">
        <f>DN12*DO12</f>
        <v>1996.5000000000005</v>
      </c>
      <c r="DQ12" s="54"/>
      <c r="DR12" s="51">
        <f t="shared" si="27"/>
        <v>99.82500000000002</v>
      </c>
      <c r="DS12" s="51">
        <f t="shared" si="28"/>
        <v>20</v>
      </c>
      <c r="DT12" s="51">
        <f>DR12*DS12</f>
        <v>1996.5000000000005</v>
      </c>
      <c r="DU12" s="54"/>
      <c r="DV12" s="51">
        <f t="shared" si="29"/>
        <v>99.82500000000002</v>
      </c>
      <c r="DW12" s="51">
        <f t="shared" si="30"/>
        <v>20</v>
      </c>
      <c r="DX12" s="51">
        <f>DV12*DW12</f>
        <v>1996.5000000000005</v>
      </c>
      <c r="DY12" s="54"/>
      <c r="DZ12" s="51">
        <f t="shared" si="31"/>
        <v>99.82500000000002</v>
      </c>
      <c r="EA12" s="51">
        <f t="shared" si="32"/>
        <v>20</v>
      </c>
      <c r="EB12" s="51">
        <f>DZ12*EA12</f>
        <v>1996.5000000000005</v>
      </c>
      <c r="EC12" s="54"/>
      <c r="ED12" s="51">
        <f t="shared" si="33"/>
        <v>99.82500000000002</v>
      </c>
      <c r="EE12" s="51">
        <f t="shared" si="34"/>
        <v>20</v>
      </c>
      <c r="EF12" s="51">
        <f>ED12*EE12</f>
        <v>1996.5000000000005</v>
      </c>
      <c r="EG12" s="54"/>
      <c r="EH12" s="51">
        <f t="shared" si="35"/>
        <v>99.82500000000002</v>
      </c>
      <c r="EI12" s="51">
        <f t="shared" ref="EI12:EI14" si="113">EE12*$EI$8</f>
        <v>20</v>
      </c>
      <c r="EJ12" s="51">
        <f>EH12*EI12</f>
        <v>1996.5000000000005</v>
      </c>
      <c r="EK12" s="54"/>
      <c r="EL12" s="51">
        <f t="shared" si="36"/>
        <v>99.82500000000002</v>
      </c>
      <c r="EM12" s="51">
        <f t="shared" si="37"/>
        <v>20</v>
      </c>
      <c r="EN12" s="51">
        <f>EL12*EM12</f>
        <v>1996.5000000000005</v>
      </c>
      <c r="EO12" s="54"/>
      <c r="EP12" s="51">
        <f t="shared" si="38"/>
        <v>99.82500000000002</v>
      </c>
      <c r="EQ12" s="51">
        <f t="shared" si="39"/>
        <v>20</v>
      </c>
      <c r="ER12" s="51">
        <f>EP12*EQ12</f>
        <v>1996.5000000000005</v>
      </c>
      <c r="ES12" s="54"/>
      <c r="ET12" s="51">
        <f t="shared" si="40"/>
        <v>99.82500000000002</v>
      </c>
      <c r="EU12" s="51">
        <f t="shared" si="41"/>
        <v>20</v>
      </c>
      <c r="EV12" s="51">
        <f>ET12*EU12</f>
        <v>1996.5000000000005</v>
      </c>
      <c r="EW12" s="54"/>
      <c r="EX12" s="51">
        <f t="shared" si="42"/>
        <v>99.82500000000002</v>
      </c>
      <c r="EY12" s="51">
        <f t="shared" si="43"/>
        <v>20</v>
      </c>
      <c r="EZ12" s="51">
        <f>EX12*EY12</f>
        <v>1996.5000000000005</v>
      </c>
      <c r="FA12" s="54"/>
      <c r="FB12" s="80">
        <f>DF12+DJ12+DN12+DR12+DV12+DZ12+ED12+EH12+EL12+EP12+ET12+EX12</f>
        <v>1197.9000000000003</v>
      </c>
      <c r="FC12" s="80">
        <f>(DG12+DK12+DO12+DS12+DW12+EA12+EE12+EI12+EM12+EQ12+EU12+EY12)/12</f>
        <v>20</v>
      </c>
      <c r="FD12" s="80">
        <f>DH12+DL12+DP12+DT12+DX12+EB12+EF12+EJ12+EN12+ER12+EV12+EZ12</f>
        <v>23958.000000000004</v>
      </c>
      <c r="FF12" s="51">
        <f t="shared" si="44"/>
        <v>109.80750000000003</v>
      </c>
      <c r="FG12" s="51">
        <f t="shared" si="45"/>
        <v>20</v>
      </c>
      <c r="FH12" s="51">
        <f>FF12*FG12</f>
        <v>2196.1500000000005</v>
      </c>
      <c r="FI12" s="54"/>
      <c r="FJ12" s="51">
        <f t="shared" si="46"/>
        <v>109.80750000000003</v>
      </c>
      <c r="FK12" s="51">
        <f t="shared" si="47"/>
        <v>20</v>
      </c>
      <c r="FL12" s="51">
        <f>FJ12*FK12</f>
        <v>2196.1500000000005</v>
      </c>
      <c r="FM12" s="54"/>
      <c r="FN12" s="51">
        <f t="shared" si="48"/>
        <v>109.80750000000003</v>
      </c>
      <c r="FO12" s="51">
        <f t="shared" si="49"/>
        <v>20</v>
      </c>
      <c r="FP12" s="51">
        <f>FN12*FO12</f>
        <v>2196.1500000000005</v>
      </c>
      <c r="FQ12" s="54"/>
      <c r="FR12" s="51">
        <f t="shared" si="50"/>
        <v>109.80750000000003</v>
      </c>
      <c r="FS12" s="51">
        <f t="shared" si="51"/>
        <v>20</v>
      </c>
      <c r="FT12" s="51">
        <f>FR12*FS12</f>
        <v>2196.1500000000005</v>
      </c>
      <c r="FU12" s="54"/>
      <c r="FV12" s="51">
        <f t="shared" si="52"/>
        <v>109.80750000000003</v>
      </c>
      <c r="FW12" s="51">
        <f t="shared" si="53"/>
        <v>20</v>
      </c>
      <c r="FX12" s="51">
        <f>FV12*FW12</f>
        <v>2196.1500000000005</v>
      </c>
      <c r="FY12" s="54"/>
      <c r="FZ12" s="51">
        <f t="shared" si="54"/>
        <v>109.80750000000003</v>
      </c>
      <c r="GA12" s="51">
        <f t="shared" si="55"/>
        <v>20</v>
      </c>
      <c r="GB12" s="51">
        <f>FZ12*GA12</f>
        <v>2196.1500000000005</v>
      </c>
      <c r="GC12" s="54"/>
      <c r="GD12" s="51">
        <f t="shared" si="56"/>
        <v>109.80750000000003</v>
      </c>
      <c r="GE12" s="51">
        <f t="shared" si="57"/>
        <v>20</v>
      </c>
      <c r="GF12" s="51">
        <f>GD12*GE12</f>
        <v>2196.1500000000005</v>
      </c>
      <c r="GG12" s="54"/>
      <c r="GH12" s="51">
        <f t="shared" si="58"/>
        <v>109.80750000000003</v>
      </c>
      <c r="GI12" s="51">
        <f t="shared" ref="GI12" si="114">GE12*$GI$8</f>
        <v>20</v>
      </c>
      <c r="GJ12" s="51">
        <f>GH12*GI12</f>
        <v>2196.1500000000005</v>
      </c>
      <c r="GK12" s="54"/>
      <c r="GL12" s="51">
        <f t="shared" si="59"/>
        <v>109.80750000000003</v>
      </c>
      <c r="GM12" s="51">
        <f t="shared" si="60"/>
        <v>20</v>
      </c>
      <c r="GN12" s="51">
        <f>GL12*GM12</f>
        <v>2196.1500000000005</v>
      </c>
      <c r="GO12" s="54"/>
      <c r="GP12" s="51">
        <f t="shared" si="61"/>
        <v>109.80750000000003</v>
      </c>
      <c r="GQ12" s="51">
        <f t="shared" si="62"/>
        <v>20</v>
      </c>
      <c r="GR12" s="51">
        <f>GP12*GQ12</f>
        <v>2196.1500000000005</v>
      </c>
      <c r="GS12" s="54"/>
      <c r="GT12" s="51">
        <f t="shared" si="63"/>
        <v>109.80750000000003</v>
      </c>
      <c r="GU12" s="51">
        <f t="shared" si="64"/>
        <v>20</v>
      </c>
      <c r="GV12" s="51">
        <f>GT12*GU12</f>
        <v>2196.1500000000005</v>
      </c>
      <c r="GW12" s="54"/>
      <c r="GX12" s="51">
        <f t="shared" si="65"/>
        <v>109.80750000000003</v>
      </c>
      <c r="GY12" s="51">
        <f t="shared" si="66"/>
        <v>20</v>
      </c>
      <c r="GZ12" s="51">
        <f>GX12*GY12</f>
        <v>2196.1500000000005</v>
      </c>
      <c r="HB12" s="80">
        <f>FF12+FJ12+FN12+FR12+FV12+FZ12+GD12+GH12+GL12+GP12+GT12+GX12</f>
        <v>1317.6900000000005</v>
      </c>
      <c r="HC12" s="80">
        <f>(FG12+FK12+FO12+FS12+FW12+GA12+GE12+GI12+GM12+GQ12+GU12+GY12)/12</f>
        <v>20</v>
      </c>
      <c r="HD12" s="80">
        <f>FH12+FL12+FP12+FT12+FX12+GB12+GF12+GJ12+GN12+GR12+GV12+GZ12</f>
        <v>26353.800000000014</v>
      </c>
      <c r="HF12" s="51">
        <f t="shared" si="67"/>
        <v>120.78825000000005</v>
      </c>
      <c r="HG12" s="51">
        <f t="shared" si="68"/>
        <v>20</v>
      </c>
      <c r="HH12" s="51">
        <f>HF12*HG12</f>
        <v>2415.765000000001</v>
      </c>
      <c r="HI12" s="54"/>
      <c r="HJ12" s="51">
        <f t="shared" si="69"/>
        <v>120.78825000000005</v>
      </c>
      <c r="HK12" s="51">
        <f>HG12*$HK$8</f>
        <v>20</v>
      </c>
      <c r="HL12" s="51">
        <f>HJ12*HK12</f>
        <v>2415.765000000001</v>
      </c>
      <c r="HM12" s="54"/>
      <c r="HN12" s="51">
        <f t="shared" si="71"/>
        <v>120.78825000000005</v>
      </c>
      <c r="HO12" s="51">
        <f t="shared" si="72"/>
        <v>20</v>
      </c>
      <c r="HP12" s="51">
        <f>HN12*HO12</f>
        <v>2415.765000000001</v>
      </c>
      <c r="HQ12" s="54"/>
      <c r="HR12" s="51">
        <f t="shared" si="73"/>
        <v>120.78825000000005</v>
      </c>
      <c r="HS12" s="51">
        <f t="shared" si="74"/>
        <v>20</v>
      </c>
      <c r="HT12" s="51">
        <f>HR12*HS12</f>
        <v>2415.765000000001</v>
      </c>
      <c r="HU12" s="54"/>
      <c r="HV12" s="51">
        <f t="shared" si="75"/>
        <v>120.78825000000005</v>
      </c>
      <c r="HW12" s="51">
        <f t="shared" si="76"/>
        <v>20</v>
      </c>
      <c r="HX12" s="51">
        <f>HV12*HW12</f>
        <v>2415.765000000001</v>
      </c>
      <c r="HY12" s="54"/>
      <c r="HZ12" s="51">
        <f t="shared" si="77"/>
        <v>120.78825000000005</v>
      </c>
      <c r="IA12" s="51">
        <f t="shared" si="78"/>
        <v>20</v>
      </c>
      <c r="IB12" s="51">
        <f>HZ12*IA12</f>
        <v>2415.765000000001</v>
      </c>
      <c r="IC12" s="54"/>
      <c r="ID12" s="51">
        <f t="shared" si="79"/>
        <v>120.78825000000005</v>
      </c>
      <c r="IE12" s="51">
        <f t="shared" si="80"/>
        <v>20</v>
      </c>
      <c r="IF12" s="51">
        <f>ID12*IE12</f>
        <v>2415.765000000001</v>
      </c>
      <c r="IG12" s="54"/>
      <c r="IH12" s="51">
        <f t="shared" si="81"/>
        <v>120.78825000000005</v>
      </c>
      <c r="II12" s="51">
        <f t="shared" si="82"/>
        <v>20</v>
      </c>
      <c r="IJ12" s="51">
        <f>IH12*II12</f>
        <v>2415.765000000001</v>
      </c>
      <c r="IK12" s="54"/>
      <c r="IL12" s="51">
        <f t="shared" si="83"/>
        <v>120.78825000000005</v>
      </c>
      <c r="IM12" s="51">
        <f t="shared" si="84"/>
        <v>20</v>
      </c>
      <c r="IN12" s="51">
        <f>IL12*IM12</f>
        <v>2415.765000000001</v>
      </c>
      <c r="IO12" s="54"/>
      <c r="IP12" s="51">
        <f t="shared" si="85"/>
        <v>120.78825000000005</v>
      </c>
      <c r="IQ12" s="51">
        <f t="shared" si="86"/>
        <v>20</v>
      </c>
      <c r="IR12" s="51">
        <f>IP12*IQ12</f>
        <v>2415.765000000001</v>
      </c>
      <c r="IS12" s="54"/>
      <c r="IT12" s="51">
        <f t="shared" si="87"/>
        <v>120.78825000000005</v>
      </c>
      <c r="IU12" s="51">
        <f t="shared" si="88"/>
        <v>20</v>
      </c>
      <c r="IV12" s="51">
        <f>IT12*IU12</f>
        <v>2415.765000000001</v>
      </c>
      <c r="IW12" s="54"/>
      <c r="IX12" s="51">
        <f t="shared" si="89"/>
        <v>120.78825000000005</v>
      </c>
      <c r="IY12" s="51">
        <f t="shared" si="90"/>
        <v>20</v>
      </c>
      <c r="IZ12" s="51">
        <f>IX12*IY12</f>
        <v>2415.765000000001</v>
      </c>
      <c r="JB12" s="80">
        <f>HF12+HJ12+HN12+HR12+HV12+HZ12+ID12+IH12+IL12+IP12+IT12+IX12</f>
        <v>1449.4590000000005</v>
      </c>
      <c r="JC12" s="80">
        <f>(HG12+HK12+HO12+HS12+HW12+IA12+IE12+II12+IM12+IQ12+IU12+IY12)/12</f>
        <v>20</v>
      </c>
      <c r="JD12" s="80">
        <f>HH12+HL12+HP12+HT12+HX12+IB12+IF12+IJ12+IN12+IR12+IV12+IZ12</f>
        <v>28989.180000000004</v>
      </c>
      <c r="JF12" s="51">
        <f t="shared" si="91"/>
        <v>132.86707500000006</v>
      </c>
      <c r="JG12" s="51">
        <f t="shared" si="92"/>
        <v>20</v>
      </c>
      <c r="JH12" s="51">
        <f>JF12*JG12</f>
        <v>2657.3415000000014</v>
      </c>
      <c r="JI12" s="54"/>
      <c r="JJ12" s="51">
        <f t="shared" si="93"/>
        <v>132.86707500000006</v>
      </c>
      <c r="JK12" s="51">
        <f t="shared" si="94"/>
        <v>20</v>
      </c>
      <c r="JL12" s="51">
        <f>JJ12*JK12</f>
        <v>2657.3415000000014</v>
      </c>
      <c r="JM12" s="54"/>
      <c r="JN12" s="51">
        <f t="shared" si="95"/>
        <v>132.86707500000006</v>
      </c>
      <c r="JO12" s="51">
        <f t="shared" si="96"/>
        <v>20</v>
      </c>
      <c r="JP12" s="51">
        <f>JN12*JO12</f>
        <v>2657.3415000000014</v>
      </c>
      <c r="JQ12" s="54"/>
      <c r="JR12" s="51">
        <f t="shared" si="97"/>
        <v>132.86707500000006</v>
      </c>
      <c r="JS12" s="51">
        <f t="shared" si="98"/>
        <v>20</v>
      </c>
      <c r="JT12" s="51">
        <f>JR12*JS12</f>
        <v>2657.3415000000014</v>
      </c>
      <c r="JU12" s="54"/>
      <c r="JV12" s="51">
        <f t="shared" si="99"/>
        <v>132.86707500000006</v>
      </c>
      <c r="JW12" s="51">
        <f t="shared" si="100"/>
        <v>20</v>
      </c>
      <c r="JX12" s="51">
        <f>JV12*JW12</f>
        <v>2657.3415000000014</v>
      </c>
      <c r="JY12" s="54"/>
      <c r="JZ12" s="51">
        <f t="shared" si="101"/>
        <v>132.86707500000006</v>
      </c>
      <c r="KA12" s="51">
        <f t="shared" si="102"/>
        <v>20</v>
      </c>
      <c r="KB12" s="51">
        <f>JZ12*KA12</f>
        <v>2657.3415000000014</v>
      </c>
      <c r="KC12" s="54"/>
      <c r="KD12" s="51">
        <f t="shared" si="103"/>
        <v>132.86707500000006</v>
      </c>
      <c r="KE12" s="51">
        <f t="shared" si="104"/>
        <v>20</v>
      </c>
      <c r="KF12" s="51">
        <f>KD12*KE12</f>
        <v>2657.3415000000014</v>
      </c>
      <c r="KG12" s="54"/>
      <c r="KH12" s="51">
        <f t="shared" ref="KH12" si="115">KD12*$KH$8</f>
        <v>132.86707500000006</v>
      </c>
      <c r="KI12" s="51">
        <f t="shared" si="105"/>
        <v>20</v>
      </c>
      <c r="KJ12" s="51">
        <f>KH12*KI12</f>
        <v>2657.3415000000014</v>
      </c>
      <c r="KK12" s="54"/>
      <c r="KL12" s="51">
        <f t="shared" si="106"/>
        <v>132.86707500000006</v>
      </c>
      <c r="KM12" s="51">
        <f>KI12*$KM$8</f>
        <v>20</v>
      </c>
      <c r="KN12" s="51">
        <f>KL12*KM12</f>
        <v>2657.3415000000014</v>
      </c>
      <c r="KO12" s="54"/>
      <c r="KP12" s="51">
        <f t="shared" si="107"/>
        <v>132.86707500000006</v>
      </c>
      <c r="KQ12" s="51">
        <f>KM12*$KQ$8</f>
        <v>20</v>
      </c>
      <c r="KR12" s="51">
        <f>KP12*KQ12</f>
        <v>2657.3415000000014</v>
      </c>
      <c r="KS12" s="54"/>
      <c r="KT12" s="51">
        <f t="shared" si="109"/>
        <v>132.86707500000006</v>
      </c>
      <c r="KU12" s="51">
        <f t="shared" si="110"/>
        <v>20</v>
      </c>
      <c r="KV12" s="51">
        <f>KT12*KU12</f>
        <v>2657.3415000000014</v>
      </c>
      <c r="KW12" s="54"/>
      <c r="KX12" s="51">
        <f t="shared" si="111"/>
        <v>132.86707500000006</v>
      </c>
      <c r="KY12" s="51">
        <f t="shared" si="112"/>
        <v>20</v>
      </c>
      <c r="KZ12" s="51">
        <f>KX12*KY12</f>
        <v>2657.3415000000014</v>
      </c>
      <c r="LB12" s="80">
        <f>JF12+JJ12+JN12+JR12+JV12+JZ12+KD12+KH12+KL12+KP12+KT12+KX12</f>
        <v>1594.4049000000011</v>
      </c>
      <c r="LC12" s="80">
        <f>(JG12+JK12+JO12+JS12+JW12+KA12+KE12+KI12+KM12+KQ12+KU12+KY12)/12</f>
        <v>20</v>
      </c>
      <c r="LD12" s="80">
        <f>JH12+JL12+JP12+JT12+JX12+KB12+KF12+KJ12+KN12+KR12+KV12+KZ12</f>
        <v>31888.098000000024</v>
      </c>
    </row>
    <row r="13" ht="18.75" customHeight="1" spans="2:316" x14ac:dyDescent="0.25">
      <c r="B13" s="5" t="s">
        <v>56</v>
      </c>
      <c r="C13" s="29"/>
      <c r="D13" s="29">
        <f>'A.I Revenue Streams - P1'!E13</f>
        <v>0</v>
      </c>
      <c r="E13" s="30"/>
      <c r="F13" s="51">
        <f>'A.I Revenue Streams - P2'!G13*25</f>
        <v>50</v>
      </c>
      <c r="G13" s="51">
        <f>'A.I Revenue Streams - P2'!I13</f>
        <v>20</v>
      </c>
      <c r="H13" s="51">
        <f>F13*G13</f>
        <v>1000</v>
      </c>
      <c r="I13" s="54"/>
      <c r="J13" s="51">
        <f>F13*$J$8</f>
        <v>55.00000000000001</v>
      </c>
      <c r="K13" s="51">
        <f>G13*$K$8</f>
        <v>20</v>
      </c>
      <c r="L13" s="51">
        <f>J13*K13</f>
        <v>1100.0000000000002</v>
      </c>
      <c r="M13" s="54"/>
      <c r="N13" s="51">
        <f>J13*$N$8</f>
        <v>55.00000000000001</v>
      </c>
      <c r="O13" s="51">
        <f>K13*$O$8</f>
        <v>20</v>
      </c>
      <c r="P13" s="51">
        <f>N13*O13</f>
        <v>1100.0000000000002</v>
      </c>
      <c r="Q13" s="54"/>
      <c r="R13" s="51">
        <f>N13*$R$8</f>
        <v>55.00000000000001</v>
      </c>
      <c r="S13" s="51">
        <f>O13*$S$8</f>
        <v>20</v>
      </c>
      <c r="T13" s="51">
        <f>R13*S13</f>
        <v>1100.0000000000002</v>
      </c>
      <c r="U13" s="54"/>
      <c r="V13" s="51">
        <f>R13*$V$8</f>
        <v>55.00000000000001</v>
      </c>
      <c r="W13" s="51">
        <f>S13*$W$8</f>
        <v>20</v>
      </c>
      <c r="X13" s="51">
        <f>V13*W13</f>
        <v>1100.0000000000002</v>
      </c>
      <c r="Y13" s="54"/>
      <c r="Z13" s="51">
        <f>V13*$Z$8</f>
        <v>55.00000000000001</v>
      </c>
      <c r="AA13" s="51">
        <f>W13*$AA$8</f>
        <v>20</v>
      </c>
      <c r="AB13" s="51">
        <f>Z13*AA13</f>
        <v>1100.0000000000002</v>
      </c>
      <c r="AC13" s="54"/>
      <c r="AD13" s="51">
        <f>Z13*$AD$8</f>
        <v>55.00000000000001</v>
      </c>
      <c r="AE13" s="51">
        <f>AA13*$AE$8</f>
        <v>20</v>
      </c>
      <c r="AF13" s="51">
        <f>AD13*AE13</f>
        <v>1100.0000000000002</v>
      </c>
      <c r="AG13" s="54"/>
      <c r="AH13" s="51">
        <f>AD13*$AH$8</f>
        <v>55.00000000000001</v>
      </c>
      <c r="AI13" s="51">
        <f>AE13*$AI$8</f>
        <v>20</v>
      </c>
      <c r="AJ13" s="51">
        <f>AH13*AI13</f>
        <v>1100.0000000000002</v>
      </c>
      <c r="AK13" s="54"/>
      <c r="AL13" s="51">
        <f>AH13*$AL$8</f>
        <v>55.00000000000001</v>
      </c>
      <c r="AM13" s="51">
        <f>AI13*$AM$8</f>
        <v>20</v>
      </c>
      <c r="AN13" s="51">
        <f>AL13*AM13</f>
        <v>1100.0000000000002</v>
      </c>
      <c r="AO13" s="54"/>
      <c r="AP13" s="51">
        <f>AL13*$AP$8</f>
        <v>55.00000000000001</v>
      </c>
      <c r="AQ13" s="51">
        <f>AM13*$AQ$8</f>
        <v>20</v>
      </c>
      <c r="AR13" s="51">
        <f>AP13*AQ13</f>
        <v>1100.0000000000002</v>
      </c>
      <c r="AS13" s="54"/>
      <c r="AT13" s="51">
        <f>AP13*$AH$8</f>
        <v>55.00000000000001</v>
      </c>
      <c r="AU13" s="51">
        <f>AQ13*$AI$8</f>
        <v>20</v>
      </c>
      <c r="AV13" s="51">
        <f>AT13*AU13</f>
        <v>1100.0000000000002</v>
      </c>
      <c r="AW13" s="54"/>
      <c r="AX13" s="51">
        <f>AT13*$AL$8</f>
        <v>55.00000000000001</v>
      </c>
      <c r="AY13" s="51">
        <f>AU13*$AM$8</f>
        <v>20</v>
      </c>
      <c r="AZ13" s="51">
        <f>AX13*AY13</f>
        <v>1100.0000000000002</v>
      </c>
      <c r="BA13" s="54"/>
      <c r="BB13" s="85">
        <f>SUMIF($F$6:$AZ$6,$BB$6,F13:AZ13)</f>
        <v>655</v>
      </c>
      <c r="BC13" s="85">
        <f>SUMIF($F$6:$AZ$6,$BC$6,F13:AZ13)/12</f>
        <v>20</v>
      </c>
      <c r="BD13" s="80">
        <f>H13+L13+P13+T13+X13+AB13+AF13+AJ13+AN13</f>
        <v>9800</v>
      </c>
      <c r="BE13" t="b">
        <f>(BB13*BC13)=BD13</f>
        <v>0</v>
      </c>
      <c r="BF13" s="51">
        <f>AX13*$BF$8</f>
        <v>60.500000000000014</v>
      </c>
      <c r="BG13" s="51">
        <f>AY13*$BG$8</f>
        <v>20</v>
      </c>
      <c r="BH13" s="51">
        <f>BF13*BG13</f>
        <v>1210.0000000000002</v>
      </c>
      <c r="BI13" s="54"/>
      <c r="BJ13" s="51">
        <f>BF13*$BJ$8</f>
        <v>60.500000000000014</v>
      </c>
      <c r="BK13" s="51">
        <f t="shared" si="0"/>
        <v>20</v>
      </c>
      <c r="BL13" s="51">
        <f>BJ13*BK13</f>
        <v>1210.0000000000002</v>
      </c>
      <c r="BM13" s="54"/>
      <c r="BN13" s="51">
        <f t="shared" si="1"/>
        <v>60.500000000000014</v>
      </c>
      <c r="BO13" s="51">
        <f t="shared" si="2"/>
        <v>20</v>
      </c>
      <c r="BP13" s="51">
        <f>BN13*BO13</f>
        <v>1210.0000000000002</v>
      </c>
      <c r="BQ13" s="54"/>
      <c r="BR13" s="51">
        <f t="shared" si="3"/>
        <v>60.500000000000014</v>
      </c>
      <c r="BS13" s="51">
        <f t="shared" si="4"/>
        <v>20</v>
      </c>
      <c r="BT13" s="51">
        <f>BR13*BS13</f>
        <v>1210.0000000000002</v>
      </c>
      <c r="BU13" s="54"/>
      <c r="BV13" s="51">
        <f t="shared" si="5"/>
        <v>60.500000000000014</v>
      </c>
      <c r="BW13" s="51">
        <f t="shared" si="6"/>
        <v>20</v>
      </c>
      <c r="BX13" s="51">
        <f>BV13*BW13</f>
        <v>1210.0000000000002</v>
      </c>
      <c r="BY13" s="54"/>
      <c r="BZ13" s="51">
        <f t="shared" si="7"/>
        <v>60.500000000000014</v>
      </c>
      <c r="CA13" s="51">
        <f t="shared" si="8"/>
        <v>20</v>
      </c>
      <c r="CB13" s="51">
        <f>BZ13*CA13</f>
        <v>1210.0000000000002</v>
      </c>
      <c r="CC13" s="54"/>
      <c r="CD13" s="51">
        <f t="shared" si="9"/>
        <v>60.500000000000014</v>
      </c>
      <c r="CE13" s="51">
        <f t="shared" si="10"/>
        <v>20</v>
      </c>
      <c r="CF13" s="51">
        <f>CD13*CE13</f>
        <v>1210.0000000000002</v>
      </c>
      <c r="CG13" s="54"/>
      <c r="CH13" s="51">
        <f t="shared" si="11"/>
        <v>60.500000000000014</v>
      </c>
      <c r="CI13" s="51">
        <f t="shared" si="12"/>
        <v>20</v>
      </c>
      <c r="CJ13" s="51">
        <f>CH13*CI13</f>
        <v>1210.0000000000002</v>
      </c>
      <c r="CK13" s="54"/>
      <c r="CL13" s="51">
        <f t="shared" si="13"/>
        <v>60.500000000000014</v>
      </c>
      <c r="CM13" s="51">
        <f t="shared" si="14"/>
        <v>20</v>
      </c>
      <c r="CN13" s="51">
        <f>CL13*CM13</f>
        <v>1210.0000000000002</v>
      </c>
      <c r="CO13" s="54"/>
      <c r="CP13" s="51">
        <f t="shared" si="15"/>
        <v>60.500000000000014</v>
      </c>
      <c r="CQ13" s="51">
        <f t="shared" si="16"/>
        <v>20</v>
      </c>
      <c r="CR13" s="51">
        <f>CP13*CQ13</f>
        <v>1210.0000000000002</v>
      </c>
      <c r="CS13" s="54"/>
      <c r="CT13" s="51">
        <f t="shared" si="17"/>
        <v>60.500000000000014</v>
      </c>
      <c r="CU13" s="51">
        <f t="shared" si="18"/>
        <v>20</v>
      </c>
      <c r="CV13" s="51">
        <f>CT13*CU13</f>
        <v>1210.0000000000002</v>
      </c>
      <c r="CW13" s="54"/>
      <c r="CX13" s="51">
        <f t="shared" si="19"/>
        <v>60.500000000000014</v>
      </c>
      <c r="CY13" s="51">
        <f t="shared" si="20"/>
        <v>20</v>
      </c>
      <c r="CZ13" s="51">
        <f>CX13*CY13</f>
        <v>1210.0000000000002</v>
      </c>
      <c r="DA13" s="54"/>
      <c r="DB13" s="80">
        <f>BF13+BJ13+BN13+BR13+BV13+BZ13+CD13+CH13+CL13+CP13+CT13+CX13</f>
        <v>726.0000000000001</v>
      </c>
      <c r="DC13" s="80">
        <f>(BG13+BK13+BO13+BS13+BW13+CA13+CE13+CI13+CM13+CQ13+CU13+CY13)/12</f>
        <v>20</v>
      </c>
      <c r="DD13" s="80">
        <f>BH13+BL13+BP13+BT13+BX13+CB13+CF13+CJ13+CN13+CR13+CV13+CZ13</f>
        <v>14520.000000000002</v>
      </c>
      <c r="DF13" s="51">
        <f>CX13*$DF$8</f>
        <v>66.55000000000003</v>
      </c>
      <c r="DG13" s="51">
        <f t="shared" si="22"/>
        <v>20</v>
      </c>
      <c r="DH13" s="51">
        <f>DF13*DG13</f>
        <v>1331.0000000000005</v>
      </c>
      <c r="DI13" s="54"/>
      <c r="DJ13" s="51">
        <f t="shared" si="23"/>
        <v>66.55000000000003</v>
      </c>
      <c r="DK13" s="51">
        <f t="shared" si="24"/>
        <v>20</v>
      </c>
      <c r="DL13" s="51">
        <f>DJ13*DK13</f>
        <v>1331.0000000000005</v>
      </c>
      <c r="DM13" s="54"/>
      <c r="DN13" s="51">
        <f t="shared" si="25"/>
        <v>66.55000000000003</v>
      </c>
      <c r="DO13" s="51">
        <f t="shared" si="26"/>
        <v>20</v>
      </c>
      <c r="DP13" s="51">
        <f>DN13*DO13</f>
        <v>1331.0000000000005</v>
      </c>
      <c r="DQ13" s="54"/>
      <c r="DR13" s="51">
        <f t="shared" si="27"/>
        <v>66.55000000000003</v>
      </c>
      <c r="DS13" s="51">
        <f t="shared" si="28"/>
        <v>20</v>
      </c>
      <c r="DT13" s="51">
        <f>DR13*DS13</f>
        <v>1331.0000000000005</v>
      </c>
      <c r="DU13" s="54"/>
      <c r="DV13" s="51">
        <f t="shared" si="29"/>
        <v>66.55000000000003</v>
      </c>
      <c r="DW13" s="51">
        <f t="shared" si="30"/>
        <v>20</v>
      </c>
      <c r="DX13" s="51">
        <f>DV13*DW13</f>
        <v>1331.0000000000005</v>
      </c>
      <c r="DY13" s="54"/>
      <c r="DZ13" s="51">
        <f t="shared" si="31"/>
        <v>66.55000000000003</v>
      </c>
      <c r="EA13" s="51">
        <f t="shared" si="32"/>
        <v>20</v>
      </c>
      <c r="EB13" s="51">
        <f>DZ13*EA13</f>
        <v>1331.0000000000005</v>
      </c>
      <c r="EC13" s="54"/>
      <c r="ED13" s="51">
        <f t="shared" si="33"/>
        <v>66.55000000000003</v>
      </c>
      <c r="EE13" s="51">
        <f t="shared" si="34"/>
        <v>20</v>
      </c>
      <c r="EF13" s="51">
        <f>ED13*EE13</f>
        <v>1331.0000000000005</v>
      </c>
      <c r="EG13" s="54"/>
      <c r="EH13" s="51">
        <f t="shared" si="35"/>
        <v>66.55000000000003</v>
      </c>
      <c r="EI13" s="51">
        <f t="shared" si="113"/>
        <v>20</v>
      </c>
      <c r="EJ13" s="51">
        <f>EH13*EI13</f>
        <v>1331.0000000000005</v>
      </c>
      <c r="EK13" s="54"/>
      <c r="EL13" s="51">
        <f t="shared" si="36"/>
        <v>66.55000000000003</v>
      </c>
      <c r="EM13" s="51">
        <f t="shared" si="37"/>
        <v>20</v>
      </c>
      <c r="EN13" s="51">
        <f>EL13*EM13</f>
        <v>1331.0000000000005</v>
      </c>
      <c r="EO13" s="54"/>
      <c r="EP13" s="51">
        <f t="shared" si="38"/>
        <v>66.55000000000003</v>
      </c>
      <c r="EQ13" s="51">
        <f t="shared" si="39"/>
        <v>20</v>
      </c>
      <c r="ER13" s="51">
        <f>EP13*EQ13</f>
        <v>1331.0000000000005</v>
      </c>
      <c r="ES13" s="54"/>
      <c r="ET13" s="51">
        <f t="shared" si="40"/>
        <v>66.55000000000003</v>
      </c>
      <c r="EU13" s="51">
        <f t="shared" si="41"/>
        <v>20</v>
      </c>
      <c r="EV13" s="51">
        <f>ET13*EU13</f>
        <v>1331.0000000000005</v>
      </c>
      <c r="EW13" s="54"/>
      <c r="EX13" s="51">
        <f t="shared" si="42"/>
        <v>66.55000000000003</v>
      </c>
      <c r="EY13" s="51">
        <f t="shared" si="43"/>
        <v>20</v>
      </c>
      <c r="EZ13" s="51">
        <f>EX13*EY13</f>
        <v>1331.0000000000005</v>
      </c>
      <c r="FA13" s="54"/>
      <c r="FB13" s="80">
        <f>DF13+DJ13+DN13+DR13+DV13+DZ13+ED13+EH13+EL13+EP13+ET13+EX13</f>
        <v>798.6000000000005</v>
      </c>
      <c r="FC13" s="80">
        <f>(DG13+DK13+DO13+DS13+DW13+EA13+EE13+EI13+EM13+EQ13+EU13+EY13)/12</f>
        <v>20</v>
      </c>
      <c r="FD13" s="80">
        <f>DH13+DL13+DP13+DT13+DX13+EB13+EF13+EJ13+EN13+ER13+EV13+EZ13</f>
        <v>15972.000000000002</v>
      </c>
      <c r="FF13" s="51">
        <f t="shared" si="44"/>
        <v>73.20500000000004</v>
      </c>
      <c r="FG13" s="51">
        <f t="shared" si="45"/>
        <v>20</v>
      </c>
      <c r="FH13" s="51">
        <f>FF13*FG13</f>
        <v>1464.1000000000008</v>
      </c>
      <c r="FI13" s="54"/>
      <c r="FJ13" s="51">
        <f t="shared" si="46"/>
        <v>73.20500000000004</v>
      </c>
      <c r="FK13" s="51">
        <f t="shared" si="47"/>
        <v>20</v>
      </c>
      <c r="FL13" s="51">
        <f>FJ13*FK13</f>
        <v>1464.1000000000008</v>
      </c>
      <c r="FM13" s="54"/>
      <c r="FN13" s="51">
        <f t="shared" si="48"/>
        <v>73.20500000000004</v>
      </c>
      <c r="FO13" s="51">
        <f t="shared" si="49"/>
        <v>20</v>
      </c>
      <c r="FP13" s="51">
        <f>FN13*FO13</f>
        <v>1464.1000000000008</v>
      </c>
      <c r="FQ13" s="54"/>
      <c r="FR13" s="51">
        <f t="shared" si="50"/>
        <v>73.20500000000004</v>
      </c>
      <c r="FS13" s="51">
        <f t="shared" si="51"/>
        <v>20</v>
      </c>
      <c r="FT13" s="51">
        <f>FR13*FS13</f>
        <v>1464.1000000000008</v>
      </c>
      <c r="FU13" s="54"/>
      <c r="FV13" s="51">
        <f t="shared" si="52"/>
        <v>73.20500000000004</v>
      </c>
      <c r="FW13" s="51">
        <f t="shared" si="53"/>
        <v>20</v>
      </c>
      <c r="FX13" s="51">
        <f>FV13*FW13</f>
        <v>1464.1000000000008</v>
      </c>
      <c r="FY13" s="54"/>
      <c r="FZ13" s="51">
        <f t="shared" si="54"/>
        <v>73.20500000000004</v>
      </c>
      <c r="GA13" s="51">
        <f>FW13*$GA$8</f>
        <v>20</v>
      </c>
      <c r="GB13" s="51">
        <f>FZ13*GA13</f>
        <v>1464.1000000000008</v>
      </c>
      <c r="GC13" s="54"/>
      <c r="GD13" s="51">
        <f>FZ13*$GD$8</f>
        <v>73.20500000000004</v>
      </c>
      <c r="GE13" s="51">
        <f t="shared" si="57"/>
        <v>20</v>
      </c>
      <c r="GF13" s="51">
        <f>GD13*GE13</f>
        <v>1464.1000000000008</v>
      </c>
      <c r="GG13" s="54"/>
      <c r="GH13" s="51">
        <f>GD13*$GH$8</f>
        <v>73.20500000000004</v>
      </c>
      <c r="GI13" s="51">
        <f>GE13*$GI$8</f>
        <v>20</v>
      </c>
      <c r="GJ13" s="51">
        <f>GH13*GI13</f>
        <v>1464.1000000000008</v>
      </c>
      <c r="GK13" s="54"/>
      <c r="GL13" s="51">
        <f t="shared" si="59"/>
        <v>73.20500000000004</v>
      </c>
      <c r="GM13" s="51">
        <f t="shared" si="60"/>
        <v>20</v>
      </c>
      <c r="GN13" s="51">
        <f>GL13*GM13</f>
        <v>1464.1000000000008</v>
      </c>
      <c r="GO13" s="54"/>
      <c r="GP13" s="51">
        <f t="shared" si="61"/>
        <v>73.20500000000004</v>
      </c>
      <c r="GQ13" s="51">
        <f t="shared" si="62"/>
        <v>20</v>
      </c>
      <c r="GR13" s="51">
        <f>GP13*GQ13</f>
        <v>1464.1000000000008</v>
      </c>
      <c r="GS13" s="54"/>
      <c r="GT13" s="51">
        <f t="shared" si="63"/>
        <v>73.20500000000004</v>
      </c>
      <c r="GU13" s="51">
        <f t="shared" si="64"/>
        <v>20</v>
      </c>
      <c r="GV13" s="51">
        <f>GT13*GU13</f>
        <v>1464.1000000000008</v>
      </c>
      <c r="GW13" s="54"/>
      <c r="GX13" s="51">
        <f t="shared" si="65"/>
        <v>73.20500000000004</v>
      </c>
      <c r="GY13" s="51">
        <f t="shared" si="66"/>
        <v>20</v>
      </c>
      <c r="GZ13" s="51">
        <f>GX13*GY13</f>
        <v>1464.1000000000008</v>
      </c>
      <c r="HB13" s="80">
        <f>FF13+FJ13+FN13+FR13+FV13+FZ13+GD13+GH13+GL13+GP13+GT13+GX13</f>
        <v>878.4600000000005</v>
      </c>
      <c r="HC13" s="80">
        <f>(FG13+FK13+FO13+FS13+FW13+GA13+GE13+GI13+GM13+GQ13+GU13+GY13)/12</f>
        <v>20</v>
      </c>
      <c r="HD13" s="80">
        <f>FH13+FL13+FP13+FT13+FX13+GB13+GF13+GJ13+GN13+GR13+GV13+GZ13</f>
        <v>17569.200000000008</v>
      </c>
      <c r="HF13" s="51">
        <f t="shared" si="67"/>
        <v>80.52550000000005</v>
      </c>
      <c r="HG13" s="51">
        <f t="shared" si="68"/>
        <v>20</v>
      </c>
      <c r="HH13" s="51">
        <f>HF13*HG13</f>
        <v>1610.5100000000011</v>
      </c>
      <c r="HI13" s="54"/>
      <c r="HJ13" s="51">
        <f t="shared" si="69"/>
        <v>80.52550000000005</v>
      </c>
      <c r="HK13" s="51">
        <f>HG13*$HK$8</f>
        <v>20</v>
      </c>
      <c r="HL13" s="51">
        <f>HJ13*HK13</f>
        <v>1610.5100000000011</v>
      </c>
      <c r="HM13" s="54"/>
      <c r="HN13" s="51">
        <f t="shared" si="71"/>
        <v>80.52550000000005</v>
      </c>
      <c r="HO13" s="51">
        <f t="shared" si="72"/>
        <v>20</v>
      </c>
      <c r="HP13" s="51">
        <f>HN13*HO13</f>
        <v>1610.5100000000011</v>
      </c>
      <c r="HQ13" s="54"/>
      <c r="HR13" s="51">
        <f t="shared" si="73"/>
        <v>80.52550000000005</v>
      </c>
      <c r="HS13" s="51">
        <f t="shared" si="74"/>
        <v>20</v>
      </c>
      <c r="HT13" s="51">
        <f>HR13*HS13</f>
        <v>1610.5100000000011</v>
      </c>
      <c r="HU13" s="54"/>
      <c r="HV13" s="51">
        <f t="shared" si="75"/>
        <v>80.52550000000005</v>
      </c>
      <c r="HW13" s="51">
        <f t="shared" si="76"/>
        <v>20</v>
      </c>
      <c r="HX13" s="51">
        <f>HV13*HW13</f>
        <v>1610.5100000000011</v>
      </c>
      <c r="HY13" s="54"/>
      <c r="HZ13" s="51">
        <f t="shared" si="77"/>
        <v>80.52550000000005</v>
      </c>
      <c r="IA13" s="51">
        <f t="shared" si="78"/>
        <v>20</v>
      </c>
      <c r="IB13" s="51">
        <f>HZ13*IA13</f>
        <v>1610.5100000000011</v>
      </c>
      <c r="IC13" s="54"/>
      <c r="ID13" s="51">
        <f t="shared" si="79"/>
        <v>80.52550000000005</v>
      </c>
      <c r="IE13" s="51">
        <f t="shared" si="80"/>
        <v>20</v>
      </c>
      <c r="IF13" s="51">
        <f>ID13*IE13</f>
        <v>1610.5100000000011</v>
      </c>
      <c r="IG13" s="54"/>
      <c r="IH13" s="51">
        <f t="shared" si="81"/>
        <v>80.52550000000005</v>
      </c>
      <c r="II13" s="51">
        <f t="shared" si="82"/>
        <v>20</v>
      </c>
      <c r="IJ13" s="51">
        <f>IH13*II13</f>
        <v>1610.5100000000011</v>
      </c>
      <c r="IK13" s="54"/>
      <c r="IL13" s="51">
        <f t="shared" si="83"/>
        <v>80.52550000000005</v>
      </c>
      <c r="IM13" s="51">
        <f t="shared" si="84"/>
        <v>20</v>
      </c>
      <c r="IN13" s="51">
        <f>IL13*IM13</f>
        <v>1610.5100000000011</v>
      </c>
      <c r="IO13" s="54"/>
      <c r="IP13" s="51">
        <f t="shared" si="85"/>
        <v>80.52550000000005</v>
      </c>
      <c r="IQ13" s="51">
        <f t="shared" si="86"/>
        <v>20</v>
      </c>
      <c r="IR13" s="51">
        <f>IP13*IQ13</f>
        <v>1610.5100000000011</v>
      </c>
      <c r="IS13" s="54"/>
      <c r="IT13" s="51">
        <f t="shared" si="87"/>
        <v>80.52550000000005</v>
      </c>
      <c r="IU13" s="51">
        <f t="shared" si="88"/>
        <v>20</v>
      </c>
      <c r="IV13" s="51">
        <f>IT13*IU13</f>
        <v>1610.5100000000011</v>
      </c>
      <c r="IW13" s="54"/>
      <c r="IX13" s="51">
        <f t="shared" si="89"/>
        <v>80.52550000000005</v>
      </c>
      <c r="IY13" s="51">
        <f t="shared" si="90"/>
        <v>20</v>
      </c>
      <c r="IZ13" s="51">
        <f>IX13*IY13</f>
        <v>1610.5100000000011</v>
      </c>
      <c r="JB13" s="80">
        <f>HF13+HJ13+HN13+HR13+HV13+HZ13+ID13+IH13+IL13+IP13+IT13+IX13</f>
        <v>966.3060000000008</v>
      </c>
      <c r="JC13" s="80">
        <f>(HG13+HK13+HO13+HS13+HW13+IA13+IE13+II13+IM13+IQ13+IU13+IY13)/12</f>
        <v>20</v>
      </c>
      <c r="JD13" s="80">
        <f>HH13+HL13+HP13+HT13+HX13+IB13+IF13+IJ13+IN13+IR13+IV13+IZ13</f>
        <v>19326.120000000017</v>
      </c>
      <c r="JF13" s="51">
        <f t="shared" si="91"/>
        <v>88.57805000000006</v>
      </c>
      <c r="JG13" s="51">
        <f t="shared" si="92"/>
        <v>20</v>
      </c>
      <c r="JH13" s="51">
        <f>JF13*JG13</f>
        <v>1771.5610000000013</v>
      </c>
      <c r="JI13" s="54"/>
      <c r="JJ13" s="51">
        <f t="shared" si="93"/>
        <v>88.57805000000006</v>
      </c>
      <c r="JK13" s="51">
        <f t="shared" si="94"/>
        <v>20</v>
      </c>
      <c r="JL13" s="51">
        <f>JJ13*JK13</f>
        <v>1771.5610000000013</v>
      </c>
      <c r="JM13" s="54"/>
      <c r="JN13" s="51">
        <f t="shared" si="95"/>
        <v>88.57805000000006</v>
      </c>
      <c r="JO13" s="51">
        <f t="shared" si="96"/>
        <v>20</v>
      </c>
      <c r="JP13" s="51">
        <f>JN13*JO13</f>
        <v>1771.5610000000013</v>
      </c>
      <c r="JQ13" s="54"/>
      <c r="JR13" s="51">
        <f t="shared" si="97"/>
        <v>88.57805000000006</v>
      </c>
      <c r="JS13" s="51">
        <f t="shared" si="98"/>
        <v>20</v>
      </c>
      <c r="JT13" s="51">
        <f>JR13*JS13</f>
        <v>1771.5610000000013</v>
      </c>
      <c r="JU13" s="54"/>
      <c r="JV13" s="51">
        <f t="shared" si="99"/>
        <v>88.57805000000006</v>
      </c>
      <c r="JW13" s="51">
        <f t="shared" si="100"/>
        <v>20</v>
      </c>
      <c r="JX13" s="51">
        <f>JV13*JW13</f>
        <v>1771.5610000000013</v>
      </c>
      <c r="JY13" s="54"/>
      <c r="JZ13" s="51">
        <f t="shared" si="101"/>
        <v>88.57805000000006</v>
      </c>
      <c r="KA13" s="51">
        <f t="shared" si="102"/>
        <v>20</v>
      </c>
      <c r="KB13" s="51">
        <f>JZ13*KA13</f>
        <v>1771.5610000000013</v>
      </c>
      <c r="KC13" s="54"/>
      <c r="KD13" s="51">
        <f t="shared" si="103"/>
        <v>88.57805000000006</v>
      </c>
      <c r="KE13" s="51">
        <f t="shared" si="104"/>
        <v>20</v>
      </c>
      <c r="KF13" s="51">
        <f>KD13*KE13</f>
        <v>1771.5610000000013</v>
      </c>
      <c r="KG13" s="54"/>
      <c r="KH13" s="51">
        <f>KD13*$KH$8</f>
        <v>88.57805000000006</v>
      </c>
      <c r="KI13" s="51">
        <f>KE13*$KI$8</f>
        <v>20</v>
      </c>
      <c r="KJ13" s="51">
        <f>KH13*KI13</f>
        <v>1771.5610000000013</v>
      </c>
      <c r="KK13" s="54"/>
      <c r="KL13" s="51">
        <f t="shared" si="106"/>
        <v>88.57805000000006</v>
      </c>
      <c r="KM13" s="51">
        <f>KI13*$KM$8</f>
        <v>20</v>
      </c>
      <c r="KN13" s="51">
        <f>KL13*KM13</f>
        <v>1771.5610000000013</v>
      </c>
      <c r="KO13" s="54"/>
      <c r="KP13" s="51">
        <f t="shared" si="107"/>
        <v>88.57805000000006</v>
      </c>
      <c r="KQ13" s="51">
        <f t="shared" si="108"/>
        <v>20</v>
      </c>
      <c r="KR13" s="51">
        <f>KP13*KQ13</f>
        <v>1771.5610000000013</v>
      </c>
      <c r="KS13" s="54"/>
      <c r="KT13" s="51">
        <f t="shared" si="109"/>
        <v>88.57805000000006</v>
      </c>
      <c r="KU13" s="51">
        <f t="shared" si="110"/>
        <v>20</v>
      </c>
      <c r="KV13" s="51">
        <f>KT13*KU13</f>
        <v>1771.5610000000013</v>
      </c>
      <c r="KW13" s="54"/>
      <c r="KX13" s="51">
        <f t="shared" si="111"/>
        <v>88.57805000000006</v>
      </c>
      <c r="KY13" s="51">
        <f t="shared" si="112"/>
        <v>20</v>
      </c>
      <c r="KZ13" s="51">
        <f>KX13*KY13</f>
        <v>1771.5610000000013</v>
      </c>
      <c r="LB13" s="80">
        <f>JF13+JJ13+JN13+JR13+JV13+JZ13+KD13+KH13+KL13+KP13+KT13+KX13</f>
        <v>1062.9366000000007</v>
      </c>
      <c r="LC13" s="80">
        <f>(JG13+JK13+JO13+JS13+JW13+KA13+KE13+KI13+KM13+KQ13+KU13+KY13)/12</f>
        <v>20</v>
      </c>
      <c r="LD13" s="80">
        <f>JH13+JL13+JP13+JT13+JX13+KB13+KF13+KJ13+KN13+KR13+KV13+KZ13</f>
        <v>21258.732000000015</v>
      </c>
    </row>
    <row r="14" ht="18.75" customHeight="1" spans="2:316" x14ac:dyDescent="0.25">
      <c r="B14" s="5" t="s">
        <v>57</v>
      </c>
      <c r="C14" s="29"/>
      <c r="D14" s="29">
        <f>'A.I Revenue Streams - P1'!E14</f>
        <v>0</v>
      </c>
      <c r="E14" s="30"/>
      <c r="F14" s="51">
        <f>'A.I Revenue Streams - P2'!G14*25</f>
        <v>25</v>
      </c>
      <c r="G14" s="51">
        <f>'A.I Revenue Streams - P2'!I14</f>
        <v>20</v>
      </c>
      <c r="H14" s="51">
        <f>F14*G14</f>
        <v>500</v>
      </c>
      <c r="I14" s="54"/>
      <c r="J14" s="51">
        <f>F14*$J$8</f>
        <v>27.500000000000004</v>
      </c>
      <c r="K14" s="51">
        <f>G14*$K$8</f>
        <v>20</v>
      </c>
      <c r="L14" s="51">
        <f>J14*K14</f>
        <v>550.0000000000001</v>
      </c>
      <c r="M14" s="54"/>
      <c r="N14" s="51">
        <f>J14*$N$8</f>
        <v>27.500000000000004</v>
      </c>
      <c r="O14" s="51">
        <f>K14*$O$8</f>
        <v>20</v>
      </c>
      <c r="P14" s="51">
        <f>N14*O14</f>
        <v>550.0000000000001</v>
      </c>
      <c r="Q14" s="54"/>
      <c r="R14" s="51">
        <f>N14*$R$8</f>
        <v>27.500000000000004</v>
      </c>
      <c r="S14" s="51">
        <f>O14*$S$8</f>
        <v>20</v>
      </c>
      <c r="T14" s="51">
        <f>R14*S14</f>
        <v>550.0000000000001</v>
      </c>
      <c r="U14" s="54"/>
      <c r="V14" s="51">
        <f>R14*$V$8</f>
        <v>27.500000000000004</v>
      </c>
      <c r="W14" s="51">
        <f>S14*$W$8</f>
        <v>20</v>
      </c>
      <c r="X14" s="51">
        <f>V14*W14</f>
        <v>550.0000000000001</v>
      </c>
      <c r="Y14" s="54"/>
      <c r="Z14" s="51">
        <f>V14*$Z$8</f>
        <v>27.500000000000004</v>
      </c>
      <c r="AA14" s="51">
        <f>W14*$AA$8</f>
        <v>20</v>
      </c>
      <c r="AB14" s="51">
        <f>Z14*AA14</f>
        <v>550.0000000000001</v>
      </c>
      <c r="AC14" s="54"/>
      <c r="AD14" s="51">
        <f>Z14*$AD$8</f>
        <v>27.500000000000004</v>
      </c>
      <c r="AE14" s="51">
        <f>AA14*$AE$8</f>
        <v>20</v>
      </c>
      <c r="AF14" s="51">
        <f>AD14*AE14</f>
        <v>550.0000000000001</v>
      </c>
      <c r="AG14" s="54"/>
      <c r="AH14" s="51">
        <f>AD14*$AH$8</f>
        <v>27.500000000000004</v>
      </c>
      <c r="AI14" s="51">
        <f>AE14*$AI$8</f>
        <v>20</v>
      </c>
      <c r="AJ14" s="51">
        <f>AH14*AI14</f>
        <v>550.0000000000001</v>
      </c>
      <c r="AK14" s="54"/>
      <c r="AL14" s="51">
        <f>AH14*$AL$8</f>
        <v>27.500000000000004</v>
      </c>
      <c r="AM14" s="51">
        <f>AI14*$AM$8</f>
        <v>20</v>
      </c>
      <c r="AN14" s="51">
        <f>AL14*AM14</f>
        <v>550.0000000000001</v>
      </c>
      <c r="AO14" s="54"/>
      <c r="AP14" s="51">
        <f>AL14*$AP$8</f>
        <v>27.500000000000004</v>
      </c>
      <c r="AQ14" s="51">
        <f>AM14*$AQ$8</f>
        <v>20</v>
      </c>
      <c r="AR14" s="51">
        <f>AP14*AQ14</f>
        <v>550.0000000000001</v>
      </c>
      <c r="AS14" s="54"/>
      <c r="AT14" s="51">
        <f>AP14*$AH$8</f>
        <v>27.500000000000004</v>
      </c>
      <c r="AU14" s="51">
        <f>AQ14*$AI$8</f>
        <v>20</v>
      </c>
      <c r="AV14" s="51">
        <f>AT14*AU14</f>
        <v>550.0000000000001</v>
      </c>
      <c r="AW14" s="54"/>
      <c r="AX14" s="51">
        <f>AT14*$AL$8</f>
        <v>27.500000000000004</v>
      </c>
      <c r="AY14" s="51">
        <f>AU14*$AM$8</f>
        <v>20</v>
      </c>
      <c r="AZ14" s="51">
        <f>AX14*AY14</f>
        <v>550.0000000000001</v>
      </c>
      <c r="BA14" s="54"/>
      <c r="BB14" s="85">
        <f>SUMIF($F$6:$AZ$6,$BB$6,F14:AZ14)</f>
        <v>327.5</v>
      </c>
      <c r="BC14" s="85">
        <f>SUMIF($F$6:$AZ$6,$BC$6,F14:AZ14)/12</f>
        <v>20</v>
      </c>
      <c r="BD14" s="80">
        <f>H14+L14+P14+T14+X14+AB14+AF14+AJ14+AN14</f>
        <v>4900</v>
      </c>
      <c r="BE14" t="b">
        <f>(BB14*BC14)=BD14</f>
        <v>0</v>
      </c>
      <c r="BF14" s="51">
        <f>AX14*$BF$8</f>
        <v>30.250000000000007</v>
      </c>
      <c r="BG14" s="51">
        <f>AY14*$BG$8</f>
        <v>20</v>
      </c>
      <c r="BH14" s="51">
        <f>BF14*BG14</f>
        <v>605.0000000000001</v>
      </c>
      <c r="BI14" s="54"/>
      <c r="BJ14" s="51">
        <f>BF14*$BJ$8</f>
        <v>30.250000000000007</v>
      </c>
      <c r="BK14" s="51">
        <f>BG14*$BK$8</f>
        <v>20</v>
      </c>
      <c r="BL14" s="51">
        <f>BJ14*BK14</f>
        <v>605.0000000000001</v>
      </c>
      <c r="BM14" s="54"/>
      <c r="BN14" s="51">
        <f t="shared" si="1"/>
        <v>30.250000000000007</v>
      </c>
      <c r="BO14" s="51">
        <f>BK14*$BO$8</f>
        <v>20</v>
      </c>
      <c r="BP14" s="51">
        <f>BN14*BO14</f>
        <v>605.0000000000001</v>
      </c>
      <c r="BQ14" s="54"/>
      <c r="BR14" s="51">
        <f>BN14*$BR$8</f>
        <v>30.250000000000007</v>
      </c>
      <c r="BS14" s="51">
        <f>BO14*$BS$8</f>
        <v>20</v>
      </c>
      <c r="BT14" s="51">
        <f>BR14*BS14</f>
        <v>605.0000000000001</v>
      </c>
      <c r="BU14" s="54"/>
      <c r="BV14" s="51">
        <f t="shared" si="5"/>
        <v>30.250000000000007</v>
      </c>
      <c r="BW14" s="51">
        <f t="shared" si="6"/>
        <v>20</v>
      </c>
      <c r="BX14" s="51">
        <f>BV14*BW14</f>
        <v>605.0000000000001</v>
      </c>
      <c r="BY14" s="54"/>
      <c r="BZ14" s="51">
        <f t="shared" si="7"/>
        <v>30.250000000000007</v>
      </c>
      <c r="CA14" s="51">
        <f t="shared" si="8"/>
        <v>20</v>
      </c>
      <c r="CB14" s="51">
        <f>BZ14*CA14</f>
        <v>605.0000000000001</v>
      </c>
      <c r="CC14" s="54"/>
      <c r="CD14" s="51">
        <f t="shared" si="9"/>
        <v>30.250000000000007</v>
      </c>
      <c r="CE14" s="51">
        <f t="shared" si="10"/>
        <v>20</v>
      </c>
      <c r="CF14" s="51">
        <f>CD14*CE14</f>
        <v>605.0000000000001</v>
      </c>
      <c r="CG14" s="54"/>
      <c r="CH14" s="51">
        <f t="shared" si="11"/>
        <v>30.250000000000007</v>
      </c>
      <c r="CI14" s="51">
        <f t="shared" si="12"/>
        <v>20</v>
      </c>
      <c r="CJ14" s="51">
        <f>CH14*CI14</f>
        <v>605.0000000000001</v>
      </c>
      <c r="CK14" s="54"/>
      <c r="CL14" s="51">
        <f t="shared" si="13"/>
        <v>30.250000000000007</v>
      </c>
      <c r="CM14" s="51">
        <f t="shared" si="14"/>
        <v>20</v>
      </c>
      <c r="CN14" s="51">
        <f>CL14*CM14</f>
        <v>605.0000000000001</v>
      </c>
      <c r="CO14" s="54"/>
      <c r="CP14" s="51">
        <f t="shared" si="15"/>
        <v>30.250000000000007</v>
      </c>
      <c r="CQ14" s="51">
        <f t="shared" si="16"/>
        <v>20</v>
      </c>
      <c r="CR14" s="51">
        <f>CP14*CQ14</f>
        <v>605.0000000000001</v>
      </c>
      <c r="CS14" s="54"/>
      <c r="CT14" s="51">
        <f t="shared" si="17"/>
        <v>30.250000000000007</v>
      </c>
      <c r="CU14" s="51">
        <f t="shared" si="18"/>
        <v>20</v>
      </c>
      <c r="CV14" s="51">
        <f>CT14*CU14</f>
        <v>605.0000000000001</v>
      </c>
      <c r="CW14" s="54"/>
      <c r="CX14" s="51">
        <f t="shared" si="19"/>
        <v>30.250000000000007</v>
      </c>
      <c r="CY14" s="51">
        <f t="shared" si="20"/>
        <v>20</v>
      </c>
      <c r="CZ14" s="51">
        <f>CX14*CY14</f>
        <v>605.0000000000001</v>
      </c>
      <c r="DA14" s="54"/>
      <c r="DB14" s="80">
        <f>BF14+BJ14+BN14+BR14+BV14+BZ14+CD14+CH14+CL14+CP14+CT14+CX14</f>
        <v>363.00000000000006</v>
      </c>
      <c r="DC14" s="80">
        <f>(BG14+BK14+BO14+BS14+BW14+CA14+CE14+CI14+CM14+CQ14+CU14+CY14)/12</f>
        <v>20</v>
      </c>
      <c r="DD14" s="80">
        <f>BH14+BL14+BP14+BT14+BX14+CB14+CF14+CJ14+CN14+CR14+CV14+CZ14</f>
        <v>7260.000000000001</v>
      </c>
      <c r="DF14" s="51">
        <f>CX14*$DF$8</f>
        <v>33.27500000000001</v>
      </c>
      <c r="DG14" s="51">
        <f t="shared" si="22"/>
        <v>20</v>
      </c>
      <c r="DH14" s="51">
        <f>DF14*DG14</f>
        <v>665.5000000000002</v>
      </c>
      <c r="DI14" s="54"/>
      <c r="DJ14" s="51">
        <f t="shared" si="23"/>
        <v>33.27500000000001</v>
      </c>
      <c r="DK14" s="51">
        <f t="shared" si="24"/>
        <v>20</v>
      </c>
      <c r="DL14" s="51">
        <f>DJ14*DK14</f>
        <v>665.5000000000002</v>
      </c>
      <c r="DM14" s="54"/>
      <c r="DN14" s="51">
        <f t="shared" si="25"/>
        <v>33.27500000000001</v>
      </c>
      <c r="DO14" s="51">
        <f t="shared" si="26"/>
        <v>20</v>
      </c>
      <c r="DP14" s="51">
        <f>DN14*DO14</f>
        <v>665.5000000000002</v>
      </c>
      <c r="DQ14" s="54"/>
      <c r="DR14" s="51">
        <f t="shared" si="27"/>
        <v>33.27500000000001</v>
      </c>
      <c r="DS14" s="51">
        <f t="shared" si="28"/>
        <v>20</v>
      </c>
      <c r="DT14" s="51">
        <f>DR14*DS14</f>
        <v>665.5000000000002</v>
      </c>
      <c r="DU14" s="54"/>
      <c r="DV14" s="51">
        <f t="shared" si="29"/>
        <v>33.27500000000001</v>
      </c>
      <c r="DW14" s="51">
        <f t="shared" si="30"/>
        <v>20</v>
      </c>
      <c r="DX14" s="51">
        <f>DV14*DW14</f>
        <v>665.5000000000002</v>
      </c>
      <c r="DY14" s="54"/>
      <c r="DZ14" s="51">
        <f t="shared" si="31"/>
        <v>33.27500000000001</v>
      </c>
      <c r="EA14" s="51">
        <f t="shared" si="32"/>
        <v>20</v>
      </c>
      <c r="EB14" s="51">
        <f>DZ14*EA14</f>
        <v>665.5000000000002</v>
      </c>
      <c r="EC14" s="54"/>
      <c r="ED14" s="51">
        <f t="shared" si="33"/>
        <v>33.27500000000001</v>
      </c>
      <c r="EE14" s="51">
        <f t="shared" si="34"/>
        <v>20</v>
      </c>
      <c r="EF14" s="51">
        <f>ED14*EE14</f>
        <v>665.5000000000002</v>
      </c>
      <c r="EG14" s="54"/>
      <c r="EH14" s="51">
        <f t="shared" si="35"/>
        <v>33.27500000000001</v>
      </c>
      <c r="EI14" s="51">
        <f t="shared" si="113"/>
        <v>20</v>
      </c>
      <c r="EJ14" s="51">
        <f>EH14*EI14</f>
        <v>665.5000000000002</v>
      </c>
      <c r="EK14" s="54"/>
      <c r="EL14" s="51">
        <f t="shared" si="36"/>
        <v>33.27500000000001</v>
      </c>
      <c r="EM14" s="51">
        <f t="shared" si="37"/>
        <v>20</v>
      </c>
      <c r="EN14" s="51">
        <f>EL14*EM14</f>
        <v>665.5000000000002</v>
      </c>
      <c r="EO14" s="54"/>
      <c r="EP14" s="51">
        <f t="shared" si="38"/>
        <v>33.27500000000001</v>
      </c>
      <c r="EQ14" s="51">
        <f t="shared" si="39"/>
        <v>20</v>
      </c>
      <c r="ER14" s="51">
        <f>EP14*EQ14</f>
        <v>665.5000000000002</v>
      </c>
      <c r="ES14" s="54"/>
      <c r="ET14" s="51">
        <f t="shared" si="40"/>
        <v>33.27500000000001</v>
      </c>
      <c r="EU14" s="51">
        <f t="shared" si="41"/>
        <v>20</v>
      </c>
      <c r="EV14" s="51">
        <f>ET14*EU14</f>
        <v>665.5000000000002</v>
      </c>
      <c r="EW14" s="54"/>
      <c r="EX14" s="51">
        <f t="shared" si="42"/>
        <v>33.27500000000001</v>
      </c>
      <c r="EY14" s="51">
        <f t="shared" si="43"/>
        <v>20</v>
      </c>
      <c r="EZ14" s="51">
        <f>EX14*EY14</f>
        <v>665.5000000000002</v>
      </c>
      <c r="FA14" s="54"/>
      <c r="FB14" s="80">
        <f>DF14+DJ14+DN14+DR14+DV14+DZ14+ED14+EH14+EL14+EP14+ET14+EX14</f>
        <v>399.30000000000024</v>
      </c>
      <c r="FC14" s="80">
        <f>(DG14+DK14+DO14+DS14+DW14+EA14+EE14+EI14+EM14+EQ14+EU14+EY14)/12</f>
        <v>20</v>
      </c>
      <c r="FD14" s="80">
        <f>DH14+DL14+DP14+DT14+DX14+EB14+EF14+EJ14+EN14+ER14+EV14+EZ14</f>
        <v>7986.000000000001</v>
      </c>
      <c r="FF14" s="51">
        <f t="shared" si="44"/>
        <v>36.60250000000002</v>
      </c>
      <c r="FG14" s="51">
        <f t="shared" si="45"/>
        <v>20</v>
      </c>
      <c r="FH14" s="51">
        <f>FF14*FG14</f>
        <v>732.0500000000004</v>
      </c>
      <c r="FI14" s="54"/>
      <c r="FJ14" s="51">
        <f t="shared" si="46"/>
        <v>36.60250000000002</v>
      </c>
      <c r="FK14" s="51">
        <f t="shared" si="47"/>
        <v>20</v>
      </c>
      <c r="FL14" s="51">
        <f>FJ14*FK14</f>
        <v>732.0500000000004</v>
      </c>
      <c r="FM14" s="54"/>
      <c r="FN14" s="51">
        <f t="shared" si="48"/>
        <v>36.60250000000002</v>
      </c>
      <c r="FO14" s="51">
        <f t="shared" si="49"/>
        <v>20</v>
      </c>
      <c r="FP14" s="51">
        <f>FN14*FO14</f>
        <v>732.0500000000004</v>
      </c>
      <c r="FQ14" s="54"/>
      <c r="FR14" s="51">
        <f t="shared" si="50"/>
        <v>36.60250000000002</v>
      </c>
      <c r="FS14" s="51">
        <f t="shared" si="51"/>
        <v>20</v>
      </c>
      <c r="FT14" s="51">
        <f>FR14*FS14</f>
        <v>732.0500000000004</v>
      </c>
      <c r="FU14" s="54"/>
      <c r="FV14" s="51">
        <f t="shared" si="52"/>
        <v>36.60250000000002</v>
      </c>
      <c r="FW14" s="51">
        <f t="shared" si="53"/>
        <v>20</v>
      </c>
      <c r="FX14" s="51">
        <f>FV14*FW14</f>
        <v>732.0500000000004</v>
      </c>
      <c r="FY14" s="54"/>
      <c r="FZ14" s="51">
        <f t="shared" si="54"/>
        <v>36.60250000000002</v>
      </c>
      <c r="GA14" s="51">
        <f>FW14*$GA$8</f>
        <v>20</v>
      </c>
      <c r="GB14" s="51">
        <f>FZ14*GA14</f>
        <v>732.0500000000004</v>
      </c>
      <c r="GC14" s="54"/>
      <c r="GD14" s="51">
        <f>FZ14*$GD$8</f>
        <v>36.60250000000002</v>
      </c>
      <c r="GE14" s="51">
        <f t="shared" si="57"/>
        <v>20</v>
      </c>
      <c r="GF14" s="51">
        <f>GD14*GE14</f>
        <v>732.0500000000004</v>
      </c>
      <c r="GG14" s="54"/>
      <c r="GH14" s="51">
        <f>GD14*$GH$8</f>
        <v>36.60250000000002</v>
      </c>
      <c r="GI14" s="51">
        <f>GE14*$GI$8</f>
        <v>20</v>
      </c>
      <c r="GJ14" s="51">
        <f>GH14*GI14</f>
        <v>732.0500000000004</v>
      </c>
      <c r="GK14" s="54"/>
      <c r="GL14" s="51">
        <f t="shared" si="59"/>
        <v>36.60250000000002</v>
      </c>
      <c r="GM14" s="51">
        <f t="shared" si="60"/>
        <v>20</v>
      </c>
      <c r="GN14" s="51">
        <f>GL14*GM14</f>
        <v>732.0500000000004</v>
      </c>
      <c r="GO14" s="54"/>
      <c r="GP14" s="51">
        <f t="shared" si="61"/>
        <v>36.60250000000002</v>
      </c>
      <c r="GQ14" s="51">
        <f t="shared" si="62"/>
        <v>20</v>
      </c>
      <c r="GR14" s="51">
        <f>GP14*GQ14</f>
        <v>732.0500000000004</v>
      </c>
      <c r="GS14" s="54"/>
      <c r="GT14" s="51">
        <f t="shared" si="63"/>
        <v>36.60250000000002</v>
      </c>
      <c r="GU14" s="51">
        <f t="shared" si="64"/>
        <v>20</v>
      </c>
      <c r="GV14" s="51">
        <f>GT14*GU14</f>
        <v>732.0500000000004</v>
      </c>
      <c r="GW14" s="54"/>
      <c r="GX14" s="51">
        <f t="shared" si="65"/>
        <v>36.60250000000002</v>
      </c>
      <c r="GY14" s="51">
        <f t="shared" si="66"/>
        <v>20</v>
      </c>
      <c r="GZ14" s="51">
        <f>GX14*GY14</f>
        <v>732.0500000000004</v>
      </c>
      <c r="HB14" s="80">
        <f>FF14+FJ14+FN14+FR14+FV14+FZ14+GD14+GH14+GL14+GP14+GT14+GX14</f>
        <v>439.23000000000025</v>
      </c>
      <c r="HC14" s="80">
        <f>(FG14+FK14+FO14+FS14+FW14+GA14+GE14+GI14+GM14+GQ14+GU14+GY14)/12</f>
        <v>20</v>
      </c>
      <c r="HD14" s="80">
        <f>FH14+FL14+FP14+FT14+FX14+GB14+GF14+GJ14+GN14+GR14+GV14+GZ14</f>
        <v>8784.600000000004</v>
      </c>
      <c r="HF14" s="51">
        <f t="shared" si="67"/>
        <v>40.262750000000025</v>
      </c>
      <c r="HG14" s="51">
        <f t="shared" si="68"/>
        <v>20</v>
      </c>
      <c r="HH14" s="51">
        <f>HF14*HG14</f>
        <v>805.2550000000006</v>
      </c>
      <c r="HI14" s="54"/>
      <c r="HJ14" s="51">
        <f t="shared" si="69"/>
        <v>40.262750000000025</v>
      </c>
      <c r="HK14" s="51">
        <f>HG14*$HK$8</f>
        <v>20</v>
      </c>
      <c r="HL14" s="51">
        <f>HJ14*HK14</f>
        <v>805.2550000000006</v>
      </c>
      <c r="HM14" s="54"/>
      <c r="HN14" s="51">
        <f t="shared" si="71"/>
        <v>40.262750000000025</v>
      </c>
      <c r="HO14" s="51">
        <f t="shared" si="72"/>
        <v>20</v>
      </c>
      <c r="HP14" s="51">
        <f>HN14*HO14</f>
        <v>805.2550000000006</v>
      </c>
      <c r="HQ14" s="54"/>
      <c r="HR14" s="51">
        <f t="shared" si="73"/>
        <v>40.262750000000025</v>
      </c>
      <c r="HS14" s="51">
        <f t="shared" si="74"/>
        <v>20</v>
      </c>
      <c r="HT14" s="51">
        <f>HR14*HS14</f>
        <v>805.2550000000006</v>
      </c>
      <c r="HU14" s="54"/>
      <c r="HV14" s="51">
        <f t="shared" si="75"/>
        <v>40.262750000000025</v>
      </c>
      <c r="HW14" s="51">
        <f t="shared" si="76"/>
        <v>20</v>
      </c>
      <c r="HX14" s="51">
        <f>HV14*HW14</f>
        <v>805.2550000000006</v>
      </c>
      <c r="HY14" s="54"/>
      <c r="HZ14" s="51">
        <f t="shared" si="77"/>
        <v>40.262750000000025</v>
      </c>
      <c r="IA14" s="51">
        <f t="shared" si="78"/>
        <v>20</v>
      </c>
      <c r="IB14" s="51">
        <f>HZ14*IA14</f>
        <v>805.2550000000006</v>
      </c>
      <c r="IC14" s="54"/>
      <c r="ID14" s="51">
        <f t="shared" si="79"/>
        <v>40.262750000000025</v>
      </c>
      <c r="IE14" s="51">
        <f t="shared" si="80"/>
        <v>20</v>
      </c>
      <c r="IF14" s="51">
        <f>ID14*IE14</f>
        <v>805.2550000000006</v>
      </c>
      <c r="IG14" s="54"/>
      <c r="IH14" s="51">
        <f t="shared" si="81"/>
        <v>40.262750000000025</v>
      </c>
      <c r="II14" s="51">
        <f t="shared" si="82"/>
        <v>20</v>
      </c>
      <c r="IJ14" s="51">
        <f>IH14*II14</f>
        <v>805.2550000000006</v>
      </c>
      <c r="IK14" s="54"/>
      <c r="IL14" s="51">
        <f t="shared" si="83"/>
        <v>40.262750000000025</v>
      </c>
      <c r="IM14" s="51">
        <f t="shared" si="84"/>
        <v>20</v>
      </c>
      <c r="IN14" s="51">
        <f>IL14*IM14</f>
        <v>805.2550000000006</v>
      </c>
      <c r="IO14" s="54"/>
      <c r="IP14" s="51">
        <f t="shared" si="85"/>
        <v>40.262750000000025</v>
      </c>
      <c r="IQ14" s="51">
        <f t="shared" si="86"/>
        <v>20</v>
      </c>
      <c r="IR14" s="51">
        <f>IP14*IQ14</f>
        <v>805.2550000000006</v>
      </c>
      <c r="IS14" s="54"/>
      <c r="IT14" s="51">
        <f t="shared" si="87"/>
        <v>40.262750000000025</v>
      </c>
      <c r="IU14" s="51">
        <f t="shared" si="88"/>
        <v>20</v>
      </c>
      <c r="IV14" s="51">
        <f>IT14*IU14</f>
        <v>805.2550000000006</v>
      </c>
      <c r="IW14" s="54"/>
      <c r="IX14" s="51">
        <f t="shared" si="89"/>
        <v>40.262750000000025</v>
      </c>
      <c r="IY14" s="51">
        <f t="shared" si="90"/>
        <v>20</v>
      </c>
      <c r="IZ14" s="51">
        <f>IX14*IY14</f>
        <v>805.2550000000006</v>
      </c>
      <c r="JB14" s="80">
        <f>HF14+HJ14+HN14+HR14+HV14+HZ14+ID14+IH14+IL14+IP14+IT14+IX14</f>
        <v>483.1530000000004</v>
      </c>
      <c r="JC14" s="80">
        <f>(HG14+HK14+HO14+HS14+HW14+IA14+IE14+II14+IM14+IQ14+IU14+IY14)/12</f>
        <v>20</v>
      </c>
      <c r="JD14" s="80">
        <f>HH14+HL14+HP14+HT14+HX14+IB14+IF14+IJ14+IN14+IR14+IV14+IZ14</f>
        <v>9663.060000000009</v>
      </c>
      <c r="JF14" s="51">
        <f t="shared" si="91"/>
        <v>44.28902500000003</v>
      </c>
      <c r="JG14" s="51">
        <f t="shared" si="92"/>
        <v>20</v>
      </c>
      <c r="JH14" s="51">
        <f>JF14*JG14</f>
        <v>885.7805000000006</v>
      </c>
      <c r="JI14" s="54"/>
      <c r="JJ14" s="51">
        <f t="shared" si="93"/>
        <v>44.28902500000003</v>
      </c>
      <c r="JK14" s="51">
        <f t="shared" si="94"/>
        <v>20</v>
      </c>
      <c r="JL14" s="51">
        <f>JJ14*JK14</f>
        <v>885.7805000000006</v>
      </c>
      <c r="JM14" s="54"/>
      <c r="JN14" s="51">
        <f t="shared" si="95"/>
        <v>44.28902500000003</v>
      </c>
      <c r="JO14" s="51">
        <f t="shared" si="96"/>
        <v>20</v>
      </c>
      <c r="JP14" s="51">
        <f>JN14*JO14</f>
        <v>885.7805000000006</v>
      </c>
      <c r="JQ14" s="54"/>
      <c r="JR14" s="51">
        <f t="shared" si="97"/>
        <v>44.28902500000003</v>
      </c>
      <c r="JS14" s="51">
        <f t="shared" si="98"/>
        <v>20</v>
      </c>
      <c r="JT14" s="51">
        <f>JR14*JS14</f>
        <v>885.7805000000006</v>
      </c>
      <c r="JU14" s="54"/>
      <c r="JV14" s="51">
        <f t="shared" si="99"/>
        <v>44.28902500000003</v>
      </c>
      <c r="JW14" s="51">
        <f t="shared" si="100"/>
        <v>20</v>
      </c>
      <c r="JX14" s="51">
        <f>JV14*JW14</f>
        <v>885.7805000000006</v>
      </c>
      <c r="JY14" s="54"/>
      <c r="JZ14" s="51">
        <f t="shared" si="101"/>
        <v>44.28902500000003</v>
      </c>
      <c r="KA14" s="51">
        <f t="shared" si="102"/>
        <v>20</v>
      </c>
      <c r="KB14" s="51">
        <f>JZ14*KA14</f>
        <v>885.7805000000006</v>
      </c>
      <c r="KC14" s="54"/>
      <c r="KD14" s="51">
        <f t="shared" si="103"/>
        <v>44.28902500000003</v>
      </c>
      <c r="KE14" s="51">
        <f t="shared" si="104"/>
        <v>20</v>
      </c>
      <c r="KF14" s="51">
        <f>KD14*KE14</f>
        <v>885.7805000000006</v>
      </c>
      <c r="KG14" s="54"/>
      <c r="KH14" s="51">
        <f>KD14*$KH$8</f>
        <v>44.28902500000003</v>
      </c>
      <c r="KI14" s="51">
        <f>KE14*$KI$8</f>
        <v>20</v>
      </c>
      <c r="KJ14" s="51">
        <f>KH14*KI14</f>
        <v>885.7805000000006</v>
      </c>
      <c r="KK14" s="54"/>
      <c r="KL14" s="51">
        <f t="shared" si="106"/>
        <v>44.28902500000003</v>
      </c>
      <c r="KM14" s="51">
        <f>KI14*$KM$8</f>
        <v>20</v>
      </c>
      <c r="KN14" s="51">
        <f>KL14*KM14</f>
        <v>885.7805000000006</v>
      </c>
      <c r="KO14" s="54"/>
      <c r="KP14" s="51">
        <f t="shared" si="107"/>
        <v>44.28902500000003</v>
      </c>
      <c r="KQ14" s="51">
        <f t="shared" si="108"/>
        <v>20</v>
      </c>
      <c r="KR14" s="51">
        <f>KP14*KQ14</f>
        <v>885.7805000000006</v>
      </c>
      <c r="KS14" s="54"/>
      <c r="KT14" s="51">
        <f t="shared" si="109"/>
        <v>44.28902500000003</v>
      </c>
      <c r="KU14" s="51">
        <f t="shared" si="110"/>
        <v>20</v>
      </c>
      <c r="KV14" s="51">
        <f>KT14*KU14</f>
        <v>885.7805000000006</v>
      </c>
      <c r="KW14" s="54"/>
      <c r="KX14" s="51">
        <f t="shared" si="111"/>
        <v>44.28902500000003</v>
      </c>
      <c r="KY14" s="51">
        <f t="shared" si="112"/>
        <v>20</v>
      </c>
      <c r="KZ14" s="51">
        <f>KX14*KY14</f>
        <v>885.7805000000006</v>
      </c>
      <c r="LB14" s="80">
        <f>JF14+JJ14+JN14+JR14+JV14+JZ14+KD14+KH14+KL14+KP14+KT14+KX14</f>
        <v>531.4683000000003</v>
      </c>
      <c r="LC14" s="80">
        <f>(JG14+JK14+JO14+JS14+JW14+KA14+KE14+KI14+KM14+KQ14+KU14+KY14)/12</f>
        <v>20</v>
      </c>
      <c r="LD14" s="80">
        <f>JH14+JL14+JP14+JT14+JX14+KB14+KF14+KJ14+KN14+KR14+KV14+KZ14</f>
        <v>10629.366000000007</v>
      </c>
    </row>
    <row r="15" ht="18.75" customHeight="1" spans="2:316" s="9" customFormat="1" x14ac:dyDescent="0.25">
      <c r="B15" s="34" t="s">
        <v>58</v>
      </c>
      <c r="C15" s="34"/>
      <c r="D15" s="34"/>
      <c r="E15" s="35"/>
      <c r="F15" s="81">
        <f>SUM(F10:F14)</f>
        <v>375</v>
      </c>
      <c r="G15" s="81"/>
      <c r="H15" s="81">
        <f>SUM(H10:H14)</f>
        <v>7500</v>
      </c>
      <c r="I15" s="81"/>
      <c r="J15" s="81">
        <f>SUM(J10:J14)</f>
        <v>412.5</v>
      </c>
      <c r="K15" s="81"/>
      <c r="L15" s="81">
        <f>SUM(L10:L14)</f>
        <v>8250</v>
      </c>
      <c r="M15" s="81"/>
      <c r="N15" s="81">
        <f>SUM(N10:N14)</f>
        <v>412.5</v>
      </c>
      <c r="O15" s="81"/>
      <c r="P15" s="81">
        <f>SUM(P10:P14)</f>
        <v>8250</v>
      </c>
      <c r="Q15" s="81"/>
      <c r="R15" s="81">
        <f>SUM(R10:R14)</f>
        <v>412.5</v>
      </c>
      <c r="S15" s="81"/>
      <c r="T15" s="81">
        <f>SUM(T10:T14)</f>
        <v>8250</v>
      </c>
      <c r="U15" s="81"/>
      <c r="V15" s="81">
        <f>SUM(V10:V14)</f>
        <v>412.5</v>
      </c>
      <c r="W15" s="81"/>
      <c r="X15" s="81">
        <f>SUM(X10:X14)</f>
        <v>8250</v>
      </c>
      <c r="Y15" s="81"/>
      <c r="Z15" s="81">
        <f>SUM(Z10:Z14)</f>
        <v>412.5</v>
      </c>
      <c r="AA15" s="81"/>
      <c r="AB15" s="81">
        <f>SUM(AB10:AB14)</f>
        <v>8250</v>
      </c>
      <c r="AC15" s="81"/>
      <c r="AD15" s="81">
        <f>SUM(AD10:AD14)</f>
        <v>412.5</v>
      </c>
      <c r="AE15" s="81"/>
      <c r="AF15" s="81">
        <f>SUM(AF10:AF14)</f>
        <v>8250</v>
      </c>
      <c r="AG15" s="81"/>
      <c r="AH15" s="81">
        <f>SUM(AH10:AH14)</f>
        <v>412.5</v>
      </c>
      <c r="AI15" s="81"/>
      <c r="AJ15" s="81">
        <f>SUM(AJ10:AJ14)</f>
        <v>8250</v>
      </c>
      <c r="AK15" s="81"/>
      <c r="AL15" s="81">
        <f>SUM(AL10:AL14)</f>
        <v>412.5</v>
      </c>
      <c r="AM15" s="81"/>
      <c r="AN15" s="81">
        <f>SUM(AN10:AN14)</f>
        <v>8250</v>
      </c>
      <c r="AO15" s="81"/>
      <c r="AP15" s="81">
        <f>SUM(AP10:AP14)</f>
        <v>412.5</v>
      </c>
      <c r="AQ15" s="81"/>
      <c r="AR15" s="81">
        <f>SUM(AR10:AR14)</f>
        <v>8250</v>
      </c>
      <c r="AS15" s="81"/>
      <c r="AT15" s="81">
        <f>SUM(AT10:AT14)</f>
        <v>412.5</v>
      </c>
      <c r="AU15" s="81"/>
      <c r="AV15" s="81">
        <f>SUM(AV10:AV14)</f>
        <v>8250</v>
      </c>
      <c r="AW15" s="81"/>
      <c r="AX15" s="81">
        <f>SUM(AX10:AX14)</f>
        <v>412.5</v>
      </c>
      <c r="AY15" s="81"/>
      <c r="AZ15" s="81">
        <f>SUM(AZ10:AZ14)</f>
        <v>8250</v>
      </c>
      <c r="BA15" s="81"/>
      <c r="BB15" s="81">
        <f>SUM(BB10:BB14)</f>
        <v>4912.5</v>
      </c>
      <c r="BC15" s="81"/>
      <c r="BD15" s="81">
        <f>SUM(BD10:BD14)</f>
        <v>73500</v>
      </c>
      <c r="BF15" s="81">
        <f>SUM(BF10:BF14)</f>
        <v>453.75</v>
      </c>
      <c r="BG15" s="81"/>
      <c r="BH15" s="81">
        <f>SUM(BH10:BH14)</f>
        <v>9075</v>
      </c>
      <c r="BI15" s="81"/>
      <c r="BJ15" s="81">
        <f>SUM(BJ10:BJ14)</f>
        <v>453.75</v>
      </c>
      <c r="BK15" s="81"/>
      <c r="BL15" s="81">
        <f>SUM(BL10:BL14)</f>
        <v>9075</v>
      </c>
      <c r="BM15" s="81"/>
      <c r="BN15" s="81">
        <f>SUM(BN10:BN14)</f>
        <v>453.75</v>
      </c>
      <c r="BO15" s="81"/>
      <c r="BP15" s="81">
        <f>SUM(BP10:BP14)</f>
        <v>9075</v>
      </c>
      <c r="BQ15" s="81"/>
      <c r="BR15" s="81">
        <f>SUM(BR10:BR14)</f>
        <v>453.75</v>
      </c>
      <c r="BS15" s="81"/>
      <c r="BT15" s="81">
        <f>SUM(BT10:BT14)</f>
        <v>9075</v>
      </c>
      <c r="BU15" s="81"/>
      <c r="BV15" s="81">
        <f>SUM(BV10:BV14)</f>
        <v>453.75</v>
      </c>
      <c r="BW15" s="81"/>
      <c r="BX15" s="81">
        <f>SUM(BX10:BX14)</f>
        <v>9075</v>
      </c>
      <c r="BY15" s="81"/>
      <c r="BZ15" s="81">
        <f>SUM(BZ10:BZ14)</f>
        <v>453.75</v>
      </c>
      <c r="CA15" s="81"/>
      <c r="CB15" s="81">
        <f>SUM(CB10:CB14)</f>
        <v>9075</v>
      </c>
      <c r="CC15" s="81"/>
      <c r="CD15" s="81">
        <f>SUM(CD10:CD14)</f>
        <v>453.75</v>
      </c>
      <c r="CE15" s="81"/>
      <c r="CF15" s="81">
        <f>SUM(CF10:CF14)</f>
        <v>9075</v>
      </c>
      <c r="CG15" s="81"/>
      <c r="CH15" s="81">
        <f>SUM(CH10:CH14)</f>
        <v>453.75</v>
      </c>
      <c r="CI15" s="81"/>
      <c r="CJ15" s="81">
        <f>SUM(CJ10:CJ14)</f>
        <v>9075</v>
      </c>
      <c r="CK15" s="81"/>
      <c r="CL15" s="81">
        <f>SUM(CL10:CL14)</f>
        <v>453.75</v>
      </c>
      <c r="CM15" s="81"/>
      <c r="CN15" s="81">
        <f>SUM(CN10:CN14)</f>
        <v>9075</v>
      </c>
      <c r="CO15" s="81"/>
      <c r="CP15" s="81">
        <f>SUM(CP10:CP14)</f>
        <v>453.75</v>
      </c>
      <c r="CQ15" s="81"/>
      <c r="CR15" s="81">
        <f>SUM(CR10:CR14)</f>
        <v>9075</v>
      </c>
      <c r="CS15" s="81"/>
      <c r="CT15" s="81">
        <f>SUM(CT10:CT14)</f>
        <v>453.75</v>
      </c>
      <c r="CU15" s="81"/>
      <c r="CV15" s="81">
        <f>SUM(CV10:CV14)</f>
        <v>9075</v>
      </c>
      <c r="CW15" s="81"/>
      <c r="CX15" s="81">
        <f>SUM(CX10:CX14)</f>
        <v>453.75</v>
      </c>
      <c r="CY15" s="81"/>
      <c r="CZ15" s="81">
        <f>SUM(CZ10:CZ14)</f>
        <v>9075</v>
      </c>
      <c r="DA15" s="81"/>
      <c r="DB15" s="81">
        <f>SUM(DB10:DB14)</f>
        <v>5445</v>
      </c>
      <c r="DC15" s="81"/>
      <c r="DD15" s="81">
        <f>SUM(DD10:DD14)</f>
        <v>108900</v>
      </c>
      <c r="DF15" s="81">
        <f>SUM(DF10:DF14)</f>
        <v>499.1250000000001</v>
      </c>
      <c r="DG15" s="81"/>
      <c r="DH15" s="81">
        <f>SUM(DH10:DH14)</f>
        <v>9982.500000000002</v>
      </c>
      <c r="DI15" s="81"/>
      <c r="DJ15" s="81">
        <f>SUM(DJ10:DJ14)</f>
        <v>499.1250000000001</v>
      </c>
      <c r="DK15" s="81"/>
      <c r="DL15" s="81">
        <f>SUM(DL10:DL14)</f>
        <v>9982.500000000002</v>
      </c>
      <c r="DM15" s="81"/>
      <c r="DN15" s="81">
        <f>SUM(DN10:DN14)</f>
        <v>499.1250000000001</v>
      </c>
      <c r="DO15" s="81"/>
      <c r="DP15" s="81">
        <f>SUM(DP10:DP14)</f>
        <v>9982.500000000002</v>
      </c>
      <c r="DQ15" s="81"/>
      <c r="DR15" s="81">
        <f>SUM(DR10:DR14)</f>
        <v>499.1250000000001</v>
      </c>
      <c r="DS15" s="81"/>
      <c r="DT15" s="81">
        <f>SUM(DT10:DT14)</f>
        <v>9982.500000000002</v>
      </c>
      <c r="DU15" s="81"/>
      <c r="DV15" s="81">
        <f>SUM(DV10:DV14)</f>
        <v>499.1250000000001</v>
      </c>
      <c r="DW15" s="81"/>
      <c r="DX15" s="81">
        <f>SUM(DX10:DX14)</f>
        <v>9982.500000000002</v>
      </c>
      <c r="DY15" s="81"/>
      <c r="DZ15" s="81">
        <f>SUM(DZ10:DZ14)</f>
        <v>499.1250000000001</v>
      </c>
      <c r="EA15" s="81"/>
      <c r="EB15" s="81">
        <f>SUM(EB10:EB14)</f>
        <v>9982.500000000002</v>
      </c>
      <c r="EC15" s="81"/>
      <c r="ED15" s="81">
        <f>SUM(ED10:ED14)</f>
        <v>499.1250000000001</v>
      </c>
      <c r="EE15" s="81"/>
      <c r="EF15" s="81">
        <f>SUM(EF10:EF14)</f>
        <v>9982.500000000002</v>
      </c>
      <c r="EG15" s="81"/>
      <c r="EH15" s="81">
        <f>SUM(EH10:EH14)</f>
        <v>499.1250000000001</v>
      </c>
      <c r="EI15" s="81"/>
      <c r="EJ15" s="81">
        <f>SUM(EJ10:EJ14)</f>
        <v>9982.500000000002</v>
      </c>
      <c r="EK15" s="81"/>
      <c r="EL15" s="81">
        <f>SUM(EL10:EL14)</f>
        <v>499.1250000000001</v>
      </c>
      <c r="EM15" s="81"/>
      <c r="EN15" s="81">
        <f>SUM(EN10:EN14)</f>
        <v>9982.500000000002</v>
      </c>
      <c r="EO15" s="81"/>
      <c r="EP15" s="81">
        <f>SUM(EP10:EP14)</f>
        <v>499.1250000000001</v>
      </c>
      <c r="EQ15" s="81"/>
      <c r="ER15" s="81">
        <f>SUM(ER10:ER14)</f>
        <v>9982.500000000002</v>
      </c>
      <c r="ES15" s="81"/>
      <c r="ET15" s="81">
        <f>SUM(ET10:ET14)</f>
        <v>499.1250000000001</v>
      </c>
      <c r="EU15" s="81"/>
      <c r="EV15" s="81">
        <f>SUM(EV10:EV14)</f>
        <v>9982.500000000002</v>
      </c>
      <c r="EW15" s="81"/>
      <c r="EX15" s="81">
        <f>SUM(EX10:EX14)</f>
        <v>499.1250000000001</v>
      </c>
      <c r="EY15" s="81"/>
      <c r="EZ15" s="81">
        <f>SUM(EZ10:EZ14)</f>
        <v>9982.500000000002</v>
      </c>
      <c r="FA15" s="81"/>
      <c r="FB15" s="81">
        <f>SUM(FB10:FB14)</f>
        <v>5989.500000000002</v>
      </c>
      <c r="FC15" s="81"/>
      <c r="FD15" s="81">
        <f>SUM(FD10:FD14)</f>
        <v>119790</v>
      </c>
      <c r="FF15" s="81">
        <f>SUM(FF10:FF14)</f>
        <v>549.0375000000001</v>
      </c>
      <c r="FG15" s="81"/>
      <c r="FH15" s="81">
        <f>SUM(FH10:FH14)</f>
        <v>10980.750000000004</v>
      </c>
      <c r="FI15" s="81"/>
      <c r="FJ15" s="81">
        <f>SUM(FJ10:FJ14)</f>
        <v>549.0375000000001</v>
      </c>
      <c r="FK15" s="81"/>
      <c r="FL15" s="81">
        <f>SUM(FL10:FL14)</f>
        <v>10980.750000000004</v>
      </c>
      <c r="FM15" s="81"/>
      <c r="FN15" s="81">
        <f>SUM(FN10:FN14)</f>
        <v>549.0375000000001</v>
      </c>
      <c r="FO15" s="81"/>
      <c r="FP15" s="81">
        <f>SUM(FP10:FP14)</f>
        <v>10980.750000000004</v>
      </c>
      <c r="FQ15" s="81"/>
      <c r="FR15" s="81">
        <f>SUM(FR10:FR14)</f>
        <v>549.0375000000001</v>
      </c>
      <c r="FS15" s="81"/>
      <c r="FT15" s="81">
        <f>SUM(FT10:FT14)</f>
        <v>10980.750000000004</v>
      </c>
      <c r="FU15" s="81"/>
      <c r="FV15" s="81">
        <f>SUM(FV10:FV14)</f>
        <v>549.0375000000001</v>
      </c>
      <c r="FW15" s="81"/>
      <c r="FX15" s="81">
        <f>SUM(FX10:FX14)</f>
        <v>10980.750000000004</v>
      </c>
      <c r="FY15" s="81"/>
      <c r="FZ15" s="81">
        <f>SUM(FZ10:FZ14)</f>
        <v>549.0375000000001</v>
      </c>
      <c r="GA15" s="81"/>
      <c r="GB15" s="81">
        <f>SUM(GB10:GB14)</f>
        <v>10980.750000000004</v>
      </c>
      <c r="GC15" s="81"/>
      <c r="GD15" s="81">
        <f>SUM(GD10:GD14)</f>
        <v>549.0375000000001</v>
      </c>
      <c r="GE15" s="81"/>
      <c r="GF15" s="81">
        <f>SUM(GF10:GF14)</f>
        <v>10980.750000000004</v>
      </c>
      <c r="GG15" s="81"/>
      <c r="GH15" s="81">
        <f>SUM(GH10:GH14)</f>
        <v>549.0375000000001</v>
      </c>
      <c r="GI15" s="81"/>
      <c r="GJ15" s="81">
        <f>SUM(GJ10:GJ14)</f>
        <v>10980.750000000004</v>
      </c>
      <c r="GK15" s="81"/>
      <c r="GL15" s="81">
        <f>SUM(GL10:GL14)</f>
        <v>549.0375000000001</v>
      </c>
      <c r="GM15" s="81"/>
      <c r="GN15" s="81">
        <f>SUM(GN10:GN14)</f>
        <v>10980.750000000004</v>
      </c>
      <c r="GO15" s="81"/>
      <c r="GP15" s="81">
        <f>SUM(GP10:GP14)</f>
        <v>549.0375000000001</v>
      </c>
      <c r="GQ15" s="81"/>
      <c r="GR15" s="81">
        <f>SUM(GR10:GR14)</f>
        <v>10980.750000000004</v>
      </c>
      <c r="GS15" s="81"/>
      <c r="GT15" s="81">
        <f>SUM(GT10:GT14)</f>
        <v>549.0375000000001</v>
      </c>
      <c r="GU15" s="81"/>
      <c r="GV15" s="81">
        <f>SUM(GV10:GV14)</f>
        <v>10980.750000000004</v>
      </c>
      <c r="GW15" s="81"/>
      <c r="GX15" s="81">
        <f>SUM(GX10:GX14)</f>
        <v>549.0375000000001</v>
      </c>
      <c r="GY15" s="81"/>
      <c r="GZ15" s="81">
        <f>SUM(GZ10:GZ14)</f>
        <v>10980.750000000004</v>
      </c>
      <c r="HB15" s="81">
        <f>SUM(HB10:HB14)</f>
        <v>6588.4500000000035</v>
      </c>
      <c r="HC15" s="81"/>
      <c r="HD15" s="81">
        <f>SUM(HD10:HD14)</f>
        <v>131769.00000000006</v>
      </c>
      <c r="HF15" s="81">
        <f>SUM(HF10:HF14)</f>
        <v>603.9412500000002</v>
      </c>
      <c r="HG15" s="81"/>
      <c r="HH15" s="81">
        <f>SUM(HH10:HH14)</f>
        <v>12078.825000000004</v>
      </c>
      <c r="HI15" s="81"/>
      <c r="HJ15" s="81">
        <f>SUM(HJ10:HJ14)</f>
        <v>603.9412500000002</v>
      </c>
      <c r="HK15" s="81"/>
      <c r="HL15" s="81">
        <f>SUM(HL10:HL14)</f>
        <v>12078.825000000004</v>
      </c>
      <c r="HM15" s="81"/>
      <c r="HN15" s="81">
        <f>SUM(HN10:HN14)</f>
        <v>603.9412500000002</v>
      </c>
      <c r="HO15" s="81"/>
      <c r="HP15" s="81">
        <f>SUM(HP10:HP14)</f>
        <v>12078.825000000004</v>
      </c>
      <c r="HQ15" s="81"/>
      <c r="HR15" s="81">
        <f>SUM(HR10:HR14)</f>
        <v>603.9412500000002</v>
      </c>
      <c r="HS15" s="81"/>
      <c r="HT15" s="81">
        <f>SUM(HT10:HT14)</f>
        <v>12078.825000000004</v>
      </c>
      <c r="HU15" s="81"/>
      <c r="HV15" s="81">
        <f>SUM(HV10:HV14)</f>
        <v>603.9412500000002</v>
      </c>
      <c r="HW15" s="81"/>
      <c r="HX15" s="81">
        <f>SUM(HX10:HX14)</f>
        <v>12078.825000000004</v>
      </c>
      <c r="HY15" s="81"/>
      <c r="HZ15" s="81">
        <f>SUM(HZ10:HZ14)</f>
        <v>603.9412500000002</v>
      </c>
      <c r="IA15" s="81"/>
      <c r="IB15" s="81">
        <f>SUM(IB10:IB14)</f>
        <v>12078.825000000004</v>
      </c>
      <c r="IC15" s="81"/>
      <c r="ID15" s="81">
        <f>SUM(ID10:ID14)</f>
        <v>603.9412500000002</v>
      </c>
      <c r="IE15" s="81"/>
      <c r="IF15" s="81">
        <f>SUM(IF10:IF14)</f>
        <v>12078.825000000004</v>
      </c>
      <c r="IG15" s="81"/>
      <c r="IH15" s="81">
        <f>SUM(IH10:IH14)</f>
        <v>603.9412500000002</v>
      </c>
      <c r="II15" s="81"/>
      <c r="IJ15" s="81">
        <f>SUM(IJ10:IJ14)</f>
        <v>12078.825000000004</v>
      </c>
      <c r="IK15" s="81"/>
      <c r="IL15" s="81">
        <f>SUM(IL10:IL14)</f>
        <v>603.9412500000002</v>
      </c>
      <c r="IM15" s="81"/>
      <c r="IN15" s="81">
        <f>SUM(IN10:IN14)</f>
        <v>12078.825000000004</v>
      </c>
      <c r="IO15" s="81"/>
      <c r="IP15" s="81">
        <f>SUM(IP10:IP14)</f>
        <v>603.9412500000002</v>
      </c>
      <c r="IQ15" s="81"/>
      <c r="IR15" s="81">
        <f>SUM(IR10:IR14)</f>
        <v>12078.825000000004</v>
      </c>
      <c r="IS15" s="81"/>
      <c r="IT15" s="81">
        <f>SUM(IT10:IT14)</f>
        <v>603.9412500000002</v>
      </c>
      <c r="IU15" s="81"/>
      <c r="IV15" s="81">
        <f>SUM(IV10:IV14)</f>
        <v>12078.825000000004</v>
      </c>
      <c r="IW15" s="81"/>
      <c r="IX15" s="81">
        <f>SUM(IX10:IX14)</f>
        <v>603.9412500000002</v>
      </c>
      <c r="IY15" s="81"/>
      <c r="IZ15" s="81">
        <f>SUM(IZ10:IZ14)</f>
        <v>12078.825000000004</v>
      </c>
      <c r="JB15" s="81">
        <f>SUM(JB10:JB14)</f>
        <v>7247.295000000004</v>
      </c>
      <c r="JC15" s="81"/>
      <c r="JD15" s="81">
        <f>SUM(JD10:JD14)</f>
        <v>144945.90000000005</v>
      </c>
      <c r="JF15" s="81">
        <f>SUM(JF10:JF14)</f>
        <v>664.3353750000003</v>
      </c>
      <c r="JG15" s="81"/>
      <c r="JH15" s="81">
        <f>SUM(JH10:JH14)</f>
        <v>13286.707500000008</v>
      </c>
      <c r="JI15" s="81"/>
      <c r="JJ15" s="81">
        <f>SUM(JJ10:JJ14)</f>
        <v>664.3353750000003</v>
      </c>
      <c r="JK15" s="81"/>
      <c r="JL15" s="81">
        <f>SUM(JL10:JL14)</f>
        <v>13286.707500000008</v>
      </c>
      <c r="JM15" s="81"/>
      <c r="JN15" s="81">
        <f>SUM(JN10:JN14)</f>
        <v>664.3353750000003</v>
      </c>
      <c r="JO15" s="81"/>
      <c r="JP15" s="81">
        <f>SUM(JP10:JP14)</f>
        <v>13286.707500000008</v>
      </c>
      <c r="JQ15" s="81"/>
      <c r="JR15" s="81">
        <f>SUM(JR10:JR14)</f>
        <v>664.3353750000003</v>
      </c>
      <c r="JS15" s="81"/>
      <c r="JT15" s="81">
        <f>SUM(JT10:JT14)</f>
        <v>13286.707500000008</v>
      </c>
      <c r="JU15" s="81"/>
      <c r="JV15" s="81">
        <f>SUM(JV10:JV14)</f>
        <v>664.3353750000003</v>
      </c>
      <c r="JW15" s="81"/>
      <c r="JX15" s="81">
        <f>SUM(JX10:JX14)</f>
        <v>13286.707500000008</v>
      </c>
      <c r="JY15" s="81"/>
      <c r="JZ15" s="81">
        <f>SUM(JZ10:JZ14)</f>
        <v>664.3353750000003</v>
      </c>
      <c r="KA15" s="81"/>
      <c r="KB15" s="81">
        <f>SUM(KB10:KB14)</f>
        <v>13286.707500000008</v>
      </c>
      <c r="KC15" s="81"/>
      <c r="KD15" s="81">
        <f>SUM(KD10:KD14)</f>
        <v>664.3353750000003</v>
      </c>
      <c r="KE15" s="81"/>
      <c r="KF15" s="81">
        <f>SUM(KF10:KF14)</f>
        <v>13286.707500000008</v>
      </c>
      <c r="KG15" s="81"/>
      <c r="KH15" s="81">
        <f>SUM(KH10:KH14)</f>
        <v>664.3353750000003</v>
      </c>
      <c r="KI15" s="81"/>
      <c r="KJ15" s="81">
        <f>SUM(KJ10:KJ14)</f>
        <v>13286.707500000008</v>
      </c>
      <c r="KK15" s="81"/>
      <c r="KL15" s="81">
        <f>SUM(KL10:KL14)</f>
        <v>664.3353750000003</v>
      </c>
      <c r="KM15" s="81"/>
      <c r="KN15" s="81">
        <f>SUM(KN10:KN14)</f>
        <v>13286.707500000008</v>
      </c>
      <c r="KO15" s="81"/>
      <c r="KP15" s="81">
        <f>SUM(KP10:KP14)</f>
        <v>664.3353750000003</v>
      </c>
      <c r="KQ15" s="81"/>
      <c r="KR15" s="81">
        <f>SUM(KR10:KR14)</f>
        <v>13286.707500000008</v>
      </c>
      <c r="KS15" s="81"/>
      <c r="KT15" s="81">
        <f>SUM(KT10:KT14)</f>
        <v>664.3353750000003</v>
      </c>
      <c r="KU15" s="81"/>
      <c r="KV15" s="81">
        <f>SUM(KV10:KV14)</f>
        <v>13286.707500000008</v>
      </c>
      <c r="KW15" s="81"/>
      <c r="KX15" s="81">
        <f>SUM(KX10:KX14)</f>
        <v>664.3353750000003</v>
      </c>
      <c r="KY15" s="81"/>
      <c r="KZ15" s="81">
        <f>SUM(KZ10:KZ14)</f>
        <v>13286.707500000008</v>
      </c>
      <c r="LB15" s="81">
        <f>SUM(LB10:LB14)</f>
        <v>7972.024500000005</v>
      </c>
      <c r="LC15" s="81"/>
      <c r="LD15" s="81">
        <f>SUM(LD10:LD14)</f>
        <v>159440.4900000001</v>
      </c>
    </row>
    <row r="16" ht="9.75" customHeight="1" spans="2:316" x14ac:dyDescent="0.25">
      <c r="B16" s="9"/>
      <c r="C16" s="30"/>
      <c r="D16" s="30"/>
      <c r="E16" s="30"/>
      <c r="F16" s="54"/>
      <c r="G16" s="54"/>
      <c r="H16" s="54"/>
      <c r="I16" s="54"/>
      <c r="J16" s="54"/>
      <c r="K16" s="54"/>
      <c r="L16" s="54"/>
      <c r="M16" s="54"/>
      <c r="N16" s="54"/>
      <c r="O16" s="54"/>
      <c r="P16" s="54"/>
      <c r="Q16" s="54"/>
      <c r="R16" s="54"/>
      <c r="S16" s="54"/>
      <c r="T16" s="54"/>
      <c r="U16" s="54"/>
      <c r="V16" s="54"/>
      <c r="W16" s="54"/>
      <c r="X16" s="54"/>
      <c r="Y16" s="54"/>
      <c r="Z16" s="54"/>
      <c r="AA16" s="54"/>
      <c r="AB16" s="54"/>
      <c r="AC16" s="54"/>
      <c r="AD16" s="54"/>
      <c r="AE16" s="54"/>
      <c r="AF16" s="54"/>
      <c r="AG16" s="54"/>
      <c r="AH16" s="54"/>
      <c r="AI16" s="54"/>
      <c r="AJ16" s="54"/>
      <c r="AK16" s="54"/>
      <c r="AL16" s="54"/>
      <c r="AM16" s="54"/>
      <c r="AN16" s="54"/>
      <c r="AO16" s="54"/>
      <c r="AP16" s="54"/>
      <c r="AQ16" s="54"/>
      <c r="AR16" s="54"/>
      <c r="AS16" s="54"/>
      <c r="AT16" s="54"/>
      <c r="AU16" s="54"/>
      <c r="AV16" s="54"/>
      <c r="AW16" s="54"/>
      <c r="AX16" s="54"/>
      <c r="AY16" s="54"/>
      <c r="AZ16" s="54"/>
      <c r="BA16" s="54"/>
      <c r="BB16" s="54"/>
      <c r="BC16" s="54"/>
      <c r="BD16" s="54"/>
      <c r="BF16" s="54"/>
      <c r="BG16" s="54"/>
      <c r="BH16" s="54"/>
      <c r="BI16" s="54"/>
      <c r="BJ16" s="54"/>
      <c r="BK16" s="54"/>
      <c r="BL16" s="54"/>
      <c r="BM16" s="54"/>
      <c r="BN16" s="54"/>
      <c r="BO16" s="54"/>
      <c r="BP16" s="54"/>
      <c r="BQ16" s="54"/>
      <c r="BR16" s="54"/>
      <c r="BS16" s="54"/>
      <c r="BT16" s="54"/>
      <c r="BU16" s="54"/>
      <c r="BV16" s="54"/>
      <c r="BW16" s="54"/>
      <c r="BX16" s="54"/>
      <c r="BY16" s="54"/>
      <c r="BZ16" s="54"/>
      <c r="CA16" s="54"/>
      <c r="CB16" s="54"/>
      <c r="CC16" s="54"/>
      <c r="CD16" s="54"/>
      <c r="CE16" s="54"/>
      <c r="CF16" s="54"/>
      <c r="CG16" s="54"/>
      <c r="CH16" s="54"/>
      <c r="CI16" s="54"/>
      <c r="CJ16" s="54"/>
      <c r="CK16" s="54"/>
      <c r="CL16" s="54"/>
      <c r="CM16" s="54"/>
      <c r="CN16" s="54"/>
      <c r="CO16" s="54"/>
      <c r="CP16" s="54"/>
      <c r="CQ16" s="54"/>
      <c r="CR16" s="54"/>
      <c r="CS16" s="54"/>
      <c r="CT16" s="54"/>
      <c r="CU16" s="54"/>
      <c r="CV16" s="54"/>
      <c r="CW16" s="54"/>
      <c r="CX16" s="54"/>
      <c r="CY16" s="54"/>
      <c r="CZ16" s="54"/>
      <c r="DA16" s="54"/>
      <c r="DB16" s="54"/>
      <c r="DC16" s="54"/>
      <c r="DD16" s="54"/>
      <c r="DF16" s="54"/>
      <c r="DG16" s="54"/>
      <c r="DH16" s="54"/>
      <c r="DI16" s="54"/>
      <c r="DJ16" s="54"/>
      <c r="DK16" s="54"/>
      <c r="DL16" s="54"/>
      <c r="DM16" s="54"/>
      <c r="DN16" s="54"/>
      <c r="DO16" s="54"/>
      <c r="DP16" s="54"/>
      <c r="DQ16" s="54"/>
      <c r="DR16" s="54"/>
      <c r="DS16" s="54"/>
      <c r="DT16" s="54"/>
      <c r="DU16" s="54"/>
      <c r="DV16" s="54"/>
      <c r="DW16" s="54"/>
      <c r="DX16" s="54"/>
      <c r="DY16" s="54"/>
      <c r="DZ16" s="54"/>
      <c r="EA16" s="54"/>
      <c r="EB16" s="54"/>
      <c r="EC16" s="54"/>
      <c r="ED16" s="54"/>
      <c r="EE16" s="54"/>
      <c r="EF16" s="54"/>
      <c r="EG16" s="54"/>
      <c r="EH16" s="54"/>
      <c r="EI16" s="54"/>
      <c r="EJ16" s="54"/>
      <c r="EK16" s="54"/>
      <c r="EL16" s="54"/>
      <c r="EM16" s="54"/>
      <c r="EN16" s="54"/>
      <c r="EO16" s="54"/>
      <c r="EP16" s="54"/>
      <c r="EQ16" s="54"/>
      <c r="ER16" s="54"/>
      <c r="ES16" s="54"/>
      <c r="ET16" s="54"/>
      <c r="EU16" s="54"/>
      <c r="EV16" s="54"/>
      <c r="EW16" s="54"/>
      <c r="EX16" s="54"/>
      <c r="EY16" s="54"/>
      <c r="EZ16" s="54"/>
      <c r="FA16" s="54"/>
      <c r="FB16" s="54"/>
      <c r="FC16" s="54"/>
      <c r="FD16" s="54"/>
      <c r="FF16" s="54"/>
      <c r="FG16" s="54"/>
      <c r="FH16" s="54"/>
      <c r="FI16" s="54"/>
      <c r="FJ16" s="54"/>
      <c r="FK16" s="54"/>
      <c r="FL16" s="54"/>
      <c r="FM16" s="54"/>
      <c r="FN16" s="54"/>
      <c r="FO16" s="54"/>
      <c r="FP16" s="54"/>
      <c r="FQ16" s="54"/>
      <c r="FR16" s="54"/>
      <c r="FS16" s="54"/>
      <c r="FT16" s="54"/>
      <c r="FU16" s="54"/>
      <c r="FV16" s="54"/>
      <c r="FW16" s="54"/>
      <c r="FX16" s="54"/>
      <c r="FY16" s="54"/>
      <c r="FZ16" s="54"/>
      <c r="GA16" s="54"/>
      <c r="GB16" s="54"/>
      <c r="GC16" s="54"/>
      <c r="GD16" s="54"/>
      <c r="GE16" s="54"/>
      <c r="GF16" s="54"/>
      <c r="GG16" s="54"/>
      <c r="GH16" s="54"/>
      <c r="GI16" s="54"/>
      <c r="GJ16" s="54"/>
      <c r="GK16" s="54"/>
      <c r="GL16" s="54"/>
      <c r="GM16" s="54"/>
      <c r="GN16" s="54"/>
      <c r="GO16" s="54"/>
      <c r="GP16" s="54"/>
      <c r="GQ16" s="54"/>
      <c r="GR16" s="54"/>
      <c r="GS16" s="54"/>
      <c r="GT16" s="54"/>
      <c r="GU16" s="54"/>
      <c r="GV16" s="54"/>
      <c r="GW16" s="54"/>
      <c r="GX16" s="54"/>
      <c r="GY16" s="54"/>
      <c r="GZ16" s="54"/>
      <c r="HB16" s="54"/>
      <c r="HC16" s="54"/>
      <c r="HD16" s="54"/>
      <c r="HF16" s="54"/>
      <c r="HG16" s="54"/>
      <c r="HH16" s="54"/>
      <c r="HI16" s="54"/>
      <c r="HJ16" s="54"/>
      <c r="HK16" s="54"/>
      <c r="HL16" s="54"/>
      <c r="HM16" s="54"/>
      <c r="HN16" s="54"/>
      <c r="HO16" s="54"/>
      <c r="HP16" s="54"/>
      <c r="HQ16" s="54"/>
      <c r="HR16" s="54"/>
      <c r="HS16" s="54"/>
      <c r="HT16" s="54"/>
      <c r="HU16" s="54"/>
      <c r="HV16" s="54"/>
      <c r="HW16" s="54"/>
      <c r="HX16" s="54"/>
      <c r="HY16" s="54"/>
      <c r="HZ16" s="54"/>
      <c r="IA16" s="54"/>
      <c r="IB16" s="54"/>
      <c r="IC16" s="54"/>
      <c r="ID16" s="54"/>
      <c r="IE16" s="54"/>
      <c r="IF16" s="54"/>
      <c r="IG16" s="54"/>
      <c r="IH16" s="54"/>
      <c r="II16" s="54"/>
      <c r="IJ16" s="54"/>
      <c r="IK16" s="54"/>
      <c r="IL16" s="54"/>
      <c r="IM16" s="54"/>
      <c r="IN16" s="54"/>
      <c r="IO16" s="54"/>
      <c r="IP16" s="54"/>
      <c r="IQ16" s="54"/>
      <c r="IR16" s="54"/>
      <c r="IS16" s="54"/>
      <c r="IT16" s="54"/>
      <c r="IU16" s="54"/>
      <c r="IV16" s="54"/>
      <c r="IW16" s="54"/>
      <c r="IX16" s="54"/>
      <c r="IY16" s="54"/>
      <c r="IZ16" s="54"/>
      <c r="JB16" s="54"/>
      <c r="JC16" s="54"/>
      <c r="JD16" s="54"/>
      <c r="JF16" s="54"/>
      <c r="JG16" s="54"/>
      <c r="JH16" s="54"/>
      <c r="JI16" s="54"/>
      <c r="JJ16" s="54"/>
      <c r="JK16" s="54"/>
      <c r="JL16" s="54"/>
      <c r="JM16" s="54"/>
      <c r="JN16" s="54"/>
      <c r="JO16" s="54"/>
      <c r="JP16" s="54"/>
      <c r="JQ16" s="54"/>
      <c r="JR16" s="54"/>
      <c r="JS16" s="54"/>
      <c r="JT16" s="54"/>
      <c r="JU16" s="54"/>
      <c r="JV16" s="54"/>
      <c r="JW16" s="54"/>
      <c r="JX16" s="54"/>
      <c r="JY16" s="54"/>
      <c r="JZ16" s="54"/>
      <c r="KA16" s="54"/>
      <c r="KB16" s="54"/>
      <c r="KC16" s="54"/>
      <c r="KD16" s="54"/>
      <c r="KE16" s="54"/>
      <c r="KF16" s="54"/>
      <c r="KG16" s="54"/>
      <c r="KH16" s="54"/>
      <c r="KI16" s="54"/>
      <c r="KJ16" s="54"/>
      <c r="KK16" s="54"/>
      <c r="KL16" s="54"/>
      <c r="KM16" s="54"/>
      <c r="KN16" s="54"/>
      <c r="KO16" s="54"/>
      <c r="KP16" s="54"/>
      <c r="KQ16" s="54"/>
      <c r="KR16" s="54"/>
      <c r="KS16" s="54"/>
      <c r="KT16" s="54"/>
      <c r="KU16" s="54"/>
      <c r="KV16" s="54"/>
      <c r="KW16" s="54"/>
      <c r="KX16" s="54"/>
      <c r="KY16" s="54"/>
      <c r="KZ16" s="54"/>
      <c r="LB16" s="54"/>
      <c r="LC16" s="54"/>
      <c r="LD16" s="54"/>
    </row>
    <row r="17" ht="18.75" customHeight="1" spans="2:316" x14ac:dyDescent="0.25">
      <c r="B17" s="9"/>
      <c r="C17" s="30"/>
      <c r="D17" s="28"/>
      <c r="E17" s="28"/>
      <c r="F17" s="28"/>
      <c r="G17" s="54"/>
      <c r="H17" s="54"/>
      <c r="I17" s="54"/>
      <c r="J17" s="78">
        <f>'A.I Revenue Streams - P2'!K19+100%</f>
        <v>1.1</v>
      </c>
      <c r="K17" s="78">
        <f>$K$8</f>
        <v>1</v>
      </c>
      <c r="L17" s="77"/>
      <c r="M17" s="77"/>
      <c r="N17" s="78">
        <v>1</v>
      </c>
      <c r="O17" s="78">
        <v>1</v>
      </c>
      <c r="P17" s="77"/>
      <c r="Q17" s="77"/>
      <c r="R17" s="78">
        <f>N17</f>
        <v>1</v>
      </c>
      <c r="S17" s="78">
        <v>1</v>
      </c>
      <c r="T17" s="77"/>
      <c r="U17" s="77"/>
      <c r="V17" s="78">
        <f>R17</f>
        <v>1</v>
      </c>
      <c r="W17" s="78">
        <v>1</v>
      </c>
      <c r="X17" s="77"/>
      <c r="Y17" s="77"/>
      <c r="Z17" s="78">
        <f>V17</f>
        <v>1</v>
      </c>
      <c r="AA17" s="78">
        <v>1</v>
      </c>
      <c r="AB17" s="77"/>
      <c r="AC17" s="77"/>
      <c r="AD17" s="78">
        <f>Z17</f>
        <v>1</v>
      </c>
      <c r="AE17" s="78">
        <v>1</v>
      </c>
      <c r="AF17" s="77"/>
      <c r="AG17" s="77"/>
      <c r="AH17" s="78">
        <f>AD17</f>
        <v>1</v>
      </c>
      <c r="AI17" s="78">
        <v>1</v>
      </c>
      <c r="AJ17" s="77"/>
      <c r="AK17" s="77"/>
      <c r="AL17" s="78">
        <f>AH17</f>
        <v>1</v>
      </c>
      <c r="AM17" s="78">
        <v>1</v>
      </c>
      <c r="AN17" s="77"/>
      <c r="AO17" s="54"/>
      <c r="AP17" s="78">
        <f>AL17</f>
        <v>1</v>
      </c>
      <c r="AQ17" s="78">
        <v>1</v>
      </c>
      <c r="AR17" s="77"/>
      <c r="AS17" s="77"/>
      <c r="AT17" s="78">
        <f>AP17</f>
        <v>1</v>
      </c>
      <c r="AU17" s="78">
        <v>1</v>
      </c>
      <c r="AV17" s="77"/>
      <c r="AW17" s="77"/>
      <c r="AX17" s="78">
        <f>AT17</f>
        <v>1</v>
      </c>
      <c r="AY17" s="78">
        <v>1</v>
      </c>
      <c r="AZ17" s="77"/>
      <c r="BA17" s="54"/>
      <c r="BB17" s="54"/>
      <c r="BC17" s="54"/>
      <c r="BD17" s="54"/>
      <c r="BF17" s="78">
        <f>'A.I Revenue Streams - P2'!M19+100%</f>
        <v>1.1</v>
      </c>
      <c r="BG17" s="78">
        <v>1</v>
      </c>
      <c r="BH17" s="77"/>
      <c r="BI17" s="54"/>
      <c r="BJ17" s="78">
        <v>1</v>
      </c>
      <c r="BK17" s="78">
        <v>1</v>
      </c>
      <c r="BL17" s="77"/>
      <c r="BM17" s="77"/>
      <c r="BN17" s="78">
        <f>BJ17</f>
        <v>1</v>
      </c>
      <c r="BO17" s="78">
        <v>1</v>
      </c>
      <c r="BP17" s="77"/>
      <c r="BQ17" s="77"/>
      <c r="BR17" s="79">
        <f>BN17</f>
        <v>1</v>
      </c>
      <c r="BS17" s="79">
        <v>1</v>
      </c>
      <c r="BT17" s="77"/>
      <c r="BU17" s="77"/>
      <c r="BV17" s="78">
        <f>BR17</f>
        <v>1</v>
      </c>
      <c r="BW17" s="78">
        <v>1</v>
      </c>
      <c r="BX17" s="77"/>
      <c r="BY17" s="77"/>
      <c r="BZ17" s="78">
        <f>BV17</f>
        <v>1</v>
      </c>
      <c r="CA17" s="78">
        <v>1</v>
      </c>
      <c r="CB17" s="77"/>
      <c r="CC17" s="77"/>
      <c r="CD17" s="79">
        <f>BZ17</f>
        <v>1</v>
      </c>
      <c r="CE17" s="79">
        <v>1</v>
      </c>
      <c r="CF17" s="77"/>
      <c r="CG17" s="77"/>
      <c r="CH17" s="78">
        <f>CD17</f>
        <v>1</v>
      </c>
      <c r="CI17" s="78">
        <v>1</v>
      </c>
      <c r="CJ17" s="77"/>
      <c r="CK17" s="77"/>
      <c r="CL17" s="78">
        <f>CH17</f>
        <v>1</v>
      </c>
      <c r="CM17" s="78">
        <v>1</v>
      </c>
      <c r="CN17" s="77"/>
      <c r="CO17" s="77"/>
      <c r="CP17" s="78">
        <f>CL17</f>
        <v>1</v>
      </c>
      <c r="CQ17" s="78">
        <v>1</v>
      </c>
      <c r="CR17" s="77"/>
      <c r="CS17" s="77"/>
      <c r="CT17" s="78">
        <f>CP17</f>
        <v>1</v>
      </c>
      <c r="CU17" s="78">
        <v>1</v>
      </c>
      <c r="CV17" s="77"/>
      <c r="CW17" s="77"/>
      <c r="CX17" s="79">
        <f>CT17</f>
        <v>1</v>
      </c>
      <c r="CY17" s="79">
        <v>1</v>
      </c>
      <c r="CZ17" s="77"/>
      <c r="DA17" s="77"/>
      <c r="DB17" s="78">
        <f>'A.I Revenue Streams - P2'!M19+100%</f>
        <v>1.1</v>
      </c>
      <c r="DC17" s="78">
        <f>$DC$8</f>
        <v>1</v>
      </c>
      <c r="DD17" s="54"/>
      <c r="DF17" s="78">
        <f>'A.I Revenue Streams - P2'!O19+100%</f>
        <v>1.1</v>
      </c>
      <c r="DG17" s="78">
        <v>1</v>
      </c>
      <c r="DH17" s="77"/>
      <c r="DI17" s="54"/>
      <c r="DJ17" s="78">
        <v>1</v>
      </c>
      <c r="DK17" s="78">
        <v>1</v>
      </c>
      <c r="DL17" s="77"/>
      <c r="DM17" s="77"/>
      <c r="DN17" s="78">
        <f>DJ17</f>
        <v>1</v>
      </c>
      <c r="DO17" s="78">
        <v>1</v>
      </c>
      <c r="DP17" s="77"/>
      <c r="DQ17" s="77"/>
      <c r="DR17" s="79">
        <f>DN17</f>
        <v>1</v>
      </c>
      <c r="DS17" s="79">
        <v>1</v>
      </c>
      <c r="DT17" s="77"/>
      <c r="DU17" s="77"/>
      <c r="DV17" s="78">
        <f>DR17</f>
        <v>1</v>
      </c>
      <c r="DW17" s="78">
        <v>1</v>
      </c>
      <c r="DX17" s="77"/>
      <c r="DY17" s="77"/>
      <c r="DZ17" s="78">
        <f>DV17</f>
        <v>1</v>
      </c>
      <c r="EA17" s="78">
        <v>1</v>
      </c>
      <c r="EB17" s="77"/>
      <c r="EC17" s="77"/>
      <c r="ED17" s="79">
        <f>DZ17</f>
        <v>1</v>
      </c>
      <c r="EE17" s="79">
        <v>1</v>
      </c>
      <c r="EF17" s="77"/>
      <c r="EG17" s="77"/>
      <c r="EH17" s="78">
        <f>ED17</f>
        <v>1</v>
      </c>
      <c r="EI17" s="78">
        <v>1</v>
      </c>
      <c r="EJ17" s="77"/>
      <c r="EK17" s="77"/>
      <c r="EL17" s="78">
        <f>EH17</f>
        <v>1</v>
      </c>
      <c r="EM17" s="78">
        <v>1</v>
      </c>
      <c r="EN17" s="77"/>
      <c r="EO17" s="77"/>
      <c r="EP17" s="78">
        <f>EL17</f>
        <v>1</v>
      </c>
      <c r="EQ17" s="78">
        <v>1</v>
      </c>
      <c r="ER17" s="77"/>
      <c r="ES17" s="77"/>
      <c r="ET17" s="78">
        <f>EP17</f>
        <v>1</v>
      </c>
      <c r="EU17" s="78">
        <v>1</v>
      </c>
      <c r="EV17" s="77"/>
      <c r="EW17" s="77"/>
      <c r="EX17" s="79">
        <f>ET17</f>
        <v>1</v>
      </c>
      <c r="EY17" s="79">
        <v>1</v>
      </c>
      <c r="EZ17" s="77"/>
      <c r="FA17" s="77"/>
      <c r="FB17" s="78">
        <f>'A.I Revenue Streams - P2'!O19+100%</f>
        <v>1.1</v>
      </c>
      <c r="FC17" s="78">
        <v>1</v>
      </c>
      <c r="FD17" s="54"/>
      <c r="FE17" s="28"/>
      <c r="FF17" s="78">
        <f>'A.I Revenue Streams - P2'!Q19+100%</f>
        <v>1.1</v>
      </c>
      <c r="FG17" s="78">
        <v>1</v>
      </c>
      <c r="FH17" s="77"/>
      <c r="FI17" s="54"/>
      <c r="FJ17" s="78">
        <v>1</v>
      </c>
      <c r="FK17" s="78">
        <v>1</v>
      </c>
      <c r="FL17" s="77"/>
      <c r="FM17" s="77"/>
      <c r="FN17" s="78">
        <f>FJ17</f>
        <v>1</v>
      </c>
      <c r="FO17" s="78">
        <v>1</v>
      </c>
      <c r="FP17" s="77"/>
      <c r="FQ17" s="77"/>
      <c r="FR17" s="79">
        <f>FN17</f>
        <v>1</v>
      </c>
      <c r="FS17" s="79">
        <v>1</v>
      </c>
      <c r="FT17" s="77"/>
      <c r="FU17" s="77"/>
      <c r="FV17" s="78">
        <f>FR17</f>
        <v>1</v>
      </c>
      <c r="FW17" s="78">
        <v>1</v>
      </c>
      <c r="FX17" s="77"/>
      <c r="FY17" s="77"/>
      <c r="FZ17" s="78">
        <f>FV17</f>
        <v>1</v>
      </c>
      <c r="GA17" s="78">
        <v>1</v>
      </c>
      <c r="GB17" s="77"/>
      <c r="GC17" s="77"/>
      <c r="GD17" s="79">
        <f>FZ17</f>
        <v>1</v>
      </c>
      <c r="GE17" s="79">
        <v>1</v>
      </c>
      <c r="GF17" s="77"/>
      <c r="GG17" s="77"/>
      <c r="GH17" s="78">
        <f>GD17</f>
        <v>1</v>
      </c>
      <c r="GI17" s="78">
        <v>1</v>
      </c>
      <c r="GJ17" s="77"/>
      <c r="GK17" s="77"/>
      <c r="GL17" s="78">
        <f>GH17</f>
        <v>1</v>
      </c>
      <c r="GM17" s="78">
        <v>1</v>
      </c>
      <c r="GN17" s="77"/>
      <c r="GO17" s="77"/>
      <c r="GP17" s="78">
        <f>GL17</f>
        <v>1</v>
      </c>
      <c r="GQ17" s="78">
        <v>1</v>
      </c>
      <c r="GR17" s="77"/>
      <c r="GS17" s="77"/>
      <c r="GT17" s="78">
        <f>GP17</f>
        <v>1</v>
      </c>
      <c r="GU17" s="78">
        <v>1</v>
      </c>
      <c r="GV17" s="77"/>
      <c r="GW17" s="77"/>
      <c r="GX17" s="79">
        <f>GT17</f>
        <v>1</v>
      </c>
      <c r="GY17" s="79">
        <v>1</v>
      </c>
      <c r="GZ17" s="77"/>
      <c r="HA17" s="28"/>
      <c r="HB17" s="78">
        <f>'A.I Revenue Streams - P2'!Q19+100%</f>
        <v>1.1</v>
      </c>
      <c r="HC17" s="78">
        <v>1</v>
      </c>
      <c r="HD17" s="54"/>
      <c r="HE17" s="28"/>
      <c r="HF17" s="78">
        <f>'A.I Revenue Streams - P2'!S19+100%</f>
        <v>1.1</v>
      </c>
      <c r="HG17" s="78">
        <v>1</v>
      </c>
      <c r="HH17" s="77"/>
      <c r="HI17" s="54"/>
      <c r="HJ17" s="78">
        <v>1</v>
      </c>
      <c r="HK17" s="78">
        <v>1</v>
      </c>
      <c r="HL17" s="77"/>
      <c r="HM17" s="77"/>
      <c r="HN17" s="78">
        <f>HJ17</f>
        <v>1</v>
      </c>
      <c r="HO17" s="78">
        <v>1</v>
      </c>
      <c r="HP17" s="77"/>
      <c r="HQ17" s="77"/>
      <c r="HR17" s="79">
        <f>HN17</f>
        <v>1</v>
      </c>
      <c r="HS17" s="79">
        <v>1</v>
      </c>
      <c r="HT17" s="77"/>
      <c r="HU17" s="77"/>
      <c r="HV17" s="78">
        <f>HR17</f>
        <v>1</v>
      </c>
      <c r="HW17" s="78">
        <v>1</v>
      </c>
      <c r="HX17" s="77"/>
      <c r="HY17" s="77"/>
      <c r="HZ17" s="78">
        <f>HV17</f>
        <v>1</v>
      </c>
      <c r="IA17" s="78">
        <v>1</v>
      </c>
      <c r="IB17" s="77"/>
      <c r="IC17" s="77"/>
      <c r="ID17" s="79">
        <f>HZ17</f>
        <v>1</v>
      </c>
      <c r="IE17" s="79">
        <v>1</v>
      </c>
      <c r="IF17" s="77"/>
      <c r="IG17" s="77"/>
      <c r="IH17" s="78">
        <f>ID17</f>
        <v>1</v>
      </c>
      <c r="II17" s="78">
        <v>1</v>
      </c>
      <c r="IJ17" s="77"/>
      <c r="IK17" s="77"/>
      <c r="IL17" s="78">
        <f>IH17</f>
        <v>1</v>
      </c>
      <c r="IM17" s="78">
        <v>1</v>
      </c>
      <c r="IN17" s="77"/>
      <c r="IO17" s="77"/>
      <c r="IP17" s="78">
        <f>IL17</f>
        <v>1</v>
      </c>
      <c r="IQ17" s="78">
        <v>1</v>
      </c>
      <c r="IR17" s="77"/>
      <c r="IS17" s="77"/>
      <c r="IT17" s="78">
        <f>IP17</f>
        <v>1</v>
      </c>
      <c r="IU17" s="78">
        <v>1</v>
      </c>
      <c r="IV17" s="77"/>
      <c r="IW17" s="77"/>
      <c r="IX17" s="79">
        <f>IT17</f>
        <v>1</v>
      </c>
      <c r="IY17" s="79">
        <v>1</v>
      </c>
      <c r="IZ17" s="77"/>
      <c r="JA17" s="28"/>
      <c r="JB17" s="78">
        <f>'A.I Revenue Streams - P2'!S19+100%</f>
        <v>1.1</v>
      </c>
      <c r="JC17" s="78">
        <v>1</v>
      </c>
      <c r="JD17" s="54"/>
      <c r="JE17" s="28"/>
      <c r="JF17" s="78">
        <f>'A.I Revenue Streams - P2'!U19+100%</f>
        <v>1.1</v>
      </c>
      <c r="JG17" s="78">
        <v>1</v>
      </c>
      <c r="JH17" s="77"/>
      <c r="JI17" s="54"/>
      <c r="JJ17" s="78">
        <v>1</v>
      </c>
      <c r="JK17" s="78">
        <v>1</v>
      </c>
      <c r="JL17" s="77"/>
      <c r="JM17" s="77"/>
      <c r="JN17" s="78">
        <f>JJ17</f>
        <v>1</v>
      </c>
      <c r="JO17" s="78">
        <v>1</v>
      </c>
      <c r="JP17" s="77"/>
      <c r="JQ17" s="77"/>
      <c r="JR17" s="79">
        <f>JN17</f>
        <v>1</v>
      </c>
      <c r="JS17" s="79">
        <v>1</v>
      </c>
      <c r="JT17" s="77"/>
      <c r="JU17" s="77"/>
      <c r="JV17" s="78">
        <f>JR17</f>
        <v>1</v>
      </c>
      <c r="JW17" s="78">
        <v>1</v>
      </c>
      <c r="JX17" s="77"/>
      <c r="JY17" s="77"/>
      <c r="JZ17" s="78">
        <f>JV17</f>
        <v>1</v>
      </c>
      <c r="KA17" s="78">
        <v>1</v>
      </c>
      <c r="KB17" s="77"/>
      <c r="KC17" s="77"/>
      <c r="KD17" s="79">
        <f>JZ17</f>
        <v>1</v>
      </c>
      <c r="KE17" s="79">
        <v>1</v>
      </c>
      <c r="KF17" s="77"/>
      <c r="KG17" s="77"/>
      <c r="KH17" s="78">
        <f>KD17</f>
        <v>1</v>
      </c>
      <c r="KI17" s="78">
        <v>1</v>
      </c>
      <c r="KJ17" s="77"/>
      <c r="KK17" s="77"/>
      <c r="KL17" s="78">
        <f>KH17</f>
        <v>1</v>
      </c>
      <c r="KM17" s="78">
        <v>1</v>
      </c>
      <c r="KN17" s="77"/>
      <c r="KO17" s="77"/>
      <c r="KP17" s="78">
        <f>KL17</f>
        <v>1</v>
      </c>
      <c r="KQ17" s="78">
        <v>1</v>
      </c>
      <c r="KR17" s="77"/>
      <c r="KS17" s="77"/>
      <c r="KT17" s="78">
        <f>KP17</f>
        <v>1</v>
      </c>
      <c r="KU17" s="78">
        <v>1</v>
      </c>
      <c r="KV17" s="77"/>
      <c r="KW17" s="77"/>
      <c r="KX17" s="79">
        <f>KT17</f>
        <v>1</v>
      </c>
      <c r="KY17" s="79">
        <v>1</v>
      </c>
      <c r="KZ17" s="77"/>
      <c r="LA17" s="28"/>
      <c r="LB17" s="78">
        <f>'A.I Revenue Streams - P2'!U19+100%</f>
        <v>1.1</v>
      </c>
      <c r="LC17" s="78">
        <v>1</v>
      </c>
      <c r="LD17" s="54"/>
    </row>
    <row r="18" ht="18.75" customHeight="1" spans="2:316" x14ac:dyDescent="0.25">
      <c r="B18" s="5">
        <v>2</v>
      </c>
      <c r="C18" s="29" t="str">
        <f>'A.I Revenue Streams - P1'!D18</f>
        <v>Advertisement</v>
      </c>
      <c r="D18" s="27"/>
      <c r="E18" s="28"/>
      <c r="F18" s="51"/>
      <c r="G18" s="51"/>
      <c r="H18" s="51"/>
      <c r="I18" s="54"/>
      <c r="J18" s="51"/>
      <c r="K18" s="51"/>
      <c r="L18" s="51"/>
      <c r="M18" s="54"/>
      <c r="N18" s="51"/>
      <c r="O18" s="51"/>
      <c r="P18" s="51"/>
      <c r="Q18" s="54"/>
      <c r="R18" s="51"/>
      <c r="S18" s="51"/>
      <c r="T18" s="51"/>
      <c r="U18" s="54"/>
      <c r="V18" s="51"/>
      <c r="W18" s="51"/>
      <c r="X18" s="51"/>
      <c r="Y18" s="54"/>
      <c r="Z18" s="51"/>
      <c r="AA18" s="51"/>
      <c r="AB18" s="51"/>
      <c r="AC18" s="54"/>
      <c r="AD18" s="51"/>
      <c r="AE18" s="51"/>
      <c r="AF18" s="51"/>
      <c r="AG18" s="54"/>
      <c r="AH18" s="51"/>
      <c r="AI18" s="51"/>
      <c r="AJ18" s="51"/>
      <c r="AK18" s="54"/>
      <c r="AL18" s="51"/>
      <c r="AM18" s="51"/>
      <c r="AN18" s="51"/>
      <c r="AO18" s="54"/>
      <c r="AP18" s="51"/>
      <c r="AQ18" s="51"/>
      <c r="AR18" s="51"/>
      <c r="AS18" s="54"/>
      <c r="AT18" s="51"/>
      <c r="AU18" s="51"/>
      <c r="AV18" s="51"/>
      <c r="AW18" s="54"/>
      <c r="AX18" s="51"/>
      <c r="AY18" s="51"/>
      <c r="AZ18" s="51"/>
      <c r="BA18" s="54"/>
      <c r="BB18" s="80"/>
      <c r="BC18" s="80"/>
      <c r="BD18" s="80"/>
      <c r="BF18" s="51"/>
      <c r="BG18" s="51"/>
      <c r="BH18" s="51"/>
      <c r="BI18" s="54"/>
      <c r="BJ18" s="51"/>
      <c r="BK18" s="51"/>
      <c r="BL18" s="51"/>
      <c r="BM18" s="54"/>
      <c r="BN18" s="51"/>
      <c r="BO18" s="51"/>
      <c r="BP18" s="51"/>
      <c r="BQ18" s="54"/>
      <c r="BR18" s="51"/>
      <c r="BS18" s="51"/>
      <c r="BT18" s="51"/>
      <c r="BU18" s="54"/>
      <c r="BV18" s="51"/>
      <c r="BW18" s="51"/>
      <c r="BX18" s="51"/>
      <c r="BY18" s="54"/>
      <c r="BZ18" s="51"/>
      <c r="CA18" s="51"/>
      <c r="CB18" s="51"/>
      <c r="CC18" s="54"/>
      <c r="CD18" s="51"/>
      <c r="CE18" s="51"/>
      <c r="CF18" s="51"/>
      <c r="CG18" s="54"/>
      <c r="CH18" s="51"/>
      <c r="CI18" s="51"/>
      <c r="CJ18" s="51"/>
      <c r="CK18" s="54"/>
      <c r="CL18" s="51"/>
      <c r="CM18" s="51"/>
      <c r="CN18" s="51"/>
      <c r="CO18" s="54"/>
      <c r="CP18" s="51"/>
      <c r="CQ18" s="51"/>
      <c r="CR18" s="51"/>
      <c r="CS18" s="54"/>
      <c r="CT18" s="51"/>
      <c r="CU18" s="51"/>
      <c r="CV18" s="51"/>
      <c r="CW18" s="54"/>
      <c r="CX18" s="51"/>
      <c r="CY18" s="51"/>
      <c r="CZ18" s="51"/>
      <c r="DA18" s="54"/>
      <c r="DB18" s="80"/>
      <c r="DC18" s="80"/>
      <c r="DD18" s="80"/>
      <c r="DF18" s="51"/>
      <c r="DG18" s="51"/>
      <c r="DH18" s="51"/>
      <c r="DI18" s="54"/>
      <c r="DJ18" s="51"/>
      <c r="DK18" s="51"/>
      <c r="DL18" s="51"/>
      <c r="DM18" s="54"/>
      <c r="DN18" s="51"/>
      <c r="DO18" s="51"/>
      <c r="DP18" s="51"/>
      <c r="DQ18" s="54"/>
      <c r="DR18" s="51"/>
      <c r="DS18" s="51"/>
      <c r="DT18" s="51"/>
      <c r="DU18" s="54"/>
      <c r="DV18" s="51"/>
      <c r="DW18" s="51"/>
      <c r="DX18" s="51"/>
      <c r="DY18" s="54"/>
      <c r="DZ18" s="51"/>
      <c r="EA18" s="51"/>
      <c r="EB18" s="51"/>
      <c r="EC18" s="54"/>
      <c r="ED18" s="51"/>
      <c r="EE18" s="51"/>
      <c r="EF18" s="51"/>
      <c r="EG18" s="54"/>
      <c r="EH18" s="51"/>
      <c r="EI18" s="51"/>
      <c r="EJ18" s="51"/>
      <c r="EK18" s="54"/>
      <c r="EL18" s="51"/>
      <c r="EM18" s="51"/>
      <c r="EN18" s="51"/>
      <c r="EO18" s="54"/>
      <c r="EP18" s="51"/>
      <c r="EQ18" s="51"/>
      <c r="ER18" s="51"/>
      <c r="ES18" s="54"/>
      <c r="ET18" s="51"/>
      <c r="EU18" s="51"/>
      <c r="EV18" s="51"/>
      <c r="EW18" s="54"/>
      <c r="EX18" s="51"/>
      <c r="EY18" s="51"/>
      <c r="EZ18" s="51"/>
      <c r="FA18" s="54"/>
      <c r="FB18" s="80"/>
      <c r="FC18" s="80"/>
      <c r="FD18" s="80"/>
      <c r="FF18" s="51"/>
      <c r="FG18" s="51"/>
      <c r="FH18" s="51"/>
      <c r="FI18" s="54"/>
      <c r="FJ18" s="51"/>
      <c r="FK18" s="51"/>
      <c r="FL18" s="51"/>
      <c r="FM18" s="54"/>
      <c r="FN18" s="51"/>
      <c r="FO18" s="51"/>
      <c r="FP18" s="51"/>
      <c r="FQ18" s="54"/>
      <c r="FR18" s="51"/>
      <c r="FS18" s="51"/>
      <c r="FT18" s="51"/>
      <c r="FU18" s="54"/>
      <c r="FV18" s="51"/>
      <c r="FW18" s="51"/>
      <c r="FX18" s="51"/>
      <c r="FY18" s="54"/>
      <c r="FZ18" s="51"/>
      <c r="GA18" s="51"/>
      <c r="GB18" s="51"/>
      <c r="GC18" s="54"/>
      <c r="GD18" s="51"/>
      <c r="GE18" s="51"/>
      <c r="GF18" s="51"/>
      <c r="GG18" s="54"/>
      <c r="GH18" s="51"/>
      <c r="GI18" s="51"/>
      <c r="GJ18" s="51"/>
      <c r="GK18" s="54"/>
      <c r="GL18" s="51"/>
      <c r="GM18" s="51"/>
      <c r="GN18" s="51"/>
      <c r="GO18" s="54"/>
      <c r="GP18" s="51"/>
      <c r="GQ18" s="51"/>
      <c r="GR18" s="51"/>
      <c r="GS18" s="54"/>
      <c r="GT18" s="51"/>
      <c r="GU18" s="51"/>
      <c r="GV18" s="51"/>
      <c r="GW18" s="54"/>
      <c r="GX18" s="51"/>
      <c r="GY18" s="51"/>
      <c r="GZ18" s="51"/>
      <c r="HB18" s="80"/>
      <c r="HC18" s="80"/>
      <c r="HD18" s="80"/>
      <c r="HF18" s="51"/>
      <c r="HG18" s="51"/>
      <c r="HH18" s="51"/>
      <c r="HI18" s="54"/>
      <c r="HJ18" s="51"/>
      <c r="HK18" s="51"/>
      <c r="HL18" s="51"/>
      <c r="HM18" s="54"/>
      <c r="HN18" s="51"/>
      <c r="HO18" s="51"/>
      <c r="HP18" s="51"/>
      <c r="HQ18" s="54"/>
      <c r="HR18" s="51"/>
      <c r="HS18" s="51"/>
      <c r="HT18" s="51"/>
      <c r="HU18" s="54"/>
      <c r="HV18" s="51"/>
      <c r="HW18" s="51"/>
      <c r="HX18" s="51"/>
      <c r="HY18" s="54"/>
      <c r="HZ18" s="51"/>
      <c r="IA18" s="51"/>
      <c r="IB18" s="51"/>
      <c r="IC18" s="54"/>
      <c r="ID18" s="51"/>
      <c r="IE18" s="51"/>
      <c r="IF18" s="51"/>
      <c r="IG18" s="54"/>
      <c r="IH18" s="51"/>
      <c r="II18" s="51"/>
      <c r="IJ18" s="51"/>
      <c r="IK18" s="54"/>
      <c r="IL18" s="51"/>
      <c r="IM18" s="51"/>
      <c r="IN18" s="51"/>
      <c r="IO18" s="54"/>
      <c r="IP18" s="51"/>
      <c r="IQ18" s="51"/>
      <c r="IR18" s="51"/>
      <c r="IS18" s="54"/>
      <c r="IT18" s="51"/>
      <c r="IU18" s="51"/>
      <c r="IV18" s="51"/>
      <c r="IW18" s="54"/>
      <c r="IX18" s="51"/>
      <c r="IY18" s="51"/>
      <c r="IZ18" s="51"/>
      <c r="JB18" s="80"/>
      <c r="JC18" s="80"/>
      <c r="JD18" s="80"/>
      <c r="JF18" s="51"/>
      <c r="JG18" s="51"/>
      <c r="JH18" s="51"/>
      <c r="JI18" s="54"/>
      <c r="JJ18" s="51"/>
      <c r="JK18" s="51"/>
      <c r="JL18" s="51"/>
      <c r="JM18" s="54"/>
      <c r="JN18" s="51"/>
      <c r="JO18" s="51"/>
      <c r="JP18" s="51"/>
      <c r="JQ18" s="54"/>
      <c r="JR18" s="51"/>
      <c r="JS18" s="51"/>
      <c r="JT18" s="51"/>
      <c r="JU18" s="54"/>
      <c r="JV18" s="51"/>
      <c r="JW18" s="51"/>
      <c r="JX18" s="51"/>
      <c r="JY18" s="54"/>
      <c r="JZ18" s="51"/>
      <c r="KA18" s="51"/>
      <c r="KB18" s="51"/>
      <c r="KC18" s="54"/>
      <c r="KD18" s="51"/>
      <c r="KE18" s="51"/>
      <c r="KF18" s="51"/>
      <c r="KG18" s="54"/>
      <c r="KH18" s="51"/>
      <c r="KI18" s="51"/>
      <c r="KJ18" s="51"/>
      <c r="KK18" s="54"/>
      <c r="KL18" s="51"/>
      <c r="KM18" s="51"/>
      <c r="KN18" s="51"/>
      <c r="KO18" s="54"/>
      <c r="KP18" s="51"/>
      <c r="KQ18" s="51"/>
      <c r="KR18" s="51"/>
      <c r="KS18" s="54"/>
      <c r="KT18" s="51"/>
      <c r="KU18" s="51"/>
      <c r="KV18" s="51"/>
      <c r="KW18" s="54"/>
      <c r="KX18" s="51"/>
      <c r="KY18" s="51"/>
      <c r="KZ18" s="51"/>
      <c r="LB18" s="80"/>
      <c r="LC18" s="80"/>
      <c r="LD18" s="80"/>
    </row>
    <row r="19" ht="18.75" customHeight="1" spans="2:316" x14ac:dyDescent="0.25">
      <c r="B19" s="5" t="s">
        <v>60</v>
      </c>
      <c r="C19" s="29"/>
      <c r="D19" s="29" t="str">
        <f>'A.I Revenue Streams - P1'!E19</f>
        <v>Advertisement</v>
      </c>
      <c r="E19" s="30"/>
      <c r="F19" s="51">
        <f>'A.I Revenue Streams - P2'!G19*25</f>
        <v>125</v>
      </c>
      <c r="G19" s="51">
        <f>'A.I Revenue Streams - P2'!I19</f>
        <v>20</v>
      </c>
      <c r="H19" s="51">
        <f>F19*G19</f>
        <v>2500</v>
      </c>
      <c r="I19" s="54"/>
      <c r="J19" s="51">
        <f>F19*$J$17</f>
        <v>137.5</v>
      </c>
      <c r="K19" s="51">
        <f>G19*$K$17</f>
        <v>20</v>
      </c>
      <c r="L19" s="51">
        <f>J19*K19</f>
        <v>2750</v>
      </c>
      <c r="M19" s="54"/>
      <c r="N19" s="51">
        <f>J19*$N$17</f>
        <v>137.5</v>
      </c>
      <c r="O19" s="51">
        <f>K19*$O$17</f>
        <v>20</v>
      </c>
      <c r="P19" s="51">
        <f>N19*O19</f>
        <v>2750</v>
      </c>
      <c r="Q19" s="54"/>
      <c r="R19" s="51">
        <f>N19*$R$17</f>
        <v>137.5</v>
      </c>
      <c r="S19" s="51">
        <f>O19*$S$17</f>
        <v>20</v>
      </c>
      <c r="T19" s="51">
        <f>R19*S19</f>
        <v>2750</v>
      </c>
      <c r="U19" s="54"/>
      <c r="V19" s="51">
        <f>R19*$V$17</f>
        <v>137.5</v>
      </c>
      <c r="W19" s="51">
        <f>S19*$W$17</f>
        <v>20</v>
      </c>
      <c r="X19" s="51">
        <f>V19*W19</f>
        <v>2750</v>
      </c>
      <c r="Y19" s="54"/>
      <c r="Z19" s="51">
        <f>V19*$Z$17</f>
        <v>137.5</v>
      </c>
      <c r="AA19" s="51">
        <f>W19*$AA$17</f>
        <v>20</v>
      </c>
      <c r="AB19" s="51">
        <f>Z19*AA19</f>
        <v>2750</v>
      </c>
      <c r="AC19" s="54"/>
      <c r="AD19" s="51">
        <f>Z19*$AD$17</f>
        <v>137.5</v>
      </c>
      <c r="AE19" s="51">
        <f>AA19*$AE$17</f>
        <v>20</v>
      </c>
      <c r="AF19" s="51">
        <f>AD19*AE19</f>
        <v>2750</v>
      </c>
      <c r="AG19" s="54"/>
      <c r="AH19" s="51">
        <f>AD19*$AH$17</f>
        <v>137.5</v>
      </c>
      <c r="AI19" s="51">
        <f>AE19*$AI$17</f>
        <v>20</v>
      </c>
      <c r="AJ19" s="51">
        <f>AH19*AI19</f>
        <v>2750</v>
      </c>
      <c r="AK19" s="54"/>
      <c r="AL19" s="51">
        <f>AH19*$AL$17</f>
        <v>137.5</v>
      </c>
      <c r="AM19" s="51">
        <f>AI19*$AM$17</f>
        <v>20</v>
      </c>
      <c r="AN19" s="51">
        <f>AL19*AM19</f>
        <v>2750</v>
      </c>
      <c r="AO19" s="54"/>
      <c r="AP19" s="51">
        <f>AL19*$AP$17</f>
        <v>137.5</v>
      </c>
      <c r="AQ19" s="51">
        <f>AM19*$AQ$17</f>
        <v>20</v>
      </c>
      <c r="AR19" s="51">
        <f>AP19*AQ19</f>
        <v>2750</v>
      </c>
      <c r="AS19" s="54"/>
      <c r="AT19" s="51">
        <f>AP19*$AT$17</f>
        <v>137.5</v>
      </c>
      <c r="AU19" s="51">
        <f>AQ19*$AU$17</f>
        <v>20</v>
      </c>
      <c r="AV19" s="51">
        <f>AT19*AU19</f>
        <v>2750</v>
      </c>
      <c r="AW19" s="54"/>
      <c r="AX19" s="51">
        <f>AT19*$AX$17</f>
        <v>137.5</v>
      </c>
      <c r="AY19" s="51">
        <f>AU19*$AY$17</f>
        <v>20</v>
      </c>
      <c r="AZ19" s="51">
        <f>AX19*AY19</f>
        <v>2750</v>
      </c>
      <c r="BA19" s="54"/>
      <c r="BB19" s="85">
        <f>SUMIF($F$6:$AZ$6,$BB$6,F19:AZ19)</f>
        <v>1637.5</v>
      </c>
      <c r="BC19" s="85">
        <f>SUMIF($F$6:$AZ$6,$BC$6,F19:AZ19)/12</f>
        <v>20</v>
      </c>
      <c r="BD19" s="80">
        <f>H19+L19+P19+T19+X19+AB19+AF19+AJ19+AN19</f>
        <v>24500</v>
      </c>
      <c r="BE19" t="b">
        <f>(BB19*BC19)=BD19</f>
        <v>0</v>
      </c>
      <c r="BF19" s="51">
        <f>AX19*$BF$17</f>
        <v>151.25</v>
      </c>
      <c r="BG19" s="51">
        <f>AY19*$BG$17</f>
        <v>20</v>
      </c>
      <c r="BH19" s="51">
        <f>BF19*BG19</f>
        <v>3025</v>
      </c>
      <c r="BI19" s="54"/>
      <c r="BJ19" s="51">
        <f>BF19*$BJ$17</f>
        <v>151.25</v>
      </c>
      <c r="BK19" s="51">
        <f>BG19*$BK$17</f>
        <v>20</v>
      </c>
      <c r="BL19" s="51">
        <f>BJ19*BK19</f>
        <v>3025</v>
      </c>
      <c r="BM19" s="54"/>
      <c r="BN19" s="51">
        <f>BJ19*$BN$17</f>
        <v>151.25</v>
      </c>
      <c r="BO19" s="51">
        <f>BK19*$BO$17</f>
        <v>20</v>
      </c>
      <c r="BP19" s="51">
        <f>BN19*BO19</f>
        <v>3025</v>
      </c>
      <c r="BQ19" s="54"/>
      <c r="BR19" s="51">
        <f>BN19*$BR$17</f>
        <v>151.25</v>
      </c>
      <c r="BS19" s="51">
        <f>BO19*$BS$17</f>
        <v>20</v>
      </c>
      <c r="BT19" s="51">
        <f>BR19*BS19</f>
        <v>3025</v>
      </c>
      <c r="BU19" s="54"/>
      <c r="BV19" s="51">
        <f>BR19*$BV$17</f>
        <v>151.25</v>
      </c>
      <c r="BW19" s="51">
        <f>BS19*$BW$17</f>
        <v>20</v>
      </c>
      <c r="BX19" s="51">
        <f>BV19*BW19</f>
        <v>3025</v>
      </c>
      <c r="BY19" s="54"/>
      <c r="BZ19" s="51">
        <f>BV19*$BZ$17</f>
        <v>151.25</v>
      </c>
      <c r="CA19" s="51">
        <f>BW19*$CA$17</f>
        <v>20</v>
      </c>
      <c r="CB19" s="51">
        <f>BZ19*CA19</f>
        <v>3025</v>
      </c>
      <c r="CC19" s="54"/>
      <c r="CD19" s="51">
        <f>BZ19*$CD$17</f>
        <v>151.25</v>
      </c>
      <c r="CE19" s="51">
        <f>CA19*$CE$17</f>
        <v>20</v>
      </c>
      <c r="CF19" s="51">
        <f>CD19*CE19</f>
        <v>3025</v>
      </c>
      <c r="CG19" s="54"/>
      <c r="CH19" s="51">
        <f>CD19*$CH$17</f>
        <v>151.25</v>
      </c>
      <c r="CI19" s="51">
        <f>CE19*$CI$17</f>
        <v>20</v>
      </c>
      <c r="CJ19" s="51">
        <f>CH19*CI19</f>
        <v>3025</v>
      </c>
      <c r="CK19" s="54"/>
      <c r="CL19" s="51">
        <f>CH19*$CL$17</f>
        <v>151.25</v>
      </c>
      <c r="CM19" s="51">
        <f>CI19*$CM$17</f>
        <v>20</v>
      </c>
      <c r="CN19" s="51">
        <f>CL19*CM19</f>
        <v>3025</v>
      </c>
      <c r="CO19" s="54"/>
      <c r="CP19" s="51">
        <f>CL19*$CP$17</f>
        <v>151.25</v>
      </c>
      <c r="CQ19" s="51">
        <f>CM19*$CQ$17</f>
        <v>20</v>
      </c>
      <c r="CR19" s="51">
        <f>CP19*CQ19</f>
        <v>3025</v>
      </c>
      <c r="CS19" s="54"/>
      <c r="CT19" s="51">
        <f>CP19*$CT$17</f>
        <v>151.25</v>
      </c>
      <c r="CU19" s="51">
        <f>CQ19*$CU$17</f>
        <v>20</v>
      </c>
      <c r="CV19" s="51">
        <f>CT19*CU19</f>
        <v>3025</v>
      </c>
      <c r="CW19" s="54"/>
      <c r="CX19" s="51">
        <f>CT19*$CX$17</f>
        <v>151.25</v>
      </c>
      <c r="CY19" s="51">
        <f>CU19*$CY$17</f>
        <v>20</v>
      </c>
      <c r="CZ19" s="51">
        <f>CX19*CY19</f>
        <v>3025</v>
      </c>
      <c r="DA19" s="54"/>
      <c r="DB19" s="80">
        <f>BF19+BJ19+BN19+BR19+BV19+BZ19+CD19+CH19+CL19+CP19+CT19+CX19</f>
        <v>1815</v>
      </c>
      <c r="DC19" s="80">
        <f>(BG19+BK19+BO19+BS19+BW19+CA19+CE19+CI19+CM19+CQ19+CU19+CY19)/12</f>
        <v>20</v>
      </c>
      <c r="DD19" s="80">
        <f>BH19+BL19+BP19+BT19+BX19+CB19+CF19+CJ19+CN19+CR19+CV19+CZ19</f>
        <v>36300</v>
      </c>
      <c r="DF19" s="51">
        <f>CX19*$DF$17</f>
        <v>166.375</v>
      </c>
      <c r="DG19" s="51">
        <f>CY19*$DG$17</f>
        <v>20</v>
      </c>
      <c r="DH19" s="51">
        <f>DF19*DG19</f>
        <v>3327.5</v>
      </c>
      <c r="DI19" s="54"/>
      <c r="DJ19" s="51">
        <f>DF19*$DJ$17</f>
        <v>166.375</v>
      </c>
      <c r="DK19" s="51">
        <f>DG19*$DK$17</f>
        <v>20</v>
      </c>
      <c r="DL19" s="51">
        <f>DJ19*DK19</f>
        <v>3327.5</v>
      </c>
      <c r="DM19" s="54"/>
      <c r="DN19" s="51">
        <f>DJ19*$DN$17</f>
        <v>166.375</v>
      </c>
      <c r="DO19" s="51">
        <f>DK19*$DO$17</f>
        <v>20</v>
      </c>
      <c r="DP19" s="51">
        <f>DN19*DO19</f>
        <v>3327.5</v>
      </c>
      <c r="DQ19" s="54"/>
      <c r="DR19" s="51">
        <f>DN19*$DR$17</f>
        <v>166.375</v>
      </c>
      <c r="DS19" s="51">
        <f>DO19*$DS$17</f>
        <v>20</v>
      </c>
      <c r="DT19" s="51">
        <f>DR19*DS19</f>
        <v>3327.5</v>
      </c>
      <c r="DU19" s="54"/>
      <c r="DV19" s="51">
        <f>DR19*$DV$17</f>
        <v>166.375</v>
      </c>
      <c r="DW19" s="51">
        <f>DS19*$DW$17</f>
        <v>20</v>
      </c>
      <c r="DX19" s="51">
        <f>DV19*DW19</f>
        <v>3327.5</v>
      </c>
      <c r="DY19" s="54"/>
      <c r="DZ19" s="51">
        <f>DV19*$DZ$17</f>
        <v>166.375</v>
      </c>
      <c r="EA19" s="51">
        <f>DW19*$EA$17</f>
        <v>20</v>
      </c>
      <c r="EB19" s="51">
        <f>DZ19*EA19</f>
        <v>3327.5</v>
      </c>
      <c r="EC19" s="54"/>
      <c r="ED19" s="51">
        <f>DZ19*$ED$17</f>
        <v>166.375</v>
      </c>
      <c r="EE19" s="51">
        <f>EA19*$EE$17</f>
        <v>20</v>
      </c>
      <c r="EF19" s="51">
        <f>ED19*EE19</f>
        <v>3327.5</v>
      </c>
      <c r="EG19" s="54"/>
      <c r="EH19" s="51">
        <f>ED19*$EH$17</f>
        <v>166.375</v>
      </c>
      <c r="EI19" s="51">
        <f>EE19*$EI$17</f>
        <v>20</v>
      </c>
      <c r="EJ19" s="51">
        <f>EH19*EI19</f>
        <v>3327.5</v>
      </c>
      <c r="EK19" s="54"/>
      <c r="EL19" s="51">
        <f>EH19*$EL$17</f>
        <v>166.375</v>
      </c>
      <c r="EM19" s="51">
        <f>EI19*$EM$17</f>
        <v>20</v>
      </c>
      <c r="EN19" s="51">
        <f>EL19*EM19</f>
        <v>3327.5</v>
      </c>
      <c r="EO19" s="54"/>
      <c r="EP19" s="51">
        <f>EL19*$EP$17</f>
        <v>166.375</v>
      </c>
      <c r="EQ19" s="51">
        <f>EM19*$EQ$17</f>
        <v>20</v>
      </c>
      <c r="ER19" s="51">
        <f>EP19*EQ19</f>
        <v>3327.5</v>
      </c>
      <c r="ES19" s="54"/>
      <c r="ET19" s="51">
        <f>EP19*$ET$17</f>
        <v>166.375</v>
      </c>
      <c r="EU19" s="51">
        <f>EQ19*$EU$17</f>
        <v>20</v>
      </c>
      <c r="EV19" s="51">
        <f>ET19*EU19</f>
        <v>3327.5</v>
      </c>
      <c r="EW19" s="54"/>
      <c r="EX19" s="51">
        <f>ET19*$EX$17</f>
        <v>166.375</v>
      </c>
      <c r="EY19" s="51">
        <f>EU19*$EY$17</f>
        <v>20</v>
      </c>
      <c r="EZ19" s="51">
        <f>EX19*EY19</f>
        <v>3327.5</v>
      </c>
      <c r="FA19" s="54"/>
      <c r="FB19" s="80">
        <f>DF19+DJ19+DN19+DR19+DV19+DZ19+ED19+EH19+EL19+EP19+ET19+EX19</f>
        <v>1996.5</v>
      </c>
      <c r="FC19" s="80">
        <f>(DG19+DK19+DO19+DS19+DW19+EA19+EE19+EI19+EM19+EQ19+EU19+EY19)/12</f>
        <v>20</v>
      </c>
      <c r="FD19" s="80">
        <f>DH19+DL19+DP19+DT19+DX19+EB19+EF19+EJ19+EN19+ER19+EV19+EZ19</f>
        <v>39930</v>
      </c>
      <c r="FF19" s="51">
        <f>EX19*$FF$17</f>
        <v>183.01250000000002</v>
      </c>
      <c r="FG19" s="51">
        <f>EY19*$FG$17</f>
        <v>20</v>
      </c>
      <c r="FH19" s="51">
        <f>FF19*FG19</f>
        <v>3660.2500000000005</v>
      </c>
      <c r="FI19" s="54"/>
      <c r="FJ19" s="51">
        <f>FF19*$FJ$17</f>
        <v>183.01250000000002</v>
      </c>
      <c r="FK19" s="51">
        <f>FG19*$FK$17</f>
        <v>20</v>
      </c>
      <c r="FL19" s="51">
        <f>FJ19*FK19</f>
        <v>3660.2500000000005</v>
      </c>
      <c r="FM19" s="54"/>
      <c r="FN19" s="51">
        <f>FJ19*$FN$17</f>
        <v>183.01250000000002</v>
      </c>
      <c r="FO19" s="51">
        <f>FK19*$FO$17</f>
        <v>20</v>
      </c>
      <c r="FP19" s="51">
        <f>FN19*FO19</f>
        <v>3660.2500000000005</v>
      </c>
      <c r="FQ19" s="54"/>
      <c r="FR19" s="51">
        <f>FN19*$FR$17</f>
        <v>183.01250000000002</v>
      </c>
      <c r="FS19" s="51">
        <f>FO19*$FS$17</f>
        <v>20</v>
      </c>
      <c r="FT19" s="51">
        <f>FR19*FS19</f>
        <v>3660.2500000000005</v>
      </c>
      <c r="FU19" s="54"/>
      <c r="FV19" s="51">
        <f>FR19*$FV$17</f>
        <v>183.01250000000002</v>
      </c>
      <c r="FW19" s="51">
        <f>FS19*$FW$17</f>
        <v>20</v>
      </c>
      <c r="FX19" s="51">
        <f>FV19*FW19</f>
        <v>3660.2500000000005</v>
      </c>
      <c r="FY19" s="54"/>
      <c r="FZ19" s="51">
        <f>FV19*$FZ$17</f>
        <v>183.01250000000002</v>
      </c>
      <c r="GA19" s="51">
        <f>FW19*$GA$17</f>
        <v>20</v>
      </c>
      <c r="GB19" s="51">
        <f>FZ19*GA19</f>
        <v>3660.2500000000005</v>
      </c>
      <c r="GC19" s="54"/>
      <c r="GD19" s="51">
        <f>FZ19*$GD$17</f>
        <v>183.01250000000002</v>
      </c>
      <c r="GE19" s="51">
        <f>GA19*$GE$17</f>
        <v>20</v>
      </c>
      <c r="GF19" s="51">
        <f>GD19*GE19</f>
        <v>3660.2500000000005</v>
      </c>
      <c r="GG19" s="54"/>
      <c r="GH19" s="51">
        <f>GD19*$GH$17</f>
        <v>183.01250000000002</v>
      </c>
      <c r="GI19" s="51">
        <f>GE19*$GI$17</f>
        <v>20</v>
      </c>
      <c r="GJ19" s="51">
        <f>GH19*GI19</f>
        <v>3660.2500000000005</v>
      </c>
      <c r="GK19" s="54"/>
      <c r="GL19" s="51">
        <f>GH19*$GL$17</f>
        <v>183.01250000000002</v>
      </c>
      <c r="GM19" s="51">
        <f>GI19*$GM$17</f>
        <v>20</v>
      </c>
      <c r="GN19" s="51">
        <f>GL19*GM19</f>
        <v>3660.2500000000005</v>
      </c>
      <c r="GO19" s="54"/>
      <c r="GP19" s="51">
        <f>GL19*$GP$17</f>
        <v>183.01250000000002</v>
      </c>
      <c r="GQ19" s="51">
        <f>GM19*$GQ$17</f>
        <v>20</v>
      </c>
      <c r="GR19" s="51">
        <f>GP19*GQ19</f>
        <v>3660.2500000000005</v>
      </c>
      <c r="GS19" s="54"/>
      <c r="GT19" s="51">
        <f>GP19*$GT$17</f>
        <v>183.01250000000002</v>
      </c>
      <c r="GU19" s="51">
        <f>GQ19*$GU$17</f>
        <v>20</v>
      </c>
      <c r="GV19" s="51">
        <f>GT19*GU19</f>
        <v>3660.2500000000005</v>
      </c>
      <c r="GW19" s="54"/>
      <c r="GX19" s="51">
        <f>GT19*$GX$17</f>
        <v>183.01250000000002</v>
      </c>
      <c r="GY19" s="51">
        <f>GU19*$GY$17</f>
        <v>20</v>
      </c>
      <c r="GZ19" s="51">
        <f>GX19*GY19</f>
        <v>3660.2500000000005</v>
      </c>
      <c r="HB19" s="80">
        <f>FF19+FJ19+FN19+FR19+FV19+FZ19+GD19+GH19+GL19+GP19+GT19+GX19</f>
        <v>2196.15</v>
      </c>
      <c r="HC19" s="80">
        <f>(FG19+FK19+FO19+FS19+FW19+GA19+GE19+GI19+GM19+GQ19+GU19+GY19)/12</f>
        <v>20</v>
      </c>
      <c r="HD19" s="80">
        <f>FH19+FL19+FP19+FT19+FX19+GB19+GF19+GJ19+GN19+GR19+GV19+GZ19</f>
        <v>43923.00000000001</v>
      </c>
      <c r="HF19" s="51">
        <f>GX19*$HF$17</f>
        <v>201.31375000000003</v>
      </c>
      <c r="HG19" s="51">
        <f>GY19*$HG$17</f>
        <v>20</v>
      </c>
      <c r="HH19" s="51">
        <f>HF19*HG19</f>
        <v>4026.2750000000005</v>
      </c>
      <c r="HI19" s="54"/>
      <c r="HJ19" s="51">
        <f>HF19*$HJ$17</f>
        <v>201.31375000000003</v>
      </c>
      <c r="HK19" s="51">
        <f>HG19*$HK$17</f>
        <v>20</v>
      </c>
      <c r="HL19" s="51">
        <f>HJ19*HK19</f>
        <v>4026.2750000000005</v>
      </c>
      <c r="HM19" s="54"/>
      <c r="HN19" s="51">
        <f>HJ19*$HN$17</f>
        <v>201.31375000000003</v>
      </c>
      <c r="HO19" s="51">
        <f>HK19*$HO$17</f>
        <v>20</v>
      </c>
      <c r="HP19" s="51">
        <f>HN19*HO19</f>
        <v>4026.2750000000005</v>
      </c>
      <c r="HQ19" s="54"/>
      <c r="HR19" s="51">
        <f>HN19*$HR$17</f>
        <v>201.31375000000003</v>
      </c>
      <c r="HS19" s="51">
        <f>HO19*$HS$17</f>
        <v>20</v>
      </c>
      <c r="HT19" s="51">
        <f>HR19*HS19</f>
        <v>4026.2750000000005</v>
      </c>
      <c r="HU19" s="54"/>
      <c r="HV19" s="51">
        <f>HR19*$HV$17</f>
        <v>201.31375000000003</v>
      </c>
      <c r="HW19" s="51">
        <f>HS19*$HW$17</f>
        <v>20</v>
      </c>
      <c r="HX19" s="51">
        <f>HV19*HW19</f>
        <v>4026.2750000000005</v>
      </c>
      <c r="HY19" s="54"/>
      <c r="HZ19" s="51">
        <f>HV19*$HZ$17</f>
        <v>201.31375000000003</v>
      </c>
      <c r="IA19" s="51">
        <f>HW19*$IA$17</f>
        <v>20</v>
      </c>
      <c r="IB19" s="51">
        <f>HZ19*IA19</f>
        <v>4026.2750000000005</v>
      </c>
      <c r="IC19" s="54"/>
      <c r="ID19" s="51">
        <f>HZ19*$ID$17</f>
        <v>201.31375000000003</v>
      </c>
      <c r="IE19" s="51">
        <f>IA19*$IE$17</f>
        <v>20</v>
      </c>
      <c r="IF19" s="51">
        <f>ID19*IE19</f>
        <v>4026.2750000000005</v>
      </c>
      <c r="IG19" s="54"/>
      <c r="IH19" s="51">
        <f>ID19*$IH$17</f>
        <v>201.31375000000003</v>
      </c>
      <c r="II19" s="51">
        <f>IE19*$II$17</f>
        <v>20</v>
      </c>
      <c r="IJ19" s="51">
        <f>IH19*II19</f>
        <v>4026.2750000000005</v>
      </c>
      <c r="IK19" s="54"/>
      <c r="IL19" s="51">
        <f>IH19*$IL$17</f>
        <v>201.31375000000003</v>
      </c>
      <c r="IM19" s="51">
        <f>II19*$IM$17</f>
        <v>20</v>
      </c>
      <c r="IN19" s="51">
        <f>IL19*IM19</f>
        <v>4026.2750000000005</v>
      </c>
      <c r="IO19" s="54"/>
      <c r="IP19" s="51">
        <f>IL19*$IP$17</f>
        <v>201.31375000000003</v>
      </c>
      <c r="IQ19" s="51">
        <f>IM19*$IQ$17</f>
        <v>20</v>
      </c>
      <c r="IR19" s="51">
        <f>IP19*IQ19</f>
        <v>4026.2750000000005</v>
      </c>
      <c r="IS19" s="54"/>
      <c r="IT19" s="51">
        <f>IP19*$IT$17</f>
        <v>201.31375000000003</v>
      </c>
      <c r="IU19" s="51">
        <f>IQ19*$IU$17</f>
        <v>20</v>
      </c>
      <c r="IV19" s="51">
        <f>IT19*IU19</f>
        <v>4026.2750000000005</v>
      </c>
      <c r="IW19" s="54"/>
      <c r="IX19" s="51">
        <f>IT19*$IX$17</f>
        <v>201.31375000000003</v>
      </c>
      <c r="IY19" s="51">
        <f>IU19*$IY$17</f>
        <v>20</v>
      </c>
      <c r="IZ19" s="51">
        <f>IX19*IY19</f>
        <v>4026.2750000000005</v>
      </c>
      <c r="JB19" s="80">
        <f>HF19+HJ19+HN19+HR19+HV19+HZ19+ID19+IH19+IL19+IP19+IT19+IX19</f>
        <v>2415.7650000000003</v>
      </c>
      <c r="JC19" s="80">
        <f>(HG19+HK19+HO19+HS19+HW19+IA19+IE19+II19+IM19+IQ19+IU19+IY19)/12</f>
        <v>20</v>
      </c>
      <c r="JD19" s="80">
        <f>HH19+HL19+HP19+HT19+HX19+IB19+IF19+IJ19+IN19+IR19+IV19+IZ19</f>
        <v>48315.30000000001</v>
      </c>
      <c r="JF19" s="51">
        <f>IX19*$JF$17</f>
        <v>221.44512500000005</v>
      </c>
      <c r="JG19" s="51">
        <f>IY19*$JG$17</f>
        <v>20</v>
      </c>
      <c r="JH19" s="51">
        <f>JF19*JG19</f>
        <v>4428.902500000001</v>
      </c>
      <c r="JI19" s="54"/>
      <c r="JJ19" s="51">
        <f>JF19*$JJ$17</f>
        <v>221.44512500000005</v>
      </c>
      <c r="JK19" s="51">
        <f>JG19*$JK$17</f>
        <v>20</v>
      </c>
      <c r="JL19" s="51">
        <f>JJ19*JK19</f>
        <v>4428.902500000001</v>
      </c>
      <c r="JM19" s="54"/>
      <c r="JN19" s="51">
        <f>JJ19*$JN$17</f>
        <v>221.44512500000005</v>
      </c>
      <c r="JO19" s="51">
        <f>JK19*$JO$17</f>
        <v>20</v>
      </c>
      <c r="JP19" s="51">
        <f>JN19*JO19</f>
        <v>4428.902500000001</v>
      </c>
      <c r="JQ19" s="54"/>
      <c r="JR19" s="51">
        <f>JN19*$JR$17</f>
        <v>221.44512500000005</v>
      </c>
      <c r="JS19" s="51">
        <f>JO19*$JS$17</f>
        <v>20</v>
      </c>
      <c r="JT19" s="51">
        <f>JR19*JS19</f>
        <v>4428.902500000001</v>
      </c>
      <c r="JU19" s="54"/>
      <c r="JV19" s="51">
        <f>JR19*$JV$17</f>
        <v>221.44512500000005</v>
      </c>
      <c r="JW19" s="51">
        <f>JS19*$JW$17</f>
        <v>20</v>
      </c>
      <c r="JX19" s="51">
        <f>JV19*JW19</f>
        <v>4428.902500000001</v>
      </c>
      <c r="JY19" s="54"/>
      <c r="JZ19" s="51">
        <f>JV19*$JZ$17</f>
        <v>221.44512500000005</v>
      </c>
      <c r="KA19" s="51">
        <f>JW19*$KA$17</f>
        <v>20</v>
      </c>
      <c r="KB19" s="51">
        <f>JZ19*KA19</f>
        <v>4428.902500000001</v>
      </c>
      <c r="KC19" s="54"/>
      <c r="KD19" s="51">
        <f>JZ19*$KD$17</f>
        <v>221.44512500000005</v>
      </c>
      <c r="KE19" s="51">
        <f>KA19*$KE$17</f>
        <v>20</v>
      </c>
      <c r="KF19" s="51">
        <f>KD19*KE19</f>
        <v>4428.902500000001</v>
      </c>
      <c r="KG19" s="54"/>
      <c r="KH19" s="51">
        <f>KD19*$KH$17</f>
        <v>221.44512500000005</v>
      </c>
      <c r="KI19" s="51">
        <f>KE19*$KI$17</f>
        <v>20</v>
      </c>
      <c r="KJ19" s="51">
        <f>KH19*KI19</f>
        <v>4428.902500000001</v>
      </c>
      <c r="KK19" s="54"/>
      <c r="KL19" s="51">
        <f>KH19*$KL$17</f>
        <v>221.44512500000005</v>
      </c>
      <c r="KM19" s="51">
        <f>KI19*$KM$17</f>
        <v>20</v>
      </c>
      <c r="KN19" s="51">
        <f>KL19*KM19</f>
        <v>4428.902500000001</v>
      </c>
      <c r="KO19" s="54"/>
      <c r="KP19" s="51">
        <f>KL19*$KP$17</f>
        <v>221.44512500000005</v>
      </c>
      <c r="KQ19" s="51">
        <f>KM19*$KQ$17</f>
        <v>20</v>
      </c>
      <c r="KR19" s="51">
        <f>KP19*KQ19</f>
        <v>4428.902500000001</v>
      </c>
      <c r="KS19" s="54"/>
      <c r="KT19" s="51">
        <f>KP19*$KT$17</f>
        <v>221.44512500000005</v>
      </c>
      <c r="KU19" s="51">
        <f>KQ19*$KU$17</f>
        <v>20</v>
      </c>
      <c r="KV19" s="51">
        <f>KT19*KU19</f>
        <v>4428.902500000001</v>
      </c>
      <c r="KW19" s="54"/>
      <c r="KX19" s="51">
        <f>KT19*$KX$17</f>
        <v>221.44512500000005</v>
      </c>
      <c r="KY19" s="51">
        <f>KU19*$KY$17</f>
        <v>20</v>
      </c>
      <c r="KZ19" s="51">
        <f>KX19*KY19</f>
        <v>4428.902500000001</v>
      </c>
      <c r="LB19" s="80">
        <f>JF19+JJ19+JN19+JR19+JV19+JZ19+KD19+KH19+KL19+KP19+KT19+KX19</f>
        <v>2657.3415000000005</v>
      </c>
      <c r="LC19" s="80">
        <f>(JG19+JK19+JO19+JS19+JW19+KA19+KE19+KI19+KM19+KQ19+KU19+KY19)/12</f>
        <v>20</v>
      </c>
      <c r="LD19" s="80">
        <f>JH19+JL19+JP19+JT19+JX19+KB19+KF19+KJ19+KN19+KR19+KV19+KZ19</f>
        <v>53146.83000000002</v>
      </c>
    </row>
    <row r="20" ht="18.75" customHeight="1" spans="2:316" x14ac:dyDescent="0.25">
      <c r="B20" s="5" t="s">
        <v>61</v>
      </c>
      <c r="C20" s="29"/>
      <c r="D20" s="29">
        <f>'A.I Revenue Streams - P1'!E20</f>
        <v>0</v>
      </c>
      <c r="E20" s="30"/>
      <c r="F20" s="51">
        <f>'A.I Revenue Streams - P2'!G20*25</f>
        <v>100</v>
      </c>
      <c r="G20" s="51">
        <f>'A.I Revenue Streams - P2'!I20</f>
        <v>20</v>
      </c>
      <c r="H20" s="51">
        <f>F20*G20</f>
        <v>2000</v>
      </c>
      <c r="I20" s="54"/>
      <c r="J20" s="51">
        <f>F20*$J$17</f>
        <v>110.00000000000001</v>
      </c>
      <c r="K20" s="51">
        <f>G20*$K$17</f>
        <v>20</v>
      </c>
      <c r="L20" s="51">
        <f>J20*K20</f>
        <v>2200.0000000000005</v>
      </c>
      <c r="M20" s="54"/>
      <c r="N20" s="51">
        <f>J20*$N$17</f>
        <v>110.00000000000001</v>
      </c>
      <c r="O20" s="51">
        <f>K20*$O$17</f>
        <v>20</v>
      </c>
      <c r="P20" s="51">
        <f>N20*O20</f>
        <v>2200.0000000000005</v>
      </c>
      <c r="Q20" s="54"/>
      <c r="R20" s="51">
        <f>N20*$R$17</f>
        <v>110.00000000000001</v>
      </c>
      <c r="S20" s="51">
        <f>O20*$S$17</f>
        <v>20</v>
      </c>
      <c r="T20" s="51">
        <f>R20*S20</f>
        <v>2200.0000000000005</v>
      </c>
      <c r="U20" s="54"/>
      <c r="V20" s="51">
        <f>R20*$V$17</f>
        <v>110.00000000000001</v>
      </c>
      <c r="W20" s="51">
        <f>S20*$W$17</f>
        <v>20</v>
      </c>
      <c r="X20" s="51">
        <f>V20*W20</f>
        <v>2200.0000000000005</v>
      </c>
      <c r="Y20" s="54"/>
      <c r="Z20" s="51">
        <f>V20*$Z$17</f>
        <v>110.00000000000001</v>
      </c>
      <c r="AA20" s="51">
        <f>W20*$AA$17</f>
        <v>20</v>
      </c>
      <c r="AB20" s="51">
        <f>Z20*AA20</f>
        <v>2200.0000000000005</v>
      </c>
      <c r="AC20" s="54"/>
      <c r="AD20" s="51">
        <f>Z20*$AD$17</f>
        <v>110.00000000000001</v>
      </c>
      <c r="AE20" s="51">
        <f>AA20*$AE$17</f>
        <v>20</v>
      </c>
      <c r="AF20" s="51">
        <f>AD20*AE20</f>
        <v>2200.0000000000005</v>
      </c>
      <c r="AG20" s="54"/>
      <c r="AH20" s="51">
        <f>AD20*$AH$17</f>
        <v>110.00000000000001</v>
      </c>
      <c r="AI20" s="51">
        <f>AE20*$AI$17</f>
        <v>20</v>
      </c>
      <c r="AJ20" s="51">
        <f>AH20*AI20</f>
        <v>2200.0000000000005</v>
      </c>
      <c r="AK20" s="54"/>
      <c r="AL20" s="51">
        <f>AH20*$AL$17</f>
        <v>110.00000000000001</v>
      </c>
      <c r="AM20" s="51">
        <f>AI20*$AM$17</f>
        <v>20</v>
      </c>
      <c r="AN20" s="51">
        <f>AL20*AM20</f>
        <v>2200.0000000000005</v>
      </c>
      <c r="AO20" s="54"/>
      <c r="AP20" s="51">
        <f>AL20*$AP$17</f>
        <v>110.00000000000001</v>
      </c>
      <c r="AQ20" s="51">
        <f>AM20*$AQ$17</f>
        <v>20</v>
      </c>
      <c r="AR20" s="51">
        <f>AP20*AQ20</f>
        <v>2200.0000000000005</v>
      </c>
      <c r="AS20" s="54"/>
      <c r="AT20" s="51">
        <f>AP20*$AT$17</f>
        <v>110.00000000000001</v>
      </c>
      <c r="AU20" s="51">
        <f>AQ20*$AU$17</f>
        <v>20</v>
      </c>
      <c r="AV20" s="51">
        <f>AT20*AU20</f>
        <v>2200.0000000000005</v>
      </c>
      <c r="AW20" s="54"/>
      <c r="AX20" s="51">
        <f>AT20*$AX$17</f>
        <v>110.00000000000001</v>
      </c>
      <c r="AY20" s="51">
        <f>AU20*$AY$17</f>
        <v>20</v>
      </c>
      <c r="AZ20" s="51">
        <f>AX20*AY20</f>
        <v>2200.0000000000005</v>
      </c>
      <c r="BA20" s="54"/>
      <c r="BB20" s="85">
        <f>SUMIF($F$6:$AZ$6,$BB$6,F20:AZ20)</f>
        <v>1310</v>
      </c>
      <c r="BC20" s="85">
        <f>SUMIF($F$6:$AZ$6,$BC$6,F20:AZ20)/12</f>
        <v>20</v>
      </c>
      <c r="BD20" s="80">
        <f>H20+L20+P20+T20+X20+AB20+AF20+AJ20+AN20</f>
        <v>19600</v>
      </c>
      <c r="BE20" t="b">
        <f>(BB20*BC20)=BD20</f>
        <v>0</v>
      </c>
      <c r="BF20" s="51">
        <f>AX20*$BF$17</f>
        <v>121.00000000000003</v>
      </c>
      <c r="BG20" s="51">
        <f>AY20*$BG$17</f>
        <v>20</v>
      </c>
      <c r="BH20" s="51">
        <f>BF20*BG20</f>
        <v>2420.0000000000005</v>
      </c>
      <c r="BI20" s="54"/>
      <c r="BJ20" s="51">
        <f>BF20*$BJ$17</f>
        <v>121.00000000000003</v>
      </c>
      <c r="BK20" s="51">
        <f>BG20*$BK$17</f>
        <v>20</v>
      </c>
      <c r="BL20" s="51">
        <f>BJ20*BK20</f>
        <v>2420.0000000000005</v>
      </c>
      <c r="BM20" s="54"/>
      <c r="BN20" s="51">
        <f t="shared" ref="BN20:BN23" si="116">BJ20*$BN$17</f>
        <v>121.00000000000003</v>
      </c>
      <c r="BO20" s="51">
        <f t="shared" ref="BO20:BO23" si="117">BK20*$BO$17</f>
        <v>20</v>
      </c>
      <c r="BP20" s="51">
        <f>BN20*BO20</f>
        <v>2420.0000000000005</v>
      </c>
      <c r="BQ20" s="54"/>
      <c r="BR20" s="51">
        <f t="shared" ref="BR20:BR23" si="118">BN20*$BR$17</f>
        <v>121.00000000000003</v>
      </c>
      <c r="BS20" s="51">
        <f t="shared" ref="BS20:BS23" si="119">BO20*$BS$17</f>
        <v>20</v>
      </c>
      <c r="BT20" s="51">
        <f>BR20*BS20</f>
        <v>2420.0000000000005</v>
      </c>
      <c r="BU20" s="54"/>
      <c r="BV20" s="51">
        <f t="shared" ref="BV20:BV23" si="120">BR20*$BV$17</f>
        <v>121.00000000000003</v>
      </c>
      <c r="BW20" s="51">
        <f t="shared" ref="BW20:BW23" si="121">BS20*$BW$17</f>
        <v>20</v>
      </c>
      <c r="BX20" s="51">
        <f>BV20*BW20</f>
        <v>2420.0000000000005</v>
      </c>
      <c r="BY20" s="54"/>
      <c r="BZ20" s="51">
        <f t="shared" ref="BZ20:BZ23" si="122">BV20*$BZ$17</f>
        <v>121.00000000000003</v>
      </c>
      <c r="CA20" s="51">
        <f t="shared" ref="CA20:CA23" si="123">BW20*$CA$17</f>
        <v>20</v>
      </c>
      <c r="CB20" s="51">
        <f>BZ20*CA20</f>
        <v>2420.0000000000005</v>
      </c>
      <c r="CC20" s="54"/>
      <c r="CD20" s="51">
        <f t="shared" ref="CD20:CD23" si="124">BZ20*$CD$17</f>
        <v>121.00000000000003</v>
      </c>
      <c r="CE20" s="51">
        <f t="shared" ref="CE20:CE23" si="125">CA20*$CE$17</f>
        <v>20</v>
      </c>
      <c r="CF20" s="51">
        <f>CD20*CE20</f>
        <v>2420.0000000000005</v>
      </c>
      <c r="CG20" s="54"/>
      <c r="CH20" s="51">
        <f t="shared" ref="CH20:CH23" si="126">CD20*$CH$17</f>
        <v>121.00000000000003</v>
      </c>
      <c r="CI20" s="51">
        <f t="shared" ref="CI20:CI23" si="127">CE20*$CI$17</f>
        <v>20</v>
      </c>
      <c r="CJ20" s="51">
        <f>CH20*CI20</f>
        <v>2420.0000000000005</v>
      </c>
      <c r="CK20" s="54"/>
      <c r="CL20" s="51">
        <f t="shared" ref="CL20:CL23" si="128">CH20*$CL$17</f>
        <v>121.00000000000003</v>
      </c>
      <c r="CM20" s="51">
        <f t="shared" ref="CM20:CM23" si="129">CI20*$CM$17</f>
        <v>20</v>
      </c>
      <c r="CN20" s="51">
        <f>CL20*CM20</f>
        <v>2420.0000000000005</v>
      </c>
      <c r="CO20" s="54"/>
      <c r="CP20" s="51">
        <f t="shared" ref="CP20:CP23" si="130">CL20*$CP$17</f>
        <v>121.00000000000003</v>
      </c>
      <c r="CQ20" s="51">
        <f t="shared" ref="CQ20:CQ23" si="131">CM20*$CQ$17</f>
        <v>20</v>
      </c>
      <c r="CR20" s="51">
        <f>CP20*CQ20</f>
        <v>2420.0000000000005</v>
      </c>
      <c r="CS20" s="54"/>
      <c r="CT20" s="51">
        <f t="shared" ref="CT20:CT23" si="132">CP20*$CT$17</f>
        <v>121.00000000000003</v>
      </c>
      <c r="CU20" s="51">
        <f t="shared" ref="CU20:CU23" si="133">CQ20*$CU$17</f>
        <v>20</v>
      </c>
      <c r="CV20" s="51">
        <f>CT20*CU20</f>
        <v>2420.0000000000005</v>
      </c>
      <c r="CW20" s="54"/>
      <c r="CX20" s="51">
        <f t="shared" ref="CX20:CX23" si="134">CT20*$CX$17</f>
        <v>121.00000000000003</v>
      </c>
      <c r="CY20" s="51">
        <f t="shared" ref="CY20:CY23" si="135">CU20*$CY$17</f>
        <v>20</v>
      </c>
      <c r="CZ20" s="51">
        <f>CX20*CY20</f>
        <v>2420.0000000000005</v>
      </c>
      <c r="DA20" s="54"/>
      <c r="DB20" s="80">
        <f>BF20+BJ20+BN20+BR20+BV20+BZ20+CD20+CH20+CL20+CP20+CT20+CX20</f>
        <v>1452.0000000000002</v>
      </c>
      <c r="DC20" s="80">
        <f>(BG20+BK20+BO20+BS20+BW20+CA20+CE20+CI20+CM20+CQ20+CU20+CY20)/12</f>
        <v>20</v>
      </c>
      <c r="DD20" s="80">
        <f>BH20+BL20+BP20+BT20+BX20+CB20+CF20+CJ20+CN20+CR20+CV20+CZ20</f>
        <v>29040.000000000004</v>
      </c>
      <c r="DF20" s="51">
        <f t="shared" ref="DF20:DF22" si="136">CX20*$DF$17</f>
        <v>133.10000000000005</v>
      </c>
      <c r="DG20" s="51">
        <f t="shared" ref="DG20:DG23" si="137">CY20*$DG$17</f>
        <v>20</v>
      </c>
      <c r="DH20" s="51">
        <f>DF20*DG20</f>
        <v>2662.000000000001</v>
      </c>
      <c r="DI20" s="54"/>
      <c r="DJ20" s="51">
        <f t="shared" ref="DJ20:DJ23" si="138">DF20*$DJ$17</f>
        <v>133.10000000000005</v>
      </c>
      <c r="DK20" s="51">
        <f t="shared" ref="DK20:DK23" si="139">DG20*$DK$17</f>
        <v>20</v>
      </c>
      <c r="DL20" s="51">
        <f>DJ20*DK20</f>
        <v>2662.000000000001</v>
      </c>
      <c r="DM20" s="54"/>
      <c r="DN20" s="51">
        <f t="shared" ref="DN20:DN23" si="140">DJ20*$DN$17</f>
        <v>133.10000000000005</v>
      </c>
      <c r="DO20" s="51">
        <f t="shared" ref="DO20:DO23" si="141">DK20*$DO$17</f>
        <v>20</v>
      </c>
      <c r="DP20" s="51">
        <f>DN20*DO20</f>
        <v>2662.000000000001</v>
      </c>
      <c r="DQ20" s="54"/>
      <c r="DR20" s="51">
        <f t="shared" ref="DR20:DR23" si="142">DN20*$DR$17</f>
        <v>133.10000000000005</v>
      </c>
      <c r="DS20" s="51">
        <f t="shared" ref="DS20:DS23" si="143">DO20*$DS$17</f>
        <v>20</v>
      </c>
      <c r="DT20" s="51">
        <f>DR20*DS20</f>
        <v>2662.000000000001</v>
      </c>
      <c r="DU20" s="54"/>
      <c r="DV20" s="51">
        <f t="shared" ref="DV20:DV23" si="144">DR20*$DV$17</f>
        <v>133.10000000000005</v>
      </c>
      <c r="DW20" s="51">
        <f t="shared" ref="DW20:DW23" si="145">DS20*$DW$17</f>
        <v>20</v>
      </c>
      <c r="DX20" s="51">
        <f>DV20*DW20</f>
        <v>2662.000000000001</v>
      </c>
      <c r="DY20" s="54"/>
      <c r="DZ20" s="51">
        <f t="shared" ref="DZ20:DZ23" si="146">DV20*$DZ$17</f>
        <v>133.10000000000005</v>
      </c>
      <c r="EA20" s="51">
        <f t="shared" ref="EA20:EA23" si="147">DW20*$EA$17</f>
        <v>20</v>
      </c>
      <c r="EB20" s="51">
        <f>DZ20*EA20</f>
        <v>2662.000000000001</v>
      </c>
      <c r="EC20" s="54"/>
      <c r="ED20" s="51">
        <f t="shared" ref="ED20:ED23" si="148">DZ20*$ED$17</f>
        <v>133.10000000000005</v>
      </c>
      <c r="EE20" s="51">
        <f t="shared" ref="EE20:EE23" si="149">EA20*$EE$17</f>
        <v>20</v>
      </c>
      <c r="EF20" s="51">
        <f>ED20*EE20</f>
        <v>2662.000000000001</v>
      </c>
      <c r="EG20" s="54"/>
      <c r="EH20" s="51">
        <f t="shared" ref="EH20:EH23" si="150">ED20*$EH$17</f>
        <v>133.10000000000005</v>
      </c>
      <c r="EI20" s="51">
        <f>EE20*$EI$17</f>
        <v>20</v>
      </c>
      <c r="EJ20" s="51">
        <f>EH20*EI20</f>
        <v>2662.000000000001</v>
      </c>
      <c r="EK20" s="54"/>
      <c r="EL20" s="51">
        <f t="shared" ref="EL20:EL23" si="151">EH20*$EL$17</f>
        <v>133.10000000000005</v>
      </c>
      <c r="EM20" s="51">
        <f t="shared" ref="EM20:EM23" si="152">EI20*$EM$17</f>
        <v>20</v>
      </c>
      <c r="EN20" s="51">
        <f>EL20*EM20</f>
        <v>2662.000000000001</v>
      </c>
      <c r="EO20" s="54"/>
      <c r="EP20" s="51">
        <f t="shared" ref="EP20:EP23" si="153">EL20*$EP$17</f>
        <v>133.10000000000005</v>
      </c>
      <c r="EQ20" s="51">
        <f t="shared" ref="EQ20:EQ23" si="154">EM20*$EQ$17</f>
        <v>20</v>
      </c>
      <c r="ER20" s="51">
        <f>EP20*EQ20</f>
        <v>2662.000000000001</v>
      </c>
      <c r="ES20" s="54"/>
      <c r="ET20" s="51">
        <f t="shared" ref="ET20:ET23" si="155">EP20*$ET$17</f>
        <v>133.10000000000005</v>
      </c>
      <c r="EU20" s="51">
        <f t="shared" ref="EU20:EU23" si="156">EQ20*$EU$17</f>
        <v>20</v>
      </c>
      <c r="EV20" s="51">
        <f>ET20*EU20</f>
        <v>2662.000000000001</v>
      </c>
      <c r="EW20" s="54"/>
      <c r="EX20" s="51">
        <f t="shared" ref="EX20:EX23" si="157">ET20*$EX$17</f>
        <v>133.10000000000005</v>
      </c>
      <c r="EY20" s="51">
        <f t="shared" ref="EY20:EY23" si="158">EU20*$EY$17</f>
        <v>20</v>
      </c>
      <c r="EZ20" s="51">
        <f>EX20*EY20</f>
        <v>2662.000000000001</v>
      </c>
      <c r="FA20" s="54"/>
      <c r="FB20" s="80">
        <f>DF20+DJ20+DN20+DR20+DV20+DZ20+ED20+EH20+EL20+EP20+ET20+EX20</f>
        <v>1597.200000000001</v>
      </c>
      <c r="FC20" s="80">
        <f>(DG20+DK20+DO20+DS20+DW20+EA20+EE20+EI20+EM20+EQ20+EU20+EY20)/12</f>
        <v>20</v>
      </c>
      <c r="FD20" s="80">
        <f>DH20+DL20+DP20+DT20+DX20+EB20+EF20+EJ20+EN20+ER20+EV20+EZ20</f>
        <v>31944.000000000004</v>
      </c>
      <c r="FF20" s="51">
        <f t="shared" ref="FF20:FF23" si="159">EX20*$FF$17</f>
        <v>146.41000000000008</v>
      </c>
      <c r="FG20" s="51">
        <f t="shared" ref="FG20:FG23" si="160">EY20*$FG$17</f>
        <v>20</v>
      </c>
      <c r="FH20" s="51">
        <f>FF20*FG20</f>
        <v>2928.2000000000016</v>
      </c>
      <c r="FI20" s="54"/>
      <c r="FJ20" s="51">
        <f t="shared" ref="FJ20:FJ23" si="161">FF20*$FJ$17</f>
        <v>146.41000000000008</v>
      </c>
      <c r="FK20" s="51">
        <f t="shared" ref="FK20:FK23" si="162">FG20*$FK$17</f>
        <v>20</v>
      </c>
      <c r="FL20" s="51">
        <f>FJ20*FK20</f>
        <v>2928.2000000000016</v>
      </c>
      <c r="FM20" s="54"/>
      <c r="FN20" s="51">
        <f t="shared" ref="FN20:FN23" si="163">FJ20*$FN$17</f>
        <v>146.41000000000008</v>
      </c>
      <c r="FO20" s="51">
        <f t="shared" ref="FO20:FO23" si="164">FK20*$FO$17</f>
        <v>20</v>
      </c>
      <c r="FP20" s="51">
        <f>FN20*FO20</f>
        <v>2928.2000000000016</v>
      </c>
      <c r="FQ20" s="54"/>
      <c r="FR20" s="51">
        <f t="shared" ref="FR20:FR23" si="165">FN20*$FR$17</f>
        <v>146.41000000000008</v>
      </c>
      <c r="FS20" s="51">
        <f>FO20*$FS$17</f>
        <v>20</v>
      </c>
      <c r="FT20" s="51">
        <f>FR20*FS20</f>
        <v>2928.2000000000016</v>
      </c>
      <c r="FU20" s="54"/>
      <c r="FV20" s="51">
        <f t="shared" ref="FV20:FV23" si="166">FR20*$FV$17</f>
        <v>146.41000000000008</v>
      </c>
      <c r="FW20" s="51">
        <f t="shared" ref="FW20:FW23" si="167">FS20*$FW$17</f>
        <v>20</v>
      </c>
      <c r="FX20" s="51">
        <f>FV20*FW20</f>
        <v>2928.2000000000016</v>
      </c>
      <c r="FY20" s="54"/>
      <c r="FZ20" s="51">
        <f t="shared" ref="FZ20:FZ23" si="168">FV20*$FZ$17</f>
        <v>146.41000000000008</v>
      </c>
      <c r="GA20" s="51">
        <f t="shared" ref="GA20:GA23" si="169">FW20*$GA$17</f>
        <v>20</v>
      </c>
      <c r="GB20" s="51">
        <f>FZ20*GA20</f>
        <v>2928.2000000000016</v>
      </c>
      <c r="GC20" s="54"/>
      <c r="GD20" s="51">
        <f t="shared" ref="GD20:GD23" si="170">FZ20*$GD$17</f>
        <v>146.41000000000008</v>
      </c>
      <c r="GE20" s="51">
        <f t="shared" ref="GE20:GE23" si="171">GA20*$GE$17</f>
        <v>20</v>
      </c>
      <c r="GF20" s="51">
        <f>GD20*GE20</f>
        <v>2928.2000000000016</v>
      </c>
      <c r="GG20" s="54"/>
      <c r="GH20" s="51">
        <f t="shared" ref="GH20:GH23" si="172">GD20*$GH$17</f>
        <v>146.41000000000008</v>
      </c>
      <c r="GI20" s="51">
        <f t="shared" ref="GI20:GI23" si="173">GE20*$GI$17</f>
        <v>20</v>
      </c>
      <c r="GJ20" s="51">
        <f>GH20*GI20</f>
        <v>2928.2000000000016</v>
      </c>
      <c r="GK20" s="54"/>
      <c r="GL20" s="51">
        <f t="shared" ref="GL20:GL23" si="174">GH20*$GL$17</f>
        <v>146.41000000000008</v>
      </c>
      <c r="GM20" s="51">
        <f t="shared" ref="GM20:GM23" si="175">GI20*$GM$17</f>
        <v>20</v>
      </c>
      <c r="GN20" s="51">
        <f>GL20*GM20</f>
        <v>2928.2000000000016</v>
      </c>
      <c r="GO20" s="54"/>
      <c r="GP20" s="51">
        <f t="shared" ref="GP20" si="176">GL20*$GP$17</f>
        <v>146.41000000000008</v>
      </c>
      <c r="GQ20" s="51">
        <f t="shared" ref="GQ20" si="177">GM20*$GQ$17</f>
        <v>20</v>
      </c>
      <c r="GR20" s="51">
        <f>GP20*GQ20</f>
        <v>2928.2000000000016</v>
      </c>
      <c r="GS20" s="54"/>
      <c r="GT20" s="51">
        <f t="shared" ref="GT20:GT23" si="178">GP20*$GT$17</f>
        <v>146.41000000000008</v>
      </c>
      <c r="GU20" s="51">
        <f t="shared" ref="GU20:GU23" si="179">GQ20*$GU$17</f>
        <v>20</v>
      </c>
      <c r="GV20" s="51">
        <f>GT20*GU20</f>
        <v>2928.2000000000016</v>
      </c>
      <c r="GW20" s="54"/>
      <c r="GX20" s="51">
        <f t="shared" ref="GX20:GX21" si="180">GT20*$GX$17</f>
        <v>146.41000000000008</v>
      </c>
      <c r="GY20" s="51">
        <f t="shared" ref="GY20:GY21" si="181">GU20*$GY$17</f>
        <v>20</v>
      </c>
      <c r="GZ20" s="51">
        <f>GX20*GY20</f>
        <v>2928.2000000000016</v>
      </c>
      <c r="HB20" s="80">
        <f>FF20+FJ20+FN20+FR20+FV20+FZ20+GD20+GH20+GL20+GP20+GT20+GX20</f>
        <v>1756.920000000001</v>
      </c>
      <c r="HC20" s="80">
        <f>(FG20+FK20+FO20+FS20+FW20+GA20+GE20+GI20+GM20+GQ20+GU20+GY20)/12</f>
        <v>20</v>
      </c>
      <c r="HD20" s="80">
        <f>FH20+FL20+FP20+FT20+FX20+GB20+GF20+GJ20+GN20+GR20+GV20+GZ20</f>
        <v>35138.400000000016</v>
      </c>
      <c r="HF20" s="51">
        <f t="shared" ref="HF20:HF23" si="182">GX20*$HF$17</f>
        <v>161.0510000000001</v>
      </c>
      <c r="HG20" s="51">
        <f t="shared" ref="HG20:HG21" si="183">GY20*$HG$17</f>
        <v>20</v>
      </c>
      <c r="HH20" s="51">
        <f>HF20*HG20</f>
        <v>3221.0200000000023</v>
      </c>
      <c r="HI20" s="54"/>
      <c r="HJ20" s="51">
        <f t="shared" ref="HJ20:HJ21" si="184">HF20*$HJ$17</f>
        <v>161.0510000000001</v>
      </c>
      <c r="HK20" s="51">
        <f t="shared" ref="HK20:HK21" si="185">HG20*$HK$17</f>
        <v>20</v>
      </c>
      <c r="HL20" s="51">
        <f>HJ20*HK20</f>
        <v>3221.0200000000023</v>
      </c>
      <c r="HM20" s="54"/>
      <c r="HN20" s="51">
        <f t="shared" ref="HN20:HN21" si="186">HJ20*$HN$17</f>
        <v>161.0510000000001</v>
      </c>
      <c r="HO20" s="51">
        <f t="shared" ref="HO20:HO23" si="187">HK20*$HO$17</f>
        <v>20</v>
      </c>
      <c r="HP20" s="51">
        <f>HN20*HO20</f>
        <v>3221.0200000000023</v>
      </c>
      <c r="HQ20" s="54"/>
      <c r="HR20" s="51">
        <f t="shared" ref="HR20:HR21" si="188">HN20*$HR$17</f>
        <v>161.0510000000001</v>
      </c>
      <c r="HS20" s="51">
        <f t="shared" ref="HS20:HS21" si="189">HO20*$HS$17</f>
        <v>20</v>
      </c>
      <c r="HT20" s="51">
        <f>HR20*HS20</f>
        <v>3221.0200000000023</v>
      </c>
      <c r="HU20" s="54"/>
      <c r="HV20" s="51">
        <f t="shared" ref="HV20:HV23" si="190">HR20*$HV$17</f>
        <v>161.0510000000001</v>
      </c>
      <c r="HW20" s="51">
        <f t="shared" ref="HW20:HW23" si="191">HS20*$HW$17</f>
        <v>20</v>
      </c>
      <c r="HX20" s="51">
        <f>HV20*HW20</f>
        <v>3221.0200000000023</v>
      </c>
      <c r="HY20" s="54"/>
      <c r="HZ20" s="51">
        <f t="shared" ref="HZ20:HZ23" si="192">HV20*$HZ$17</f>
        <v>161.0510000000001</v>
      </c>
      <c r="IA20" s="51">
        <f t="shared" ref="IA20:IA23" si="193">HW20*$IA$17</f>
        <v>20</v>
      </c>
      <c r="IB20" s="51">
        <f>HZ20*IA20</f>
        <v>3221.0200000000023</v>
      </c>
      <c r="IC20" s="54"/>
      <c r="ID20" s="51">
        <f t="shared" ref="ID20:ID23" si="194">HZ20*$ID$17</f>
        <v>161.0510000000001</v>
      </c>
      <c r="IE20" s="51">
        <f t="shared" ref="IE20:IE23" si="195">IA20*$IE$17</f>
        <v>20</v>
      </c>
      <c r="IF20" s="51">
        <f>ID20*IE20</f>
        <v>3221.0200000000023</v>
      </c>
      <c r="IG20" s="54"/>
      <c r="IH20" s="51">
        <f t="shared" ref="IH20:IH23" si="196">ID20*$IH$17</f>
        <v>161.0510000000001</v>
      </c>
      <c r="II20" s="51">
        <f t="shared" ref="II20:II23" si="197">IE20*$II$17</f>
        <v>20</v>
      </c>
      <c r="IJ20" s="51">
        <f>IH20*II20</f>
        <v>3221.0200000000023</v>
      </c>
      <c r="IK20" s="54"/>
      <c r="IL20" s="51">
        <f t="shared" ref="IL20:IL23" si="198">IH20*$IL$17</f>
        <v>161.0510000000001</v>
      </c>
      <c r="IM20" s="51">
        <f t="shared" ref="IM20:IM23" si="199">II20*$IM$17</f>
        <v>20</v>
      </c>
      <c r="IN20" s="51">
        <f>IL20*IM20</f>
        <v>3221.0200000000023</v>
      </c>
      <c r="IO20" s="54"/>
      <c r="IP20" s="51">
        <f t="shared" ref="IP20:IP23" si="200">IL20*$IP$17</f>
        <v>161.0510000000001</v>
      </c>
      <c r="IQ20" s="51">
        <f t="shared" ref="IQ20:IQ23" si="201">IM20*$IQ$17</f>
        <v>20</v>
      </c>
      <c r="IR20" s="51">
        <f>IP20*IQ20</f>
        <v>3221.0200000000023</v>
      </c>
      <c r="IS20" s="54"/>
      <c r="IT20" s="51">
        <f t="shared" ref="IT20:IT23" si="202">IP20*$IT$17</f>
        <v>161.0510000000001</v>
      </c>
      <c r="IU20" s="51">
        <f t="shared" ref="IU20:IU23" si="203">IQ20*$IU$17</f>
        <v>20</v>
      </c>
      <c r="IV20" s="51">
        <f>IT20*IU20</f>
        <v>3221.0200000000023</v>
      </c>
      <c r="IW20" s="54"/>
      <c r="IX20" s="51">
        <f t="shared" ref="IX20:IX23" si="204">IT20*$IX$17</f>
        <v>161.0510000000001</v>
      </c>
      <c r="IY20" s="51">
        <f t="shared" ref="IY20:IY23" si="205">IU20*$IY$17</f>
        <v>20</v>
      </c>
      <c r="IZ20" s="51">
        <f>IX20*IY20</f>
        <v>3221.0200000000023</v>
      </c>
      <c r="JB20" s="80">
        <f>HF20+HJ20+HN20+HR20+HV20+HZ20+ID20+IH20+IL20+IP20+IT20+IX20</f>
        <v>1932.6120000000017</v>
      </c>
      <c r="JC20" s="80">
        <f>(HG20+HK20+HO20+HS20+HW20+IA20+IE20+II20+IM20+IQ20+IU20+IY20)/12</f>
        <v>20</v>
      </c>
      <c r="JD20" s="80">
        <f>HH20+HL20+HP20+HT20+HX20+IB20+IF20+IJ20+IN20+IR20+IV20+IZ20</f>
        <v>38652.240000000034</v>
      </c>
      <c r="JF20" s="51">
        <f t="shared" ref="JF20:JF23" si="206">IX20*$JF$17</f>
        <v>177.15610000000012</v>
      </c>
      <c r="JG20" s="51">
        <f t="shared" ref="JG20:JG23" si="207">IY20*$JG$17</f>
        <v>20</v>
      </c>
      <c r="JH20" s="51">
        <f>JF20*JG20</f>
        <v>3543.1220000000026</v>
      </c>
      <c r="JI20" s="54"/>
      <c r="JJ20" s="51">
        <f t="shared" ref="JJ20:JJ23" si="208">JF20*$JJ$17</f>
        <v>177.15610000000012</v>
      </c>
      <c r="JK20" s="51">
        <f t="shared" ref="JK20:JK23" si="209">JG20*$JK$17</f>
        <v>20</v>
      </c>
      <c r="JL20" s="51">
        <f>JJ20*JK20</f>
        <v>3543.1220000000026</v>
      </c>
      <c r="JM20" s="54"/>
      <c r="JN20" s="51">
        <f t="shared" ref="JN20:JN23" si="210">JJ20*$JN$17</f>
        <v>177.15610000000012</v>
      </c>
      <c r="JO20" s="51">
        <f t="shared" ref="JO20:JO23" si="211">JK20*$JO$17</f>
        <v>20</v>
      </c>
      <c r="JP20" s="51">
        <f>JN20*JO20</f>
        <v>3543.1220000000026</v>
      </c>
      <c r="JQ20" s="54"/>
      <c r="JR20" s="51">
        <f t="shared" ref="JR20:JR23" si="212">JN20*$JR$17</f>
        <v>177.15610000000012</v>
      </c>
      <c r="JS20" s="51">
        <f t="shared" ref="JS20:JS23" si="213">JO20*$JS$17</f>
        <v>20</v>
      </c>
      <c r="JT20" s="51">
        <f>JR20*JS20</f>
        <v>3543.1220000000026</v>
      </c>
      <c r="JU20" s="54"/>
      <c r="JV20" s="51">
        <f t="shared" ref="JV20:JV23" si="214">JR20*$JV$17</f>
        <v>177.15610000000012</v>
      </c>
      <c r="JW20" s="51">
        <f t="shared" ref="JW20:JW23" si="215">JS20*$JW$17</f>
        <v>20</v>
      </c>
      <c r="JX20" s="51">
        <f>JV20*JW20</f>
        <v>3543.1220000000026</v>
      </c>
      <c r="JY20" s="54"/>
      <c r="JZ20" s="51">
        <f t="shared" ref="JZ20:JZ23" si="216">JV20*$JZ$17</f>
        <v>177.15610000000012</v>
      </c>
      <c r="KA20" s="51">
        <f t="shared" ref="KA20:KA23" si="217">JW20*$KA$17</f>
        <v>20</v>
      </c>
      <c r="KB20" s="51">
        <f>JZ20*KA20</f>
        <v>3543.1220000000026</v>
      </c>
      <c r="KC20" s="54"/>
      <c r="KD20" s="51">
        <f t="shared" ref="KD20:KD23" si="218">JZ20*$KD$17</f>
        <v>177.15610000000012</v>
      </c>
      <c r="KE20" s="51">
        <f t="shared" ref="KE20:KE23" si="219">KA20*$KE$17</f>
        <v>20</v>
      </c>
      <c r="KF20" s="51">
        <f>KD20*KE20</f>
        <v>3543.1220000000026</v>
      </c>
      <c r="KG20" s="54"/>
      <c r="KH20" s="51">
        <f t="shared" ref="KH20:KH23" si="220">KD20*$KH$17</f>
        <v>177.15610000000012</v>
      </c>
      <c r="KI20" s="51">
        <f t="shared" ref="KI20:KI23" si="221">KE20*$KI$17</f>
        <v>20</v>
      </c>
      <c r="KJ20" s="51">
        <f>KH20*KI20</f>
        <v>3543.1220000000026</v>
      </c>
      <c r="KK20" s="54"/>
      <c r="KL20" s="51">
        <f t="shared" ref="KL20:KL23" si="222">KH20*$KL$17</f>
        <v>177.15610000000012</v>
      </c>
      <c r="KM20" s="51">
        <f t="shared" ref="KM20:KM23" si="223">KI20*$KM$17</f>
        <v>20</v>
      </c>
      <c r="KN20" s="51">
        <f>KL20*KM20</f>
        <v>3543.1220000000026</v>
      </c>
      <c r="KO20" s="54"/>
      <c r="KP20" s="51">
        <f t="shared" ref="KP20:KP23" si="224">KL20*$KP$17</f>
        <v>177.15610000000012</v>
      </c>
      <c r="KQ20" s="51">
        <f t="shared" ref="KQ20:KQ23" si="225">KM20*$KQ$17</f>
        <v>20</v>
      </c>
      <c r="KR20" s="51">
        <f>KP20*KQ20</f>
        <v>3543.1220000000026</v>
      </c>
      <c r="KS20" s="54"/>
      <c r="KT20" s="51">
        <f t="shared" ref="KT20:KT23" si="226">KP20*$KT$17</f>
        <v>177.15610000000012</v>
      </c>
      <c r="KU20" s="51">
        <f t="shared" ref="KU20:KU23" si="227">KQ20*$KU$17</f>
        <v>20</v>
      </c>
      <c r="KV20" s="51">
        <f>KT20*KU20</f>
        <v>3543.1220000000026</v>
      </c>
      <c r="KW20" s="54"/>
      <c r="KX20" s="51">
        <f t="shared" ref="KX20:KX23" si="228">KT20*$KX$17</f>
        <v>177.15610000000012</v>
      </c>
      <c r="KY20" s="51">
        <f t="shared" ref="KY20:KY23" si="229">KU20*$KY$17</f>
        <v>20</v>
      </c>
      <c r="KZ20" s="51">
        <f>KX20*KY20</f>
        <v>3543.1220000000026</v>
      </c>
      <c r="LB20" s="80">
        <f>JF20+JJ20+JN20+JR20+JV20+JZ20+KD20+KH20+KL20+KP20+KT20+KX20</f>
        <v>2125.8732000000014</v>
      </c>
      <c r="LC20" s="80">
        <f>(JG20+JK20+JO20+JS20+JW20+KA20+KE20+KI20+KM20+KQ20+KU20+KY20)/12</f>
        <v>20</v>
      </c>
      <c r="LD20" s="80">
        <f>JH20+JL20+JP20+JT20+JX20+KB20+KF20+KJ20+KN20+KR20+KV20+KZ20</f>
        <v>42517.46400000003</v>
      </c>
    </row>
    <row r="21" ht="18.75" customHeight="1" spans="2:316" x14ac:dyDescent="0.25">
      <c r="B21" s="5" t="s">
        <v>62</v>
      </c>
      <c r="C21" s="29"/>
      <c r="D21" s="29">
        <f>'A.I Revenue Streams - P1'!E21</f>
        <v>0</v>
      </c>
      <c r="E21" s="30"/>
      <c r="F21" s="51">
        <f>'A.I Revenue Streams - P2'!G21*25</f>
        <v>75</v>
      </c>
      <c r="G21" s="51">
        <f>'A.I Revenue Streams - P2'!I21</f>
        <v>20</v>
      </c>
      <c r="H21" s="51">
        <f>F21*G21</f>
        <v>1500</v>
      </c>
      <c r="I21" s="54"/>
      <c r="J21" s="51">
        <f>F21*$J$17</f>
        <v>82.5</v>
      </c>
      <c r="K21" s="51">
        <f>G21*$K$17</f>
        <v>20</v>
      </c>
      <c r="L21" s="51">
        <f>J21*K21</f>
        <v>1650</v>
      </c>
      <c r="M21" s="54"/>
      <c r="N21" s="51">
        <f>J21*$N$17</f>
        <v>82.5</v>
      </c>
      <c r="O21" s="51">
        <f>K21*$O$17</f>
        <v>20</v>
      </c>
      <c r="P21" s="51">
        <f>N21*O21</f>
        <v>1650</v>
      </c>
      <c r="Q21" s="54"/>
      <c r="R21" s="51">
        <f>N21*$R$17</f>
        <v>82.5</v>
      </c>
      <c r="S21" s="51">
        <f>O21*$S$17</f>
        <v>20</v>
      </c>
      <c r="T21" s="51">
        <f>R21*S21</f>
        <v>1650</v>
      </c>
      <c r="U21" s="54"/>
      <c r="V21" s="51">
        <f>R21*$V$17</f>
        <v>82.5</v>
      </c>
      <c r="W21" s="51">
        <f>S21*$W$17</f>
        <v>20</v>
      </c>
      <c r="X21" s="51">
        <f>V21*W21</f>
        <v>1650</v>
      </c>
      <c r="Y21" s="54"/>
      <c r="Z21" s="51">
        <f>V21*$Z$17</f>
        <v>82.5</v>
      </c>
      <c r="AA21" s="51">
        <f>W21*$AA$17</f>
        <v>20</v>
      </c>
      <c r="AB21" s="51">
        <f>Z21*AA21</f>
        <v>1650</v>
      </c>
      <c r="AC21" s="54"/>
      <c r="AD21" s="51">
        <f>Z21*$AD$17</f>
        <v>82.5</v>
      </c>
      <c r="AE21" s="51">
        <f>AA21*$AE$17</f>
        <v>20</v>
      </c>
      <c r="AF21" s="51">
        <f>AD21*AE21</f>
        <v>1650</v>
      </c>
      <c r="AG21" s="54"/>
      <c r="AH21" s="51">
        <f>AD21*$AH$17</f>
        <v>82.5</v>
      </c>
      <c r="AI21" s="51">
        <f>AE21*$AI$17</f>
        <v>20</v>
      </c>
      <c r="AJ21" s="51">
        <f>AH21*AI21</f>
        <v>1650</v>
      </c>
      <c r="AK21" s="54"/>
      <c r="AL21" s="51">
        <f>AH21*$AL$17</f>
        <v>82.5</v>
      </c>
      <c r="AM21" s="51">
        <f>AI21*$AM$17</f>
        <v>20</v>
      </c>
      <c r="AN21" s="51">
        <f>AL21*AM21</f>
        <v>1650</v>
      </c>
      <c r="AO21" s="54"/>
      <c r="AP21" s="51">
        <f>AL21*$AP$17</f>
        <v>82.5</v>
      </c>
      <c r="AQ21" s="51">
        <f>AM21*$AQ$17</f>
        <v>20</v>
      </c>
      <c r="AR21" s="51">
        <f>AP21*AQ21</f>
        <v>1650</v>
      </c>
      <c r="AS21" s="54"/>
      <c r="AT21" s="51">
        <f>AP21*$AT$17</f>
        <v>82.5</v>
      </c>
      <c r="AU21" s="51">
        <f>AQ21*$AU$17</f>
        <v>20</v>
      </c>
      <c r="AV21" s="51">
        <f>AT21*AU21</f>
        <v>1650</v>
      </c>
      <c r="AW21" s="54"/>
      <c r="AX21" s="51">
        <f>AT21*$AX$17</f>
        <v>82.5</v>
      </c>
      <c r="AY21" s="51">
        <f>AU21*$AY$17</f>
        <v>20</v>
      </c>
      <c r="AZ21" s="51">
        <f>AX21*AY21</f>
        <v>1650</v>
      </c>
      <c r="BA21" s="54"/>
      <c r="BB21" s="85">
        <f>SUMIF($F$6:$AZ$6,$BB$6,F21:AZ21)</f>
        <v>982.5</v>
      </c>
      <c r="BC21" s="85">
        <f>SUMIF($F$6:$AZ$6,$BC$6,F21:AZ21)/12</f>
        <v>20</v>
      </c>
      <c r="BD21" s="80">
        <f>H21+L21+P21+T21+X21+AB21+AF21+AJ21+AN21</f>
        <v>14700</v>
      </c>
      <c r="BE21" t="b">
        <f>(BB21*BC21)=BD21</f>
        <v>0</v>
      </c>
      <c r="BF21" s="51">
        <f>AX21*$BF$17</f>
        <v>90.75000000000001</v>
      </c>
      <c r="BG21" s="51">
        <f>AY21*$BG$17</f>
        <v>20</v>
      </c>
      <c r="BH21" s="51">
        <f>BF21*BG21</f>
        <v>1815.0000000000002</v>
      </c>
      <c r="BI21" s="54"/>
      <c r="BJ21" s="51">
        <f t="shared" ref="BJ21:BJ23" si="230">BF21*$BJ$17</f>
        <v>90.75000000000001</v>
      </c>
      <c r="BK21" s="51">
        <f t="shared" ref="BK21:BK23" si="231">BG21*$BK$17</f>
        <v>20</v>
      </c>
      <c r="BL21" s="51">
        <f>BJ21*BK21</f>
        <v>1815.0000000000002</v>
      </c>
      <c r="BM21" s="54"/>
      <c r="BN21" s="51">
        <f t="shared" si="116"/>
        <v>90.75000000000001</v>
      </c>
      <c r="BO21" s="51">
        <f t="shared" si="117"/>
        <v>20</v>
      </c>
      <c r="BP21" s="51">
        <f>BN21*BO21</f>
        <v>1815.0000000000002</v>
      </c>
      <c r="BQ21" s="54"/>
      <c r="BR21" s="51">
        <f t="shared" si="118"/>
        <v>90.75000000000001</v>
      </c>
      <c r="BS21" s="51">
        <f t="shared" si="119"/>
        <v>20</v>
      </c>
      <c r="BT21" s="51">
        <f>BR21*BS21</f>
        <v>1815.0000000000002</v>
      </c>
      <c r="BU21" s="54"/>
      <c r="BV21" s="51">
        <f t="shared" si="120"/>
        <v>90.75000000000001</v>
      </c>
      <c r="BW21" s="51">
        <f t="shared" si="121"/>
        <v>20</v>
      </c>
      <c r="BX21" s="51">
        <f>BV21*BW21</f>
        <v>1815.0000000000002</v>
      </c>
      <c r="BY21" s="54"/>
      <c r="BZ21" s="51">
        <f t="shared" si="122"/>
        <v>90.75000000000001</v>
      </c>
      <c r="CA21" s="51">
        <f t="shared" si="123"/>
        <v>20</v>
      </c>
      <c r="CB21" s="51">
        <f>BZ21*CA21</f>
        <v>1815.0000000000002</v>
      </c>
      <c r="CC21" s="54"/>
      <c r="CD21" s="51">
        <f t="shared" si="124"/>
        <v>90.75000000000001</v>
      </c>
      <c r="CE21" s="51">
        <f t="shared" si="125"/>
        <v>20</v>
      </c>
      <c r="CF21" s="51">
        <f>CD21*CE21</f>
        <v>1815.0000000000002</v>
      </c>
      <c r="CG21" s="54"/>
      <c r="CH21" s="51">
        <f t="shared" si="126"/>
        <v>90.75000000000001</v>
      </c>
      <c r="CI21" s="51">
        <f t="shared" si="127"/>
        <v>20</v>
      </c>
      <c r="CJ21" s="51">
        <f>CH21*CI21</f>
        <v>1815.0000000000002</v>
      </c>
      <c r="CK21" s="54"/>
      <c r="CL21" s="51">
        <f t="shared" si="128"/>
        <v>90.75000000000001</v>
      </c>
      <c r="CM21" s="51">
        <f t="shared" si="129"/>
        <v>20</v>
      </c>
      <c r="CN21" s="51">
        <f>CL21*CM21</f>
        <v>1815.0000000000002</v>
      </c>
      <c r="CO21" s="54"/>
      <c r="CP21" s="51">
        <f t="shared" si="130"/>
        <v>90.75000000000001</v>
      </c>
      <c r="CQ21" s="51">
        <f t="shared" si="131"/>
        <v>20</v>
      </c>
      <c r="CR21" s="51">
        <f>CP21*CQ21</f>
        <v>1815.0000000000002</v>
      </c>
      <c r="CS21" s="54"/>
      <c r="CT21" s="51">
        <f t="shared" si="132"/>
        <v>90.75000000000001</v>
      </c>
      <c r="CU21" s="51">
        <f t="shared" si="133"/>
        <v>20</v>
      </c>
      <c r="CV21" s="51">
        <f>CT21*CU21</f>
        <v>1815.0000000000002</v>
      </c>
      <c r="CW21" s="54"/>
      <c r="CX21" s="51">
        <f t="shared" si="134"/>
        <v>90.75000000000001</v>
      </c>
      <c r="CY21" s="51">
        <f t="shared" si="135"/>
        <v>20</v>
      </c>
      <c r="CZ21" s="51">
        <f>CX21*CY21</f>
        <v>1815.0000000000002</v>
      </c>
      <c r="DA21" s="54"/>
      <c r="DB21" s="80">
        <f>BF21+BJ21+BN21+BR21+BV21+BZ21+CD21+CH21+CL21+CP21+CT21+CX21</f>
        <v>1089.0000000000002</v>
      </c>
      <c r="DC21" s="80">
        <f>(BG21+BK21+BO21+BS21+BW21+CA21+CE21+CI21+CM21+CQ21+CU21+CY21)/12</f>
        <v>20</v>
      </c>
      <c r="DD21" s="80">
        <f>BH21+BL21+BP21+BT21+BX21+CB21+CF21+CJ21+CN21+CR21+CV21+CZ21</f>
        <v>21780.000000000004</v>
      </c>
      <c r="DF21" s="51">
        <f t="shared" si="136"/>
        <v>99.82500000000002</v>
      </c>
      <c r="DG21" s="51">
        <f t="shared" si="137"/>
        <v>20</v>
      </c>
      <c r="DH21" s="51">
        <f>DF21*DG21</f>
        <v>1996.5000000000005</v>
      </c>
      <c r="DI21" s="54"/>
      <c r="DJ21" s="51">
        <f t="shared" si="138"/>
        <v>99.82500000000002</v>
      </c>
      <c r="DK21" s="51">
        <f t="shared" si="139"/>
        <v>20</v>
      </c>
      <c r="DL21" s="51">
        <f>DJ21*DK21</f>
        <v>1996.5000000000005</v>
      </c>
      <c r="DM21" s="54"/>
      <c r="DN21" s="51">
        <f t="shared" si="140"/>
        <v>99.82500000000002</v>
      </c>
      <c r="DO21" s="51">
        <f t="shared" si="141"/>
        <v>20</v>
      </c>
      <c r="DP21" s="51">
        <f>DN21*DO21</f>
        <v>1996.5000000000005</v>
      </c>
      <c r="DQ21" s="54"/>
      <c r="DR21" s="51">
        <f t="shared" si="142"/>
        <v>99.82500000000002</v>
      </c>
      <c r="DS21" s="51">
        <f t="shared" si="143"/>
        <v>20</v>
      </c>
      <c r="DT21" s="51">
        <f>DR21*DS21</f>
        <v>1996.5000000000005</v>
      </c>
      <c r="DU21" s="54"/>
      <c r="DV21" s="51">
        <f t="shared" si="144"/>
        <v>99.82500000000002</v>
      </c>
      <c r="DW21" s="51">
        <f t="shared" si="145"/>
        <v>20</v>
      </c>
      <c r="DX21" s="51">
        <f>DV21*DW21</f>
        <v>1996.5000000000005</v>
      </c>
      <c r="DY21" s="54"/>
      <c r="DZ21" s="51">
        <f t="shared" si="146"/>
        <v>99.82500000000002</v>
      </c>
      <c r="EA21" s="51">
        <f t="shared" si="147"/>
        <v>20</v>
      </c>
      <c r="EB21" s="51">
        <f>DZ21*EA21</f>
        <v>1996.5000000000005</v>
      </c>
      <c r="EC21" s="54"/>
      <c r="ED21" s="51">
        <f t="shared" si="148"/>
        <v>99.82500000000002</v>
      </c>
      <c r="EE21" s="51">
        <f t="shared" si="149"/>
        <v>20</v>
      </c>
      <c r="EF21" s="51">
        <f>ED21*EE21</f>
        <v>1996.5000000000005</v>
      </c>
      <c r="EG21" s="54"/>
      <c r="EH21" s="51">
        <f t="shared" si="150"/>
        <v>99.82500000000002</v>
      </c>
      <c r="EI21" s="51">
        <f t="shared" ref="EI21:EI23" si="232">EE21*$EI$17</f>
        <v>20</v>
      </c>
      <c r="EJ21" s="51">
        <f>EH21*EI21</f>
        <v>1996.5000000000005</v>
      </c>
      <c r="EK21" s="54"/>
      <c r="EL21" s="51">
        <f t="shared" si="151"/>
        <v>99.82500000000002</v>
      </c>
      <c r="EM21" s="51">
        <f t="shared" si="152"/>
        <v>20</v>
      </c>
      <c r="EN21" s="51">
        <f>EL21*EM21</f>
        <v>1996.5000000000005</v>
      </c>
      <c r="EO21" s="54"/>
      <c r="EP21" s="51">
        <f t="shared" si="153"/>
        <v>99.82500000000002</v>
      </c>
      <c r="EQ21" s="51">
        <f t="shared" si="154"/>
        <v>20</v>
      </c>
      <c r="ER21" s="51">
        <f>EP21*EQ21</f>
        <v>1996.5000000000005</v>
      </c>
      <c r="ES21" s="54"/>
      <c r="ET21" s="51">
        <f t="shared" si="155"/>
        <v>99.82500000000002</v>
      </c>
      <c r="EU21" s="51">
        <f t="shared" si="156"/>
        <v>20</v>
      </c>
      <c r="EV21" s="51">
        <f>ET21*EU21</f>
        <v>1996.5000000000005</v>
      </c>
      <c r="EW21" s="54"/>
      <c r="EX21" s="51">
        <f t="shared" si="157"/>
        <v>99.82500000000002</v>
      </c>
      <c r="EY21" s="51">
        <f t="shared" si="158"/>
        <v>20</v>
      </c>
      <c r="EZ21" s="51">
        <f>EX21*EY21</f>
        <v>1996.5000000000005</v>
      </c>
      <c r="FA21" s="54"/>
      <c r="FB21" s="80">
        <f>DF21+DJ21+DN21+DR21+DV21+DZ21+ED21+EH21+EL21+EP21+ET21+EX21</f>
        <v>1197.9000000000003</v>
      </c>
      <c r="FC21" s="80">
        <f>(DG21+DK21+DO21+DS21+DW21+EA21+EE21+EI21+EM21+EQ21+EU21+EY21)/12</f>
        <v>20</v>
      </c>
      <c r="FD21" s="80">
        <f>DH21+DL21+DP21+DT21+DX21+EB21+EF21+EJ21+EN21+ER21+EV21+EZ21</f>
        <v>23958.000000000004</v>
      </c>
      <c r="FF21" s="51">
        <f t="shared" si="159"/>
        <v>109.80750000000003</v>
      </c>
      <c r="FG21" s="51">
        <f t="shared" si="160"/>
        <v>20</v>
      </c>
      <c r="FH21" s="51">
        <f>FF21*FG21</f>
        <v>2196.1500000000005</v>
      </c>
      <c r="FI21" s="54"/>
      <c r="FJ21" s="51">
        <f t="shared" si="161"/>
        <v>109.80750000000003</v>
      </c>
      <c r="FK21" s="51">
        <f t="shared" si="162"/>
        <v>20</v>
      </c>
      <c r="FL21" s="51">
        <f>FJ21*FK21</f>
        <v>2196.1500000000005</v>
      </c>
      <c r="FM21" s="54"/>
      <c r="FN21" s="51">
        <f t="shared" si="163"/>
        <v>109.80750000000003</v>
      </c>
      <c r="FO21" s="51">
        <f t="shared" si="164"/>
        <v>20</v>
      </c>
      <c r="FP21" s="51">
        <f>FN21*FO21</f>
        <v>2196.1500000000005</v>
      </c>
      <c r="FQ21" s="54"/>
      <c r="FR21" s="51">
        <f>FN21*$FR$17</f>
        <v>109.80750000000003</v>
      </c>
      <c r="FS21" s="51">
        <f t="shared" ref="FS21:FS23" si="233">FO21*$FS$17</f>
        <v>20</v>
      </c>
      <c r="FT21" s="51">
        <f>FR21*FS21</f>
        <v>2196.1500000000005</v>
      </c>
      <c r="FU21" s="54"/>
      <c r="FV21" s="51">
        <f t="shared" si="166"/>
        <v>109.80750000000003</v>
      </c>
      <c r="FW21" s="51">
        <f t="shared" si="167"/>
        <v>20</v>
      </c>
      <c r="FX21" s="51">
        <f>FV21*FW21</f>
        <v>2196.1500000000005</v>
      </c>
      <c r="FY21" s="54"/>
      <c r="FZ21" s="51">
        <f t="shared" si="168"/>
        <v>109.80750000000003</v>
      </c>
      <c r="GA21" s="51">
        <f t="shared" si="169"/>
        <v>20</v>
      </c>
      <c r="GB21" s="51">
        <f>FZ21*GA21</f>
        <v>2196.1500000000005</v>
      </c>
      <c r="GC21" s="54"/>
      <c r="GD21" s="51">
        <f t="shared" si="170"/>
        <v>109.80750000000003</v>
      </c>
      <c r="GE21" s="51">
        <f t="shared" si="171"/>
        <v>20</v>
      </c>
      <c r="GF21" s="51">
        <f>GD21*GE21</f>
        <v>2196.1500000000005</v>
      </c>
      <c r="GG21" s="54"/>
      <c r="GH21" s="51">
        <f t="shared" si="172"/>
        <v>109.80750000000003</v>
      </c>
      <c r="GI21" s="51">
        <f t="shared" si="173"/>
        <v>20</v>
      </c>
      <c r="GJ21" s="51">
        <f>GH21*GI21</f>
        <v>2196.1500000000005</v>
      </c>
      <c r="GK21" s="54"/>
      <c r="GL21" s="51">
        <f t="shared" si="174"/>
        <v>109.80750000000003</v>
      </c>
      <c r="GM21" s="51">
        <f t="shared" si="175"/>
        <v>20</v>
      </c>
      <c r="GN21" s="51">
        <f>GL21*GM21</f>
        <v>2196.1500000000005</v>
      </c>
      <c r="GO21" s="54"/>
      <c r="GP21" s="51">
        <f>GL21*$GP$17</f>
        <v>109.80750000000003</v>
      </c>
      <c r="GQ21" s="51">
        <f>GM21*$GQ$17</f>
        <v>20</v>
      </c>
      <c r="GR21" s="51">
        <f>GP21*GQ21</f>
        <v>2196.1500000000005</v>
      </c>
      <c r="GS21" s="54"/>
      <c r="GT21" s="51">
        <f t="shared" si="178"/>
        <v>109.80750000000003</v>
      </c>
      <c r="GU21" s="51">
        <f t="shared" si="179"/>
        <v>20</v>
      </c>
      <c r="GV21" s="51">
        <f>GT21*GU21</f>
        <v>2196.1500000000005</v>
      </c>
      <c r="GW21" s="54"/>
      <c r="GX21" s="51">
        <f t="shared" si="180"/>
        <v>109.80750000000003</v>
      </c>
      <c r="GY21" s="51">
        <f t="shared" si="181"/>
        <v>20</v>
      </c>
      <c r="GZ21" s="51">
        <f>GX21*GY21</f>
        <v>2196.1500000000005</v>
      </c>
      <c r="HB21" s="80">
        <f>FF21+FJ21+FN21+FR21+FV21+FZ21+GD21+GH21+GL21+GP21+GT21+GX21</f>
        <v>1317.6900000000005</v>
      </c>
      <c r="HC21" s="80">
        <f>(FG21+FK21+FO21+FS21+FW21+GA21+GE21+GI21+GM21+GQ21+GU21+GY21)/12</f>
        <v>20</v>
      </c>
      <c r="HD21" s="80">
        <f>FH21+FL21+FP21+FT21+FX21+GB21+GF21+GJ21+GN21+GR21+GV21+GZ21</f>
        <v>26353.800000000014</v>
      </c>
      <c r="HF21" s="51">
        <f t="shared" si="182"/>
        <v>120.78825000000005</v>
      </c>
      <c r="HG21" s="51">
        <f t="shared" si="183"/>
        <v>20</v>
      </c>
      <c r="HH21" s="51">
        <f>HF21*HG21</f>
        <v>2415.765000000001</v>
      </c>
      <c r="HI21" s="54"/>
      <c r="HJ21" s="51">
        <f t="shared" si="184"/>
        <v>120.78825000000005</v>
      </c>
      <c r="HK21" s="51">
        <f t="shared" si="185"/>
        <v>20</v>
      </c>
      <c r="HL21" s="51">
        <f>HJ21*HK21</f>
        <v>2415.765000000001</v>
      </c>
      <c r="HM21" s="54"/>
      <c r="HN21" s="51">
        <f t="shared" si="186"/>
        <v>120.78825000000005</v>
      </c>
      <c r="HO21" s="51">
        <f t="shared" si="187"/>
        <v>20</v>
      </c>
      <c r="HP21" s="51">
        <f>HN21*HO21</f>
        <v>2415.765000000001</v>
      </c>
      <c r="HQ21" s="54"/>
      <c r="HR21" s="51">
        <f t="shared" si="188"/>
        <v>120.78825000000005</v>
      </c>
      <c r="HS21" s="51">
        <f t="shared" si="189"/>
        <v>20</v>
      </c>
      <c r="HT21" s="51">
        <f>HR21*HS21</f>
        <v>2415.765000000001</v>
      </c>
      <c r="HU21" s="54"/>
      <c r="HV21" s="51">
        <f t="shared" si="190"/>
        <v>120.78825000000005</v>
      </c>
      <c r="HW21" s="51">
        <f t="shared" si="191"/>
        <v>20</v>
      </c>
      <c r="HX21" s="51">
        <f>HV21*HW21</f>
        <v>2415.765000000001</v>
      </c>
      <c r="HY21" s="54"/>
      <c r="HZ21" s="51">
        <f t="shared" si="192"/>
        <v>120.78825000000005</v>
      </c>
      <c r="IA21" s="51">
        <f t="shared" si="193"/>
        <v>20</v>
      </c>
      <c r="IB21" s="51">
        <f>HZ21*IA21</f>
        <v>2415.765000000001</v>
      </c>
      <c r="IC21" s="54"/>
      <c r="ID21" s="51">
        <f t="shared" si="194"/>
        <v>120.78825000000005</v>
      </c>
      <c r="IE21" s="51">
        <f t="shared" si="195"/>
        <v>20</v>
      </c>
      <c r="IF21" s="51">
        <f>ID21*IE21</f>
        <v>2415.765000000001</v>
      </c>
      <c r="IG21" s="54"/>
      <c r="IH21" s="51">
        <f t="shared" si="196"/>
        <v>120.78825000000005</v>
      </c>
      <c r="II21" s="51">
        <f t="shared" si="197"/>
        <v>20</v>
      </c>
      <c r="IJ21" s="51">
        <f>IH21*II21</f>
        <v>2415.765000000001</v>
      </c>
      <c r="IK21" s="54"/>
      <c r="IL21" s="51">
        <f t="shared" si="198"/>
        <v>120.78825000000005</v>
      </c>
      <c r="IM21" s="51">
        <f t="shared" si="199"/>
        <v>20</v>
      </c>
      <c r="IN21" s="51">
        <f>IL21*IM21</f>
        <v>2415.765000000001</v>
      </c>
      <c r="IO21" s="54"/>
      <c r="IP21" s="51">
        <f t="shared" si="200"/>
        <v>120.78825000000005</v>
      </c>
      <c r="IQ21" s="51">
        <f t="shared" si="201"/>
        <v>20</v>
      </c>
      <c r="IR21" s="51">
        <f>IP21*IQ21</f>
        <v>2415.765000000001</v>
      </c>
      <c r="IS21" s="54"/>
      <c r="IT21" s="51">
        <f t="shared" si="202"/>
        <v>120.78825000000005</v>
      </c>
      <c r="IU21" s="51">
        <f t="shared" si="203"/>
        <v>20</v>
      </c>
      <c r="IV21" s="51">
        <f>IT21*IU21</f>
        <v>2415.765000000001</v>
      </c>
      <c r="IW21" s="54"/>
      <c r="IX21" s="51">
        <f t="shared" si="204"/>
        <v>120.78825000000005</v>
      </c>
      <c r="IY21" s="51">
        <f t="shared" si="205"/>
        <v>20</v>
      </c>
      <c r="IZ21" s="51">
        <f>IX21*IY21</f>
        <v>2415.765000000001</v>
      </c>
      <c r="JB21" s="80">
        <f>HF21+HJ21+HN21+HR21+HV21+HZ21+ID21+IH21+IL21+IP21+IT21+IX21</f>
        <v>1449.4590000000005</v>
      </c>
      <c r="JC21" s="80">
        <f>(HG21+HK21+HO21+HS21+HW21+IA21+IE21+II21+IM21+IQ21+IU21+IY21)/12</f>
        <v>20</v>
      </c>
      <c r="JD21" s="80">
        <f>HH21+HL21+HP21+HT21+HX21+IB21+IF21+IJ21+IN21+IR21+IV21+IZ21</f>
        <v>28989.180000000004</v>
      </c>
      <c r="JF21" s="51">
        <f t="shared" si="206"/>
        <v>132.86707500000006</v>
      </c>
      <c r="JG21" s="51">
        <f t="shared" si="207"/>
        <v>20</v>
      </c>
      <c r="JH21" s="51">
        <f>JF21*JG21</f>
        <v>2657.3415000000014</v>
      </c>
      <c r="JI21" s="54"/>
      <c r="JJ21" s="51">
        <f t="shared" si="208"/>
        <v>132.86707500000006</v>
      </c>
      <c r="JK21" s="51">
        <f t="shared" si="209"/>
        <v>20</v>
      </c>
      <c r="JL21" s="51">
        <f>JJ21*JK21</f>
        <v>2657.3415000000014</v>
      </c>
      <c r="JM21" s="54"/>
      <c r="JN21" s="51">
        <f t="shared" si="210"/>
        <v>132.86707500000006</v>
      </c>
      <c r="JO21" s="51">
        <f t="shared" si="211"/>
        <v>20</v>
      </c>
      <c r="JP21" s="51">
        <f>JN21*JO21</f>
        <v>2657.3415000000014</v>
      </c>
      <c r="JQ21" s="54"/>
      <c r="JR21" s="51">
        <f t="shared" si="212"/>
        <v>132.86707500000006</v>
      </c>
      <c r="JS21" s="51">
        <f t="shared" si="213"/>
        <v>20</v>
      </c>
      <c r="JT21" s="51">
        <f>JR21*JS21</f>
        <v>2657.3415000000014</v>
      </c>
      <c r="JU21" s="54"/>
      <c r="JV21" s="51">
        <f t="shared" si="214"/>
        <v>132.86707500000006</v>
      </c>
      <c r="JW21" s="51">
        <f t="shared" si="215"/>
        <v>20</v>
      </c>
      <c r="JX21" s="51">
        <f>JV21*JW21</f>
        <v>2657.3415000000014</v>
      </c>
      <c r="JY21" s="54"/>
      <c r="JZ21" s="51">
        <f t="shared" si="216"/>
        <v>132.86707500000006</v>
      </c>
      <c r="KA21" s="51">
        <f t="shared" si="217"/>
        <v>20</v>
      </c>
      <c r="KB21" s="51">
        <f>JZ21*KA21</f>
        <v>2657.3415000000014</v>
      </c>
      <c r="KC21" s="54"/>
      <c r="KD21" s="51">
        <f t="shared" si="218"/>
        <v>132.86707500000006</v>
      </c>
      <c r="KE21" s="51">
        <f t="shared" si="219"/>
        <v>20</v>
      </c>
      <c r="KF21" s="51">
        <f>KD21*KE21</f>
        <v>2657.3415000000014</v>
      </c>
      <c r="KG21" s="54"/>
      <c r="KH21" s="51">
        <f>KD21*$KH$17</f>
        <v>132.86707500000006</v>
      </c>
      <c r="KI21" s="51">
        <f t="shared" si="221"/>
        <v>20</v>
      </c>
      <c r="KJ21" s="51">
        <f>KH21*KI21</f>
        <v>2657.3415000000014</v>
      </c>
      <c r="KK21" s="54"/>
      <c r="KL21" s="51">
        <f t="shared" si="222"/>
        <v>132.86707500000006</v>
      </c>
      <c r="KM21" s="51">
        <f t="shared" si="223"/>
        <v>20</v>
      </c>
      <c r="KN21" s="51">
        <f>KL21*KM21</f>
        <v>2657.3415000000014</v>
      </c>
      <c r="KO21" s="54"/>
      <c r="KP21" s="51">
        <f t="shared" si="224"/>
        <v>132.86707500000006</v>
      </c>
      <c r="KQ21" s="51">
        <f t="shared" si="225"/>
        <v>20</v>
      </c>
      <c r="KR21" s="51">
        <f>KP21*KQ21</f>
        <v>2657.3415000000014</v>
      </c>
      <c r="KS21" s="54"/>
      <c r="KT21" s="51">
        <f t="shared" si="226"/>
        <v>132.86707500000006</v>
      </c>
      <c r="KU21" s="51">
        <f t="shared" si="227"/>
        <v>20</v>
      </c>
      <c r="KV21" s="51">
        <f>KT21*KU21</f>
        <v>2657.3415000000014</v>
      </c>
      <c r="KW21" s="54"/>
      <c r="KX21" s="51">
        <f t="shared" si="228"/>
        <v>132.86707500000006</v>
      </c>
      <c r="KY21" s="51">
        <f t="shared" si="229"/>
        <v>20</v>
      </c>
      <c r="KZ21" s="51">
        <f>KX21*KY21</f>
        <v>2657.3415000000014</v>
      </c>
      <c r="LB21" s="80">
        <f>JF21+JJ21+JN21+JR21+JV21+JZ21+KD21+KH21+KL21+KP21+KT21+KX21</f>
        <v>1594.4049000000011</v>
      </c>
      <c r="LC21" s="80">
        <f>(JG21+JK21+JO21+JS21+JW21+KA21+KE21+KI21+KM21+KQ21+KU21+KY21)/12</f>
        <v>20</v>
      </c>
      <c r="LD21" s="80">
        <f>JH21+JL21+JP21+JT21+JX21+KB21+KF21+KJ21+KN21+KR21+KV21+KZ21</f>
        <v>31888.098000000024</v>
      </c>
    </row>
    <row r="22" ht="18.75" customHeight="1" spans="2:316" x14ac:dyDescent="0.25">
      <c r="B22" s="5" t="s">
        <v>63</v>
      </c>
      <c r="C22" s="29"/>
      <c r="D22" s="29">
        <f>'A.I Revenue Streams - P1'!E22</f>
        <v>0</v>
      </c>
      <c r="E22" s="30"/>
      <c r="F22" s="51">
        <f>'A.I Revenue Streams - P2'!G22*25</f>
        <v>50</v>
      </c>
      <c r="G22" s="51">
        <f>'A.I Revenue Streams - P2'!I22</f>
        <v>20</v>
      </c>
      <c r="H22" s="51">
        <f>F22*G22</f>
        <v>1000</v>
      </c>
      <c r="I22" s="54"/>
      <c r="J22" s="51">
        <f>F22*$J$17</f>
        <v>55.00000000000001</v>
      </c>
      <c r="K22" s="51">
        <f>G22*$K$17</f>
        <v>20</v>
      </c>
      <c r="L22" s="51">
        <f>J22*K22</f>
        <v>1100.0000000000002</v>
      </c>
      <c r="M22" s="54"/>
      <c r="N22" s="51">
        <f>J22*$N$17</f>
        <v>55.00000000000001</v>
      </c>
      <c r="O22" s="51">
        <f>K22*$O$17</f>
        <v>20</v>
      </c>
      <c r="P22" s="51">
        <f>N22*O22</f>
        <v>1100.0000000000002</v>
      </c>
      <c r="Q22" s="54"/>
      <c r="R22" s="51">
        <f>N22*$R$17</f>
        <v>55.00000000000001</v>
      </c>
      <c r="S22" s="51">
        <f>O22*$S$17</f>
        <v>20</v>
      </c>
      <c r="T22" s="51">
        <f>R22*S22</f>
        <v>1100.0000000000002</v>
      </c>
      <c r="U22" s="54"/>
      <c r="V22" s="51">
        <f>R22*$V$17</f>
        <v>55.00000000000001</v>
      </c>
      <c r="W22" s="51">
        <f>S22*$W$17</f>
        <v>20</v>
      </c>
      <c r="X22" s="51">
        <f>V22*W22</f>
        <v>1100.0000000000002</v>
      </c>
      <c r="Y22" s="54"/>
      <c r="Z22" s="51">
        <f>V22*$Z$17</f>
        <v>55.00000000000001</v>
      </c>
      <c r="AA22" s="51">
        <f>W22*$AA$17</f>
        <v>20</v>
      </c>
      <c r="AB22" s="51">
        <f>Z22*AA22</f>
        <v>1100.0000000000002</v>
      </c>
      <c r="AC22" s="54"/>
      <c r="AD22" s="51">
        <f>Z22*$AD$17</f>
        <v>55.00000000000001</v>
      </c>
      <c r="AE22" s="51">
        <f>AA22*$AE$17</f>
        <v>20</v>
      </c>
      <c r="AF22" s="51">
        <f>AD22*AE22</f>
        <v>1100.0000000000002</v>
      </c>
      <c r="AG22" s="54"/>
      <c r="AH22" s="51">
        <f>AD22*$AH$17</f>
        <v>55.00000000000001</v>
      </c>
      <c r="AI22" s="51">
        <f>AE22*$AI$17</f>
        <v>20</v>
      </c>
      <c r="AJ22" s="51">
        <f>AH22*AI22</f>
        <v>1100.0000000000002</v>
      </c>
      <c r="AK22" s="54"/>
      <c r="AL22" s="51">
        <f>AH22*$AL$17</f>
        <v>55.00000000000001</v>
      </c>
      <c r="AM22" s="51">
        <f>AI22*$AM$17</f>
        <v>20</v>
      </c>
      <c r="AN22" s="51">
        <f>AL22*AM22</f>
        <v>1100.0000000000002</v>
      </c>
      <c r="AO22" s="54"/>
      <c r="AP22" s="51">
        <f>AL22*$AP$17</f>
        <v>55.00000000000001</v>
      </c>
      <c r="AQ22" s="51">
        <f>AM22*$AQ$17</f>
        <v>20</v>
      </c>
      <c r="AR22" s="51">
        <f>AP22*AQ22</f>
        <v>1100.0000000000002</v>
      </c>
      <c r="AS22" s="54"/>
      <c r="AT22" s="51">
        <f>AP22*$AT$17</f>
        <v>55.00000000000001</v>
      </c>
      <c r="AU22" s="51">
        <f>AQ22*$AU$17</f>
        <v>20</v>
      </c>
      <c r="AV22" s="51">
        <f>AT22*AU22</f>
        <v>1100.0000000000002</v>
      </c>
      <c r="AW22" s="54"/>
      <c r="AX22" s="51">
        <f>AT22*$AX$17</f>
        <v>55.00000000000001</v>
      </c>
      <c r="AY22" s="51">
        <f>AU22*$AY$17</f>
        <v>20</v>
      </c>
      <c r="AZ22" s="51">
        <f>AX22*AY22</f>
        <v>1100.0000000000002</v>
      </c>
      <c r="BA22" s="54"/>
      <c r="BB22" s="85">
        <f>SUMIF($F$6:$AZ$6,$BB$6,F22:AZ22)</f>
        <v>655</v>
      </c>
      <c r="BC22" s="85">
        <f>SUMIF($F$6:$AZ$6,$BC$6,F22:AZ22)/12</f>
        <v>20</v>
      </c>
      <c r="BD22" s="80">
        <f>H22+L22+P22+T22+X22+AB22+AF22+AJ22+AN22</f>
        <v>9800</v>
      </c>
      <c r="BE22" t="b">
        <f>(BB22*BC22)=BD22</f>
        <v>0</v>
      </c>
      <c r="BF22" s="51">
        <f>AX22*$BF$17</f>
        <v>60.500000000000014</v>
      </c>
      <c r="BG22" s="51">
        <f>AY22*$BG$17</f>
        <v>20</v>
      </c>
      <c r="BH22" s="51">
        <f>BF22*BG22</f>
        <v>1210.0000000000002</v>
      </c>
      <c r="BI22" s="54"/>
      <c r="BJ22" s="51">
        <f t="shared" si="230"/>
        <v>60.500000000000014</v>
      </c>
      <c r="BK22" s="51">
        <f t="shared" si="231"/>
        <v>20</v>
      </c>
      <c r="BL22" s="51">
        <f>BJ22*BK22</f>
        <v>1210.0000000000002</v>
      </c>
      <c r="BM22" s="54"/>
      <c r="BN22" s="51">
        <f t="shared" si="116"/>
        <v>60.500000000000014</v>
      </c>
      <c r="BO22" s="51">
        <f t="shared" si="117"/>
        <v>20</v>
      </c>
      <c r="BP22" s="51">
        <f>BN22*BO22</f>
        <v>1210.0000000000002</v>
      </c>
      <c r="BQ22" s="54"/>
      <c r="BR22" s="51">
        <f t="shared" si="118"/>
        <v>60.500000000000014</v>
      </c>
      <c r="BS22" s="51">
        <f t="shared" si="119"/>
        <v>20</v>
      </c>
      <c r="BT22" s="51">
        <f>BR22*BS22</f>
        <v>1210.0000000000002</v>
      </c>
      <c r="BU22" s="54"/>
      <c r="BV22" s="51">
        <f t="shared" si="120"/>
        <v>60.500000000000014</v>
      </c>
      <c r="BW22" s="51">
        <f t="shared" si="121"/>
        <v>20</v>
      </c>
      <c r="BX22" s="51">
        <f>BV22*BW22</f>
        <v>1210.0000000000002</v>
      </c>
      <c r="BY22" s="54"/>
      <c r="BZ22" s="51">
        <f t="shared" si="122"/>
        <v>60.500000000000014</v>
      </c>
      <c r="CA22" s="51">
        <f t="shared" si="123"/>
        <v>20</v>
      </c>
      <c r="CB22" s="51">
        <f>BZ22*CA22</f>
        <v>1210.0000000000002</v>
      </c>
      <c r="CC22" s="54"/>
      <c r="CD22" s="51">
        <f t="shared" si="124"/>
        <v>60.500000000000014</v>
      </c>
      <c r="CE22" s="51">
        <f t="shared" si="125"/>
        <v>20</v>
      </c>
      <c r="CF22" s="51">
        <f>CD22*CE22</f>
        <v>1210.0000000000002</v>
      </c>
      <c r="CG22" s="54"/>
      <c r="CH22" s="51">
        <f t="shared" si="126"/>
        <v>60.500000000000014</v>
      </c>
      <c r="CI22" s="51">
        <f t="shared" si="127"/>
        <v>20</v>
      </c>
      <c r="CJ22" s="51">
        <f>CH22*CI22</f>
        <v>1210.0000000000002</v>
      </c>
      <c r="CK22" s="54"/>
      <c r="CL22" s="51">
        <f t="shared" si="128"/>
        <v>60.500000000000014</v>
      </c>
      <c r="CM22" s="51">
        <f t="shared" si="129"/>
        <v>20</v>
      </c>
      <c r="CN22" s="51">
        <f>CL22*CM22</f>
        <v>1210.0000000000002</v>
      </c>
      <c r="CO22" s="54"/>
      <c r="CP22" s="51">
        <f t="shared" si="130"/>
        <v>60.500000000000014</v>
      </c>
      <c r="CQ22" s="51">
        <f t="shared" si="131"/>
        <v>20</v>
      </c>
      <c r="CR22" s="51">
        <f>CP22*CQ22</f>
        <v>1210.0000000000002</v>
      </c>
      <c r="CS22" s="54"/>
      <c r="CT22" s="51">
        <f t="shared" si="132"/>
        <v>60.500000000000014</v>
      </c>
      <c r="CU22" s="51">
        <f t="shared" si="133"/>
        <v>20</v>
      </c>
      <c r="CV22" s="51">
        <f>CT22*CU22</f>
        <v>1210.0000000000002</v>
      </c>
      <c r="CW22" s="54"/>
      <c r="CX22" s="51">
        <f t="shared" si="134"/>
        <v>60.500000000000014</v>
      </c>
      <c r="CY22" s="51">
        <f t="shared" si="135"/>
        <v>20</v>
      </c>
      <c r="CZ22" s="51">
        <f>CX22*CY22</f>
        <v>1210.0000000000002</v>
      </c>
      <c r="DA22" s="54"/>
      <c r="DB22" s="80">
        <f>BF22+BJ22+BN22+BR22+BV22+BZ22+CD22+CH22+CL22+CP22+CT22+CX22</f>
        <v>726.0000000000001</v>
      </c>
      <c r="DC22" s="80">
        <f>(BG22+BK22+BO22+BS22+BW22+CA22+CE22+CI22+CM22+CQ22+CU22+CY22)/12</f>
        <v>20</v>
      </c>
      <c r="DD22" s="80">
        <f>BH22+BL22+BP22+BT22+BX22+CB22+CF22+CJ22+CN22+CR22+CV22+CZ22</f>
        <v>14520.000000000002</v>
      </c>
      <c r="DF22" s="51">
        <f t="shared" si="136"/>
        <v>66.55000000000003</v>
      </c>
      <c r="DG22" s="51">
        <f t="shared" si="137"/>
        <v>20</v>
      </c>
      <c r="DH22" s="51">
        <f>DF22*DG22</f>
        <v>1331.0000000000005</v>
      </c>
      <c r="DI22" s="54"/>
      <c r="DJ22" s="51">
        <f t="shared" si="138"/>
        <v>66.55000000000003</v>
      </c>
      <c r="DK22" s="51">
        <f t="shared" si="139"/>
        <v>20</v>
      </c>
      <c r="DL22" s="51">
        <f>DJ22*DK22</f>
        <v>1331.0000000000005</v>
      </c>
      <c r="DM22" s="54"/>
      <c r="DN22" s="51">
        <f t="shared" si="140"/>
        <v>66.55000000000003</v>
      </c>
      <c r="DO22" s="51">
        <f t="shared" si="141"/>
        <v>20</v>
      </c>
      <c r="DP22" s="51">
        <f>DN22*DO22</f>
        <v>1331.0000000000005</v>
      </c>
      <c r="DQ22" s="54"/>
      <c r="DR22" s="51">
        <f t="shared" si="142"/>
        <v>66.55000000000003</v>
      </c>
      <c r="DS22" s="51">
        <f t="shared" si="143"/>
        <v>20</v>
      </c>
      <c r="DT22" s="51">
        <f>DR22*DS22</f>
        <v>1331.0000000000005</v>
      </c>
      <c r="DU22" s="54"/>
      <c r="DV22" s="51">
        <f t="shared" si="144"/>
        <v>66.55000000000003</v>
      </c>
      <c r="DW22" s="51">
        <f t="shared" si="145"/>
        <v>20</v>
      </c>
      <c r="DX22" s="51">
        <f>DV22*DW22</f>
        <v>1331.0000000000005</v>
      </c>
      <c r="DY22" s="54"/>
      <c r="DZ22" s="51">
        <f t="shared" si="146"/>
        <v>66.55000000000003</v>
      </c>
      <c r="EA22" s="51">
        <f t="shared" si="147"/>
        <v>20</v>
      </c>
      <c r="EB22" s="51">
        <f>DZ22*EA22</f>
        <v>1331.0000000000005</v>
      </c>
      <c r="EC22" s="54"/>
      <c r="ED22" s="51">
        <f t="shared" si="148"/>
        <v>66.55000000000003</v>
      </c>
      <c r="EE22" s="51">
        <f t="shared" si="149"/>
        <v>20</v>
      </c>
      <c r="EF22" s="51">
        <f>ED22*EE22</f>
        <v>1331.0000000000005</v>
      </c>
      <c r="EG22" s="54"/>
      <c r="EH22" s="51">
        <f t="shared" si="150"/>
        <v>66.55000000000003</v>
      </c>
      <c r="EI22" s="51">
        <f t="shared" si="232"/>
        <v>20</v>
      </c>
      <c r="EJ22" s="51">
        <f>EH22*EI22</f>
        <v>1331.0000000000005</v>
      </c>
      <c r="EK22" s="54"/>
      <c r="EL22" s="51">
        <f t="shared" si="151"/>
        <v>66.55000000000003</v>
      </c>
      <c r="EM22" s="51">
        <f t="shared" si="152"/>
        <v>20</v>
      </c>
      <c r="EN22" s="51">
        <f>EL22*EM22</f>
        <v>1331.0000000000005</v>
      </c>
      <c r="EO22" s="54"/>
      <c r="EP22" s="51">
        <f t="shared" si="153"/>
        <v>66.55000000000003</v>
      </c>
      <c r="EQ22" s="51">
        <f t="shared" si="154"/>
        <v>20</v>
      </c>
      <c r="ER22" s="51">
        <f>EP22*EQ22</f>
        <v>1331.0000000000005</v>
      </c>
      <c r="ES22" s="54"/>
      <c r="ET22" s="51">
        <f t="shared" si="155"/>
        <v>66.55000000000003</v>
      </c>
      <c r="EU22" s="51">
        <f t="shared" si="156"/>
        <v>20</v>
      </c>
      <c r="EV22" s="51">
        <f>ET22*EU22</f>
        <v>1331.0000000000005</v>
      </c>
      <c r="EW22" s="54"/>
      <c r="EX22" s="51">
        <f t="shared" si="157"/>
        <v>66.55000000000003</v>
      </c>
      <c r="EY22" s="51">
        <f t="shared" si="158"/>
        <v>20</v>
      </c>
      <c r="EZ22" s="51">
        <f>EX22*EY22</f>
        <v>1331.0000000000005</v>
      </c>
      <c r="FA22" s="54"/>
      <c r="FB22" s="80">
        <f>DF22+DJ22+DN22+DR22+DV22+DZ22+ED22+EH22+EL22+EP22+ET22+EX22</f>
        <v>798.6000000000005</v>
      </c>
      <c r="FC22" s="80">
        <f>(DG22+DK22+DO22+DS22+DW22+EA22+EE22+EI22+EM22+EQ22+EU22+EY22)/12</f>
        <v>20</v>
      </c>
      <c r="FD22" s="80">
        <f>DH22+DL22+DP22+DT22+DX22+EB22+EF22+EJ22+EN22+ER22+EV22+EZ22</f>
        <v>15972.000000000002</v>
      </c>
      <c r="FF22" s="51">
        <f t="shared" si="159"/>
        <v>73.20500000000004</v>
      </c>
      <c r="FG22" s="51">
        <f t="shared" si="160"/>
        <v>20</v>
      </c>
      <c r="FH22" s="51">
        <f>FF22*FG22</f>
        <v>1464.1000000000008</v>
      </c>
      <c r="FI22" s="54"/>
      <c r="FJ22" s="51">
        <f t="shared" si="161"/>
        <v>73.20500000000004</v>
      </c>
      <c r="FK22" s="51">
        <f t="shared" si="162"/>
        <v>20</v>
      </c>
      <c r="FL22" s="51">
        <f>FJ22*FK22</f>
        <v>1464.1000000000008</v>
      </c>
      <c r="FM22" s="54"/>
      <c r="FN22" s="51">
        <f t="shared" si="163"/>
        <v>73.20500000000004</v>
      </c>
      <c r="FO22" s="51">
        <f t="shared" si="164"/>
        <v>20</v>
      </c>
      <c r="FP22" s="51">
        <f>FN22*FO22</f>
        <v>1464.1000000000008</v>
      </c>
      <c r="FQ22" s="54"/>
      <c r="FR22" s="51">
        <f t="shared" si="165"/>
        <v>73.20500000000004</v>
      </c>
      <c r="FS22" s="51">
        <f t="shared" si="233"/>
        <v>20</v>
      </c>
      <c r="FT22" s="51">
        <f>FR22*FS22</f>
        <v>1464.1000000000008</v>
      </c>
      <c r="FU22" s="54"/>
      <c r="FV22" s="51">
        <f t="shared" si="166"/>
        <v>73.20500000000004</v>
      </c>
      <c r="FW22" s="51">
        <f t="shared" si="167"/>
        <v>20</v>
      </c>
      <c r="FX22" s="51">
        <f>FV22*FW22</f>
        <v>1464.1000000000008</v>
      </c>
      <c r="FY22" s="54"/>
      <c r="FZ22" s="51">
        <f t="shared" si="168"/>
        <v>73.20500000000004</v>
      </c>
      <c r="GA22" s="51">
        <f t="shared" si="169"/>
        <v>20</v>
      </c>
      <c r="GB22" s="51">
        <f>FZ22*GA22</f>
        <v>1464.1000000000008</v>
      </c>
      <c r="GC22" s="54"/>
      <c r="GD22" s="51">
        <f t="shared" si="170"/>
        <v>73.20500000000004</v>
      </c>
      <c r="GE22" s="51">
        <f t="shared" si="171"/>
        <v>20</v>
      </c>
      <c r="GF22" s="51">
        <f>GD22*GE22</f>
        <v>1464.1000000000008</v>
      </c>
      <c r="GG22" s="54"/>
      <c r="GH22" s="51">
        <f t="shared" si="172"/>
        <v>73.20500000000004</v>
      </c>
      <c r="GI22" s="51">
        <f t="shared" si="173"/>
        <v>20</v>
      </c>
      <c r="GJ22" s="51">
        <f>GH22*GI22</f>
        <v>1464.1000000000008</v>
      </c>
      <c r="GK22" s="54"/>
      <c r="GL22" s="51">
        <f t="shared" si="174"/>
        <v>73.20500000000004</v>
      </c>
      <c r="GM22" s="51">
        <f t="shared" si="175"/>
        <v>20</v>
      </c>
      <c r="GN22" s="51">
        <f>GL22*GM22</f>
        <v>1464.1000000000008</v>
      </c>
      <c r="GO22" s="54"/>
      <c r="GP22" s="51">
        <f>GL22*$GP$17</f>
        <v>73.20500000000004</v>
      </c>
      <c r="GQ22" s="51">
        <f>GM22*$GQ$17</f>
        <v>20</v>
      </c>
      <c r="GR22" s="51">
        <f>GP22*GQ22</f>
        <v>1464.1000000000008</v>
      </c>
      <c r="GS22" s="54"/>
      <c r="GT22" s="51">
        <f t="shared" si="178"/>
        <v>73.20500000000004</v>
      </c>
      <c r="GU22" s="51">
        <f t="shared" si="179"/>
        <v>20</v>
      </c>
      <c r="GV22" s="51">
        <f>GT22*GU22</f>
        <v>1464.1000000000008</v>
      </c>
      <c r="GW22" s="54"/>
      <c r="GX22" s="51">
        <f>GT22*$GX$17</f>
        <v>73.20500000000004</v>
      </c>
      <c r="GY22" s="51">
        <f>GU22*$GY$17</f>
        <v>20</v>
      </c>
      <c r="GZ22" s="51">
        <f>GX22*GY22</f>
        <v>1464.1000000000008</v>
      </c>
      <c r="HB22" s="80">
        <f>FF22+FJ22+FN22+FR22+FV22+FZ22+GD22+GH22+GL22+GP22+GT22+GX22</f>
        <v>878.4600000000005</v>
      </c>
      <c r="HC22" s="80">
        <f>(FG22+FK22+FO22+FS22+FW22+GA22+GE22+GI22+GM22+GQ22+GU22+GY22)/12</f>
        <v>20</v>
      </c>
      <c r="HD22" s="80">
        <f>FH22+FL22+FP22+FT22+FX22+GB22+GF22+GJ22+GN22+GR22+GV22+GZ22</f>
        <v>17569.200000000008</v>
      </c>
      <c r="HF22" s="51">
        <f t="shared" si="182"/>
        <v>80.52550000000005</v>
      </c>
      <c r="HG22" s="51">
        <f>GY22*$HG$17</f>
        <v>20</v>
      </c>
      <c r="HH22" s="51">
        <f>HF22*HG22</f>
        <v>1610.5100000000011</v>
      </c>
      <c r="HI22" s="54"/>
      <c r="HJ22" s="51">
        <f>HF22*$HJ$17</f>
        <v>80.52550000000005</v>
      </c>
      <c r="HK22" s="51">
        <f>HG22*$HK$17</f>
        <v>20</v>
      </c>
      <c r="HL22" s="51">
        <f>HJ22*HK22</f>
        <v>1610.5100000000011</v>
      </c>
      <c r="HM22" s="54"/>
      <c r="HN22" s="51">
        <f>HJ22*$HN$17</f>
        <v>80.52550000000005</v>
      </c>
      <c r="HO22" s="51">
        <f t="shared" si="187"/>
        <v>20</v>
      </c>
      <c r="HP22" s="51">
        <f>HN22*HO22</f>
        <v>1610.5100000000011</v>
      </c>
      <c r="HQ22" s="54"/>
      <c r="HR22" s="51">
        <f>HN22*$HR$17</f>
        <v>80.52550000000005</v>
      </c>
      <c r="HS22" s="51">
        <f>HO22*$HS$17</f>
        <v>20</v>
      </c>
      <c r="HT22" s="51">
        <f>HR22*HS22</f>
        <v>1610.5100000000011</v>
      </c>
      <c r="HU22" s="54"/>
      <c r="HV22" s="51">
        <f t="shared" si="190"/>
        <v>80.52550000000005</v>
      </c>
      <c r="HW22" s="51">
        <f t="shared" si="191"/>
        <v>20</v>
      </c>
      <c r="HX22" s="51">
        <f>HV22*HW22</f>
        <v>1610.5100000000011</v>
      </c>
      <c r="HY22" s="54"/>
      <c r="HZ22" s="51">
        <f t="shared" si="192"/>
        <v>80.52550000000005</v>
      </c>
      <c r="IA22" s="51">
        <f t="shared" si="193"/>
        <v>20</v>
      </c>
      <c r="IB22" s="51">
        <f>HZ22*IA22</f>
        <v>1610.5100000000011</v>
      </c>
      <c r="IC22" s="54"/>
      <c r="ID22" s="51">
        <f t="shared" si="194"/>
        <v>80.52550000000005</v>
      </c>
      <c r="IE22" s="51">
        <f t="shared" si="195"/>
        <v>20</v>
      </c>
      <c r="IF22" s="51">
        <f>ID22*IE22</f>
        <v>1610.5100000000011</v>
      </c>
      <c r="IG22" s="54"/>
      <c r="IH22" s="51">
        <f t="shared" si="196"/>
        <v>80.52550000000005</v>
      </c>
      <c r="II22" s="51">
        <f t="shared" si="197"/>
        <v>20</v>
      </c>
      <c r="IJ22" s="51">
        <f>IH22*II22</f>
        <v>1610.5100000000011</v>
      </c>
      <c r="IK22" s="54"/>
      <c r="IL22" s="51">
        <f t="shared" si="198"/>
        <v>80.52550000000005</v>
      </c>
      <c r="IM22" s="51">
        <f t="shared" si="199"/>
        <v>20</v>
      </c>
      <c r="IN22" s="51">
        <f>IL22*IM22</f>
        <v>1610.5100000000011</v>
      </c>
      <c r="IO22" s="54"/>
      <c r="IP22" s="51">
        <f t="shared" si="200"/>
        <v>80.52550000000005</v>
      </c>
      <c r="IQ22" s="51">
        <f t="shared" si="201"/>
        <v>20</v>
      </c>
      <c r="IR22" s="51">
        <f>IP22*IQ22</f>
        <v>1610.5100000000011</v>
      </c>
      <c r="IS22" s="54"/>
      <c r="IT22" s="51">
        <f t="shared" si="202"/>
        <v>80.52550000000005</v>
      </c>
      <c r="IU22" s="51">
        <f t="shared" si="203"/>
        <v>20</v>
      </c>
      <c r="IV22" s="51">
        <f>IT22*IU22</f>
        <v>1610.5100000000011</v>
      </c>
      <c r="IW22" s="54"/>
      <c r="IX22" s="51">
        <f t="shared" si="204"/>
        <v>80.52550000000005</v>
      </c>
      <c r="IY22" s="51">
        <f t="shared" si="205"/>
        <v>20</v>
      </c>
      <c r="IZ22" s="51">
        <f>IX22*IY22</f>
        <v>1610.5100000000011</v>
      </c>
      <c r="JB22" s="80">
        <f>HF22+HJ22+HN22+HR22+HV22+HZ22+ID22+IH22+IL22+IP22+IT22+IX22</f>
        <v>966.3060000000008</v>
      </c>
      <c r="JC22" s="80">
        <f>(HG22+HK22+HO22+HS22+HW22+IA22+IE22+II22+IM22+IQ22+IU22+IY22)/12</f>
        <v>20</v>
      </c>
      <c r="JD22" s="80">
        <f>HH22+HL22+HP22+HT22+HX22+IB22+IF22+IJ22+IN22+IR22+IV22+IZ22</f>
        <v>19326.120000000017</v>
      </c>
      <c r="JF22" s="51">
        <f t="shared" si="206"/>
        <v>88.57805000000006</v>
      </c>
      <c r="JG22" s="51">
        <f t="shared" si="207"/>
        <v>20</v>
      </c>
      <c r="JH22" s="51">
        <f>JF22*JG22</f>
        <v>1771.5610000000013</v>
      </c>
      <c r="JI22" s="54"/>
      <c r="JJ22" s="51">
        <f t="shared" si="208"/>
        <v>88.57805000000006</v>
      </c>
      <c r="JK22" s="51">
        <f t="shared" si="209"/>
        <v>20</v>
      </c>
      <c r="JL22" s="51">
        <f>JJ22*JK22</f>
        <v>1771.5610000000013</v>
      </c>
      <c r="JM22" s="54"/>
      <c r="JN22" s="51">
        <f t="shared" si="210"/>
        <v>88.57805000000006</v>
      </c>
      <c r="JO22" s="51">
        <f t="shared" si="211"/>
        <v>20</v>
      </c>
      <c r="JP22" s="51">
        <f>JN22*JO22</f>
        <v>1771.5610000000013</v>
      </c>
      <c r="JQ22" s="54"/>
      <c r="JR22" s="51">
        <f t="shared" si="212"/>
        <v>88.57805000000006</v>
      </c>
      <c r="JS22" s="51">
        <f t="shared" si="213"/>
        <v>20</v>
      </c>
      <c r="JT22" s="51">
        <f>JR22*JS22</f>
        <v>1771.5610000000013</v>
      </c>
      <c r="JU22" s="54"/>
      <c r="JV22" s="51">
        <f t="shared" si="214"/>
        <v>88.57805000000006</v>
      </c>
      <c r="JW22" s="51">
        <f t="shared" si="215"/>
        <v>20</v>
      </c>
      <c r="JX22" s="51">
        <f>JV22*JW22</f>
        <v>1771.5610000000013</v>
      </c>
      <c r="JY22" s="54"/>
      <c r="JZ22" s="51">
        <f t="shared" si="216"/>
        <v>88.57805000000006</v>
      </c>
      <c r="KA22" s="51">
        <f t="shared" si="217"/>
        <v>20</v>
      </c>
      <c r="KB22" s="51">
        <f>JZ22*KA22</f>
        <v>1771.5610000000013</v>
      </c>
      <c r="KC22" s="54"/>
      <c r="KD22" s="51">
        <f t="shared" si="218"/>
        <v>88.57805000000006</v>
      </c>
      <c r="KE22" s="51">
        <f t="shared" si="219"/>
        <v>20</v>
      </c>
      <c r="KF22" s="51">
        <f>KD22*KE22</f>
        <v>1771.5610000000013</v>
      </c>
      <c r="KG22" s="54"/>
      <c r="KH22" s="51">
        <f t="shared" si="220"/>
        <v>88.57805000000006</v>
      </c>
      <c r="KI22" s="51">
        <f t="shared" si="221"/>
        <v>20</v>
      </c>
      <c r="KJ22" s="51">
        <f>KH22*KI22</f>
        <v>1771.5610000000013</v>
      </c>
      <c r="KK22" s="54"/>
      <c r="KL22" s="51">
        <f t="shared" si="222"/>
        <v>88.57805000000006</v>
      </c>
      <c r="KM22" s="51">
        <f t="shared" si="223"/>
        <v>20</v>
      </c>
      <c r="KN22" s="51">
        <f>KL22*KM22</f>
        <v>1771.5610000000013</v>
      </c>
      <c r="KO22" s="54"/>
      <c r="KP22" s="51">
        <f t="shared" si="224"/>
        <v>88.57805000000006</v>
      </c>
      <c r="KQ22" s="51">
        <f t="shared" si="225"/>
        <v>20</v>
      </c>
      <c r="KR22" s="51">
        <f>KP22*KQ22</f>
        <v>1771.5610000000013</v>
      </c>
      <c r="KS22" s="54"/>
      <c r="KT22" s="51">
        <f t="shared" si="226"/>
        <v>88.57805000000006</v>
      </c>
      <c r="KU22" s="51">
        <f t="shared" si="227"/>
        <v>20</v>
      </c>
      <c r="KV22" s="51">
        <f>KT22*KU22</f>
        <v>1771.5610000000013</v>
      </c>
      <c r="KW22" s="54"/>
      <c r="KX22" s="51">
        <f t="shared" si="228"/>
        <v>88.57805000000006</v>
      </c>
      <c r="KY22" s="51">
        <f t="shared" si="229"/>
        <v>20</v>
      </c>
      <c r="KZ22" s="51">
        <f>KX22*KY22</f>
        <v>1771.5610000000013</v>
      </c>
      <c r="LB22" s="80">
        <f>JF22+JJ22+JN22+JR22+JV22+JZ22+KD22+KH22+KL22+KP22+KT22+KX22</f>
        <v>1062.9366000000007</v>
      </c>
      <c r="LC22" s="80">
        <f>(JG22+JK22+JO22+JS22+JW22+KA22+KE22+KI22+KM22+KQ22+KU22+KY22)/12</f>
        <v>20</v>
      </c>
      <c r="LD22" s="80">
        <f>JH22+JL22+JP22+JT22+JX22+KB22+KF22+KJ22+KN22+KR22+KV22+KZ22</f>
        <v>21258.732000000015</v>
      </c>
    </row>
    <row r="23" ht="18.75" customHeight="1" spans="2:316" x14ac:dyDescent="0.25">
      <c r="B23" s="5" t="s">
        <v>64</v>
      </c>
      <c r="C23" s="29"/>
      <c r="D23" s="29">
        <f>'A.I Revenue Streams - P1'!E23</f>
        <v>0</v>
      </c>
      <c r="E23" s="30"/>
      <c r="F23" s="51">
        <f>'A.I Revenue Streams - P2'!G23*25</f>
        <v>25</v>
      </c>
      <c r="G23" s="51">
        <f>'A.I Revenue Streams - P2'!I23</f>
        <v>20</v>
      </c>
      <c r="H23" s="51">
        <f>F23*G23</f>
        <v>500</v>
      </c>
      <c r="I23" s="54"/>
      <c r="J23" s="51">
        <f>F23*$J$17</f>
        <v>27.500000000000004</v>
      </c>
      <c r="K23" s="51">
        <f>G23*$K$17</f>
        <v>20</v>
      </c>
      <c r="L23" s="51">
        <f>J23*K23</f>
        <v>550.0000000000001</v>
      </c>
      <c r="M23" s="54"/>
      <c r="N23" s="51">
        <f>J23*$N$17</f>
        <v>27.500000000000004</v>
      </c>
      <c r="O23" s="51">
        <f>K23*$O$17</f>
        <v>20</v>
      </c>
      <c r="P23" s="51">
        <f>N23*O23</f>
        <v>550.0000000000001</v>
      </c>
      <c r="Q23" s="54"/>
      <c r="R23" s="51">
        <f>N23*$R$17</f>
        <v>27.500000000000004</v>
      </c>
      <c r="S23" s="51">
        <f>O23*$S$17</f>
        <v>20</v>
      </c>
      <c r="T23" s="51">
        <f>R23*S23</f>
        <v>550.0000000000001</v>
      </c>
      <c r="U23" s="54"/>
      <c r="V23" s="51">
        <f>R23*$V$17</f>
        <v>27.500000000000004</v>
      </c>
      <c r="W23" s="51">
        <f>S23*$W$17</f>
        <v>20</v>
      </c>
      <c r="X23" s="51">
        <f>V23*W23</f>
        <v>550.0000000000001</v>
      </c>
      <c r="Y23" s="54"/>
      <c r="Z23" s="51">
        <f>V23*$Z$17</f>
        <v>27.500000000000004</v>
      </c>
      <c r="AA23" s="51">
        <f>W23*$AA$17</f>
        <v>20</v>
      </c>
      <c r="AB23" s="51">
        <f>Z23*AA23</f>
        <v>550.0000000000001</v>
      </c>
      <c r="AC23" s="54"/>
      <c r="AD23" s="51">
        <f>Z23*$AD$17</f>
        <v>27.500000000000004</v>
      </c>
      <c r="AE23" s="51">
        <f>AA23*$AE$17</f>
        <v>20</v>
      </c>
      <c r="AF23" s="51">
        <f>AD23*AE23</f>
        <v>550.0000000000001</v>
      </c>
      <c r="AG23" s="54"/>
      <c r="AH23" s="51">
        <f>AD23*$AH$17</f>
        <v>27.500000000000004</v>
      </c>
      <c r="AI23" s="51">
        <f>AE23*$AI$17</f>
        <v>20</v>
      </c>
      <c r="AJ23" s="51">
        <f>AH23*AI23</f>
        <v>550.0000000000001</v>
      </c>
      <c r="AK23" s="54"/>
      <c r="AL23" s="51">
        <f>AH23*$AL$17</f>
        <v>27.500000000000004</v>
      </c>
      <c r="AM23" s="51">
        <f>AI23*$AM$17</f>
        <v>20</v>
      </c>
      <c r="AN23" s="51">
        <f>AL23*AM23</f>
        <v>550.0000000000001</v>
      </c>
      <c r="AO23" s="54"/>
      <c r="AP23" s="51">
        <f>AL23*$AP$17</f>
        <v>27.500000000000004</v>
      </c>
      <c r="AQ23" s="51">
        <f>AM23*$AQ$17</f>
        <v>20</v>
      </c>
      <c r="AR23" s="51">
        <f>AP23*AQ23</f>
        <v>550.0000000000001</v>
      </c>
      <c r="AS23" s="54"/>
      <c r="AT23" s="51">
        <f>AP23*$AT$17</f>
        <v>27.500000000000004</v>
      </c>
      <c r="AU23" s="51">
        <f>AQ23*$AU$17</f>
        <v>20</v>
      </c>
      <c r="AV23" s="51">
        <f>AT23*AU23</f>
        <v>550.0000000000001</v>
      </c>
      <c r="AW23" s="54"/>
      <c r="AX23" s="51">
        <f>AT23*$AX$17</f>
        <v>27.500000000000004</v>
      </c>
      <c r="AY23" s="51">
        <f>AU23*$AY$17</f>
        <v>20</v>
      </c>
      <c r="AZ23" s="51">
        <f>AX23*AY23</f>
        <v>550.0000000000001</v>
      </c>
      <c r="BA23" s="54"/>
      <c r="BB23" s="85">
        <f>SUMIF($F$6:$AZ$6,$BB$6,F23:AZ23)</f>
        <v>327.5</v>
      </c>
      <c r="BC23" s="85">
        <f>SUMIF($F$6:$AZ$6,$BC$6,F23:AZ23)/12</f>
        <v>20</v>
      </c>
      <c r="BD23" s="80">
        <f>H23+L23+P23+T23+X23+AB23+AF23+AJ23+AN23</f>
        <v>4900</v>
      </c>
      <c r="BE23" t="b">
        <f>(BB23*BC23)=BD23</f>
        <v>0</v>
      </c>
      <c r="BF23" s="51">
        <f>AX23*$BF$17</f>
        <v>30.250000000000007</v>
      </c>
      <c r="BG23" s="51">
        <f>AY23*$BG$17</f>
        <v>20</v>
      </c>
      <c r="BH23" s="51">
        <f>BF23*BG23</f>
        <v>605.0000000000001</v>
      </c>
      <c r="BI23" s="54"/>
      <c r="BJ23" s="51">
        <f t="shared" si="230"/>
        <v>30.250000000000007</v>
      </c>
      <c r="BK23" s="51">
        <f t="shared" si="231"/>
        <v>20</v>
      </c>
      <c r="BL23" s="51">
        <f>BJ23*BK23</f>
        <v>605.0000000000001</v>
      </c>
      <c r="BM23" s="54"/>
      <c r="BN23" s="51">
        <f t="shared" si="116"/>
        <v>30.250000000000007</v>
      </c>
      <c r="BO23" s="51">
        <f t="shared" si="117"/>
        <v>20</v>
      </c>
      <c r="BP23" s="51">
        <f>BN23*BO23</f>
        <v>605.0000000000001</v>
      </c>
      <c r="BQ23" s="54"/>
      <c r="BR23" s="51">
        <f t="shared" si="118"/>
        <v>30.250000000000007</v>
      </c>
      <c r="BS23" s="51">
        <f t="shared" si="119"/>
        <v>20</v>
      </c>
      <c r="BT23" s="51">
        <f>BR23*BS23</f>
        <v>605.0000000000001</v>
      </c>
      <c r="BU23" s="54"/>
      <c r="BV23" s="51">
        <f t="shared" si="120"/>
        <v>30.250000000000007</v>
      </c>
      <c r="BW23" s="51">
        <f t="shared" si="121"/>
        <v>20</v>
      </c>
      <c r="BX23" s="51">
        <f>BV23*BW23</f>
        <v>605.0000000000001</v>
      </c>
      <c r="BY23" s="54"/>
      <c r="BZ23" s="51">
        <f t="shared" si="122"/>
        <v>30.250000000000007</v>
      </c>
      <c r="CA23" s="51">
        <f t="shared" si="123"/>
        <v>20</v>
      </c>
      <c r="CB23" s="51">
        <f>BZ23*CA23</f>
        <v>605.0000000000001</v>
      </c>
      <c r="CC23" s="54"/>
      <c r="CD23" s="51">
        <f t="shared" si="124"/>
        <v>30.250000000000007</v>
      </c>
      <c r="CE23" s="51">
        <f t="shared" si="125"/>
        <v>20</v>
      </c>
      <c r="CF23" s="51">
        <f>CD23*CE23</f>
        <v>605.0000000000001</v>
      </c>
      <c r="CG23" s="54"/>
      <c r="CH23" s="51">
        <f t="shared" si="126"/>
        <v>30.250000000000007</v>
      </c>
      <c r="CI23" s="51">
        <f t="shared" si="127"/>
        <v>20</v>
      </c>
      <c r="CJ23" s="51">
        <f>CH23*CI23</f>
        <v>605.0000000000001</v>
      </c>
      <c r="CK23" s="54"/>
      <c r="CL23" s="51">
        <f t="shared" si="128"/>
        <v>30.250000000000007</v>
      </c>
      <c r="CM23" s="51">
        <f t="shared" si="129"/>
        <v>20</v>
      </c>
      <c r="CN23" s="51">
        <f>CL23*CM23</f>
        <v>605.0000000000001</v>
      </c>
      <c r="CO23" s="54"/>
      <c r="CP23" s="51">
        <f t="shared" si="130"/>
        <v>30.250000000000007</v>
      </c>
      <c r="CQ23" s="51">
        <f t="shared" si="131"/>
        <v>20</v>
      </c>
      <c r="CR23" s="51">
        <f>CP23*CQ23</f>
        <v>605.0000000000001</v>
      </c>
      <c r="CS23" s="54"/>
      <c r="CT23" s="51">
        <f t="shared" si="132"/>
        <v>30.250000000000007</v>
      </c>
      <c r="CU23" s="51">
        <f t="shared" si="133"/>
        <v>20</v>
      </c>
      <c r="CV23" s="51">
        <f>CT23*CU23</f>
        <v>605.0000000000001</v>
      </c>
      <c r="CW23" s="54"/>
      <c r="CX23" s="51">
        <f t="shared" si="134"/>
        <v>30.250000000000007</v>
      </c>
      <c r="CY23" s="51">
        <f t="shared" si="135"/>
        <v>20</v>
      </c>
      <c r="CZ23" s="51">
        <f>CX23*CY23</f>
        <v>605.0000000000001</v>
      </c>
      <c r="DA23" s="54"/>
      <c r="DB23" s="80">
        <f>BF23+BJ23+BN23+BR23+BV23+BZ23+CD23+CH23+CL23+CP23+CT23+CX23</f>
        <v>363.00000000000006</v>
      </c>
      <c r="DC23" s="80">
        <f>(BG23+BK23+BO23+BS23+BW23+CA23+CE23+CI23+CM23+CQ23+CU23+CY23)/12</f>
        <v>20</v>
      </c>
      <c r="DD23" s="80">
        <f>BH23+BL23+BP23+BT23+BX23+CB23+CF23+CJ23+CN23+CR23+CV23+CZ23</f>
        <v>7260.000000000001</v>
      </c>
      <c r="DF23" s="51">
        <f>CX23*$DF$17</f>
        <v>33.27500000000001</v>
      </c>
      <c r="DG23" s="51">
        <f t="shared" si="137"/>
        <v>20</v>
      </c>
      <c r="DH23" s="51">
        <f>DF23*DG23</f>
        <v>665.5000000000002</v>
      </c>
      <c r="DI23" s="54"/>
      <c r="DJ23" s="51">
        <f t="shared" si="138"/>
        <v>33.27500000000001</v>
      </c>
      <c r="DK23" s="51">
        <f t="shared" si="139"/>
        <v>20</v>
      </c>
      <c r="DL23" s="51">
        <f>DJ23*DK23</f>
        <v>665.5000000000002</v>
      </c>
      <c r="DM23" s="54"/>
      <c r="DN23" s="51">
        <f t="shared" si="140"/>
        <v>33.27500000000001</v>
      </c>
      <c r="DO23" s="51">
        <f t="shared" si="141"/>
        <v>20</v>
      </c>
      <c r="DP23" s="51">
        <f>DN23*DO23</f>
        <v>665.5000000000002</v>
      </c>
      <c r="DQ23" s="54"/>
      <c r="DR23" s="51">
        <f t="shared" si="142"/>
        <v>33.27500000000001</v>
      </c>
      <c r="DS23" s="51">
        <f t="shared" si="143"/>
        <v>20</v>
      </c>
      <c r="DT23" s="51">
        <f>DR23*DS23</f>
        <v>665.5000000000002</v>
      </c>
      <c r="DU23" s="54"/>
      <c r="DV23" s="51">
        <f t="shared" si="144"/>
        <v>33.27500000000001</v>
      </c>
      <c r="DW23" s="51">
        <f t="shared" si="145"/>
        <v>20</v>
      </c>
      <c r="DX23" s="51">
        <f>DV23*DW23</f>
        <v>665.5000000000002</v>
      </c>
      <c r="DY23" s="54"/>
      <c r="DZ23" s="51">
        <f t="shared" si="146"/>
        <v>33.27500000000001</v>
      </c>
      <c r="EA23" s="51">
        <f t="shared" si="147"/>
        <v>20</v>
      </c>
      <c r="EB23" s="51">
        <f>DZ23*EA23</f>
        <v>665.5000000000002</v>
      </c>
      <c r="EC23" s="54"/>
      <c r="ED23" s="51">
        <f t="shared" si="148"/>
        <v>33.27500000000001</v>
      </c>
      <c r="EE23" s="51">
        <f t="shared" si="149"/>
        <v>20</v>
      </c>
      <c r="EF23" s="51">
        <f>ED23*EE23</f>
        <v>665.5000000000002</v>
      </c>
      <c r="EG23" s="54"/>
      <c r="EH23" s="51">
        <f t="shared" si="150"/>
        <v>33.27500000000001</v>
      </c>
      <c r="EI23" s="51">
        <f t="shared" si="232"/>
        <v>20</v>
      </c>
      <c r="EJ23" s="51">
        <f>EH23*EI23</f>
        <v>665.5000000000002</v>
      </c>
      <c r="EK23" s="54"/>
      <c r="EL23" s="51">
        <f t="shared" si="151"/>
        <v>33.27500000000001</v>
      </c>
      <c r="EM23" s="51">
        <f t="shared" si="152"/>
        <v>20</v>
      </c>
      <c r="EN23" s="51">
        <f>EL23*EM23</f>
        <v>665.5000000000002</v>
      </c>
      <c r="EO23" s="54"/>
      <c r="EP23" s="51">
        <f t="shared" si="153"/>
        <v>33.27500000000001</v>
      </c>
      <c r="EQ23" s="51">
        <f t="shared" si="154"/>
        <v>20</v>
      </c>
      <c r="ER23" s="51">
        <f>EP23*EQ23</f>
        <v>665.5000000000002</v>
      </c>
      <c r="ES23" s="54"/>
      <c r="ET23" s="51">
        <f t="shared" si="155"/>
        <v>33.27500000000001</v>
      </c>
      <c r="EU23" s="51">
        <f t="shared" si="156"/>
        <v>20</v>
      </c>
      <c r="EV23" s="51">
        <f>ET23*EU23</f>
        <v>665.5000000000002</v>
      </c>
      <c r="EW23" s="54"/>
      <c r="EX23" s="51">
        <f t="shared" si="157"/>
        <v>33.27500000000001</v>
      </c>
      <c r="EY23" s="51">
        <f t="shared" si="158"/>
        <v>20</v>
      </c>
      <c r="EZ23" s="51">
        <f>EX23*EY23</f>
        <v>665.5000000000002</v>
      </c>
      <c r="FA23" s="54"/>
      <c r="FB23" s="80">
        <f>DF23+DJ23+DN23+DR23+DV23+DZ23+ED23+EH23+EL23+EP23+ET23+EX23</f>
        <v>399.30000000000024</v>
      </c>
      <c r="FC23" s="80">
        <f>(DG23+DK23+DO23+DS23+DW23+EA23+EE23+EI23+EM23+EQ23+EU23+EY23)/12</f>
        <v>20</v>
      </c>
      <c r="FD23" s="80">
        <f>DH23+DL23+DP23+DT23+DX23+EB23+EF23+EJ23+EN23+ER23+EV23+EZ23</f>
        <v>7986.000000000001</v>
      </c>
      <c r="FF23" s="51">
        <f t="shared" si="159"/>
        <v>36.60250000000002</v>
      </c>
      <c r="FG23" s="51">
        <f t="shared" si="160"/>
        <v>20</v>
      </c>
      <c r="FH23" s="51">
        <f>FF23*FG23</f>
        <v>732.0500000000004</v>
      </c>
      <c r="FI23" s="54"/>
      <c r="FJ23" s="51">
        <f t="shared" si="161"/>
        <v>36.60250000000002</v>
      </c>
      <c r="FK23" s="51">
        <f t="shared" si="162"/>
        <v>20</v>
      </c>
      <c r="FL23" s="51">
        <f>FJ23*FK23</f>
        <v>732.0500000000004</v>
      </c>
      <c r="FM23" s="54"/>
      <c r="FN23" s="51">
        <f t="shared" si="163"/>
        <v>36.60250000000002</v>
      </c>
      <c r="FO23" s="51">
        <f t="shared" si="164"/>
        <v>20</v>
      </c>
      <c r="FP23" s="51">
        <f>FN23*FO23</f>
        <v>732.0500000000004</v>
      </c>
      <c r="FQ23" s="54"/>
      <c r="FR23" s="51">
        <f t="shared" si="165"/>
        <v>36.60250000000002</v>
      </c>
      <c r="FS23" s="51">
        <f t="shared" si="233"/>
        <v>20</v>
      </c>
      <c r="FT23" s="51">
        <f>FR23*FS23</f>
        <v>732.0500000000004</v>
      </c>
      <c r="FU23" s="54"/>
      <c r="FV23" s="51">
        <f t="shared" si="166"/>
        <v>36.60250000000002</v>
      </c>
      <c r="FW23" s="51">
        <f t="shared" si="167"/>
        <v>20</v>
      </c>
      <c r="FX23" s="51">
        <f>FV23*FW23</f>
        <v>732.0500000000004</v>
      </c>
      <c r="FY23" s="54"/>
      <c r="FZ23" s="51">
        <f t="shared" si="168"/>
        <v>36.60250000000002</v>
      </c>
      <c r="GA23" s="51">
        <f t="shared" si="169"/>
        <v>20</v>
      </c>
      <c r="GB23" s="51">
        <f>FZ23*GA23</f>
        <v>732.0500000000004</v>
      </c>
      <c r="GC23" s="54"/>
      <c r="GD23" s="51">
        <f t="shared" si="170"/>
        <v>36.60250000000002</v>
      </c>
      <c r="GE23" s="51">
        <f t="shared" si="171"/>
        <v>20</v>
      </c>
      <c r="GF23" s="51">
        <f>GD23*GE23</f>
        <v>732.0500000000004</v>
      </c>
      <c r="GG23" s="54"/>
      <c r="GH23" s="51">
        <f t="shared" si="172"/>
        <v>36.60250000000002</v>
      </c>
      <c r="GI23" s="51">
        <f t="shared" si="173"/>
        <v>20</v>
      </c>
      <c r="GJ23" s="51">
        <f>GH23*GI23</f>
        <v>732.0500000000004</v>
      </c>
      <c r="GK23" s="54"/>
      <c r="GL23" s="51">
        <f t="shared" si="174"/>
        <v>36.60250000000002</v>
      </c>
      <c r="GM23" s="51">
        <f t="shared" si="175"/>
        <v>20</v>
      </c>
      <c r="GN23" s="51">
        <f>GL23*GM23</f>
        <v>732.0500000000004</v>
      </c>
      <c r="GO23" s="54"/>
      <c r="GP23" s="51">
        <f>GL23*$GP$17</f>
        <v>36.60250000000002</v>
      </c>
      <c r="GQ23" s="51">
        <f>GM23*$GQ$17</f>
        <v>20</v>
      </c>
      <c r="GR23" s="51">
        <f>GP23*GQ23</f>
        <v>732.0500000000004</v>
      </c>
      <c r="GS23" s="54"/>
      <c r="GT23" s="51">
        <f t="shared" si="178"/>
        <v>36.60250000000002</v>
      </c>
      <c r="GU23" s="51">
        <f t="shared" si="179"/>
        <v>20</v>
      </c>
      <c r="GV23" s="51">
        <f>GT23*GU23</f>
        <v>732.0500000000004</v>
      </c>
      <c r="GW23" s="54"/>
      <c r="GX23" s="51">
        <f>GT23*$GX$17</f>
        <v>36.60250000000002</v>
      </c>
      <c r="GY23" s="51">
        <f>GU23*$GY$17</f>
        <v>20</v>
      </c>
      <c r="GZ23" s="51">
        <f>GX23*GY23</f>
        <v>732.0500000000004</v>
      </c>
      <c r="HB23" s="80">
        <f>FF23+FJ23+FN23+FR23+FV23+FZ23+GD23+GH23+GL23+GP23+GT23+GX23</f>
        <v>439.23000000000025</v>
      </c>
      <c r="HC23" s="80">
        <f>(FG23+FK23+FO23+FS23+FW23+GA23+GE23+GI23+GM23+GQ23+GU23+GY23)/12</f>
        <v>20</v>
      </c>
      <c r="HD23" s="80">
        <f>FH23+FL23+FP23+FT23+FX23+GB23+GF23+GJ23+GN23+GR23+GV23+GZ23</f>
        <v>8784.600000000004</v>
      </c>
      <c r="HF23" s="51">
        <f t="shared" si="182"/>
        <v>40.262750000000025</v>
      </c>
      <c r="HG23" s="51">
        <f>GY23*$HG$17</f>
        <v>20</v>
      </c>
      <c r="HH23" s="51">
        <f>HF23*HG23</f>
        <v>805.2550000000006</v>
      </c>
      <c r="HI23" s="54"/>
      <c r="HJ23" s="51">
        <f>HF23*$HJ$17</f>
        <v>40.262750000000025</v>
      </c>
      <c r="HK23" s="51">
        <f>HG23*$HK$17</f>
        <v>20</v>
      </c>
      <c r="HL23" s="51">
        <f>HJ23*HK23</f>
        <v>805.2550000000006</v>
      </c>
      <c r="HM23" s="54"/>
      <c r="HN23" s="51">
        <f>HJ23*$HN$17</f>
        <v>40.262750000000025</v>
      </c>
      <c r="HO23" s="51">
        <f t="shared" si="187"/>
        <v>20</v>
      </c>
      <c r="HP23" s="51">
        <f>HN23*HO23</f>
        <v>805.2550000000006</v>
      </c>
      <c r="HQ23" s="54"/>
      <c r="HR23" s="51">
        <f>HN23*$HR$17</f>
        <v>40.262750000000025</v>
      </c>
      <c r="HS23" s="51">
        <f>HO23*$HS$17</f>
        <v>20</v>
      </c>
      <c r="HT23" s="51">
        <f>HR23*HS23</f>
        <v>805.2550000000006</v>
      </c>
      <c r="HU23" s="54"/>
      <c r="HV23" s="51">
        <f t="shared" si="190"/>
        <v>40.262750000000025</v>
      </c>
      <c r="HW23" s="51">
        <f t="shared" si="191"/>
        <v>20</v>
      </c>
      <c r="HX23" s="51">
        <f>HV23*HW23</f>
        <v>805.2550000000006</v>
      </c>
      <c r="HY23" s="54"/>
      <c r="HZ23" s="51">
        <f t="shared" si="192"/>
        <v>40.262750000000025</v>
      </c>
      <c r="IA23" s="51">
        <f t="shared" si="193"/>
        <v>20</v>
      </c>
      <c r="IB23" s="51">
        <f>HZ23*IA23</f>
        <v>805.2550000000006</v>
      </c>
      <c r="IC23" s="54"/>
      <c r="ID23" s="51">
        <f t="shared" si="194"/>
        <v>40.262750000000025</v>
      </c>
      <c r="IE23" s="51">
        <f t="shared" si="195"/>
        <v>20</v>
      </c>
      <c r="IF23" s="51">
        <f>ID23*IE23</f>
        <v>805.2550000000006</v>
      </c>
      <c r="IG23" s="54"/>
      <c r="IH23" s="51">
        <f t="shared" si="196"/>
        <v>40.262750000000025</v>
      </c>
      <c r="II23" s="51">
        <f t="shared" si="197"/>
        <v>20</v>
      </c>
      <c r="IJ23" s="51">
        <f>IH23*II23</f>
        <v>805.2550000000006</v>
      </c>
      <c r="IK23" s="54"/>
      <c r="IL23" s="51">
        <f t="shared" si="198"/>
        <v>40.262750000000025</v>
      </c>
      <c r="IM23" s="51">
        <f t="shared" si="199"/>
        <v>20</v>
      </c>
      <c r="IN23" s="51">
        <f>IL23*IM23</f>
        <v>805.2550000000006</v>
      </c>
      <c r="IO23" s="54"/>
      <c r="IP23" s="51">
        <f t="shared" si="200"/>
        <v>40.262750000000025</v>
      </c>
      <c r="IQ23" s="51">
        <f t="shared" si="201"/>
        <v>20</v>
      </c>
      <c r="IR23" s="51">
        <f>IP23*IQ23</f>
        <v>805.2550000000006</v>
      </c>
      <c r="IS23" s="54"/>
      <c r="IT23" s="51">
        <f t="shared" si="202"/>
        <v>40.262750000000025</v>
      </c>
      <c r="IU23" s="51">
        <f t="shared" si="203"/>
        <v>20</v>
      </c>
      <c r="IV23" s="51">
        <f>IT23*IU23</f>
        <v>805.2550000000006</v>
      </c>
      <c r="IW23" s="54"/>
      <c r="IX23" s="51">
        <f t="shared" si="204"/>
        <v>40.262750000000025</v>
      </c>
      <c r="IY23" s="51">
        <f t="shared" si="205"/>
        <v>20</v>
      </c>
      <c r="IZ23" s="51">
        <f>IX23*IY23</f>
        <v>805.2550000000006</v>
      </c>
      <c r="JB23" s="80">
        <f>HF23+HJ23+HN23+HR23+HV23+HZ23+ID23+IH23+IL23+IP23+IT23+IX23</f>
        <v>483.1530000000004</v>
      </c>
      <c r="JC23" s="80">
        <f>(HG23+HK23+HO23+HS23+HW23+IA23+IE23+II23+IM23+IQ23+IU23+IY23)/12</f>
        <v>20</v>
      </c>
      <c r="JD23" s="80">
        <f>HH23+HL23+HP23+HT23+HX23+IB23+IF23+IJ23+IN23+IR23+IV23+IZ23</f>
        <v>9663.060000000009</v>
      </c>
      <c r="JF23" s="51">
        <f t="shared" si="206"/>
        <v>44.28902500000003</v>
      </c>
      <c r="JG23" s="51">
        <f t="shared" si="207"/>
        <v>20</v>
      </c>
      <c r="JH23" s="51">
        <f>JF23*JG23</f>
        <v>885.7805000000006</v>
      </c>
      <c r="JI23" s="54"/>
      <c r="JJ23" s="51">
        <f t="shared" si="208"/>
        <v>44.28902500000003</v>
      </c>
      <c r="JK23" s="51">
        <f t="shared" si="209"/>
        <v>20</v>
      </c>
      <c r="JL23" s="51">
        <f>JJ23*JK23</f>
        <v>885.7805000000006</v>
      </c>
      <c r="JM23" s="54"/>
      <c r="JN23" s="51">
        <f t="shared" si="210"/>
        <v>44.28902500000003</v>
      </c>
      <c r="JO23" s="51">
        <f t="shared" si="211"/>
        <v>20</v>
      </c>
      <c r="JP23" s="51">
        <f>JN23*JO23</f>
        <v>885.7805000000006</v>
      </c>
      <c r="JQ23" s="54"/>
      <c r="JR23" s="51">
        <f t="shared" si="212"/>
        <v>44.28902500000003</v>
      </c>
      <c r="JS23" s="51">
        <f t="shared" si="213"/>
        <v>20</v>
      </c>
      <c r="JT23" s="51">
        <f>JR23*JS23</f>
        <v>885.7805000000006</v>
      </c>
      <c r="JU23" s="54"/>
      <c r="JV23" s="51">
        <f t="shared" si="214"/>
        <v>44.28902500000003</v>
      </c>
      <c r="JW23" s="51">
        <f t="shared" si="215"/>
        <v>20</v>
      </c>
      <c r="JX23" s="51">
        <f>JV23*JW23</f>
        <v>885.7805000000006</v>
      </c>
      <c r="JY23" s="54"/>
      <c r="JZ23" s="51">
        <f t="shared" si="216"/>
        <v>44.28902500000003</v>
      </c>
      <c r="KA23" s="51">
        <f t="shared" si="217"/>
        <v>20</v>
      </c>
      <c r="KB23" s="51">
        <f>JZ23*KA23</f>
        <v>885.7805000000006</v>
      </c>
      <c r="KC23" s="54"/>
      <c r="KD23" s="51">
        <f t="shared" si="218"/>
        <v>44.28902500000003</v>
      </c>
      <c r="KE23" s="51">
        <f t="shared" si="219"/>
        <v>20</v>
      </c>
      <c r="KF23" s="51">
        <f>KD23*KE23</f>
        <v>885.7805000000006</v>
      </c>
      <c r="KG23" s="54"/>
      <c r="KH23" s="51">
        <f t="shared" si="220"/>
        <v>44.28902500000003</v>
      </c>
      <c r="KI23" s="51">
        <f t="shared" si="221"/>
        <v>20</v>
      </c>
      <c r="KJ23" s="51">
        <f>KH23*KI23</f>
        <v>885.7805000000006</v>
      </c>
      <c r="KK23" s="54"/>
      <c r="KL23" s="51">
        <f t="shared" si="222"/>
        <v>44.28902500000003</v>
      </c>
      <c r="KM23" s="51">
        <f t="shared" si="223"/>
        <v>20</v>
      </c>
      <c r="KN23" s="51">
        <f>KL23*KM23</f>
        <v>885.7805000000006</v>
      </c>
      <c r="KO23" s="54"/>
      <c r="KP23" s="51">
        <f t="shared" si="224"/>
        <v>44.28902500000003</v>
      </c>
      <c r="KQ23" s="51">
        <f t="shared" si="225"/>
        <v>20</v>
      </c>
      <c r="KR23" s="51">
        <f>KP23*KQ23</f>
        <v>885.7805000000006</v>
      </c>
      <c r="KS23" s="54"/>
      <c r="KT23" s="51">
        <f t="shared" si="226"/>
        <v>44.28902500000003</v>
      </c>
      <c r="KU23" s="51">
        <f t="shared" si="227"/>
        <v>20</v>
      </c>
      <c r="KV23" s="51">
        <f>KT23*KU23</f>
        <v>885.7805000000006</v>
      </c>
      <c r="KW23" s="54"/>
      <c r="KX23" s="51">
        <f t="shared" si="228"/>
        <v>44.28902500000003</v>
      </c>
      <c r="KY23" s="51">
        <f t="shared" si="229"/>
        <v>20</v>
      </c>
      <c r="KZ23" s="51">
        <f>KX23*KY23</f>
        <v>885.7805000000006</v>
      </c>
      <c r="LB23" s="80">
        <f>JF23+JJ23+JN23+JR23+JV23+JZ23+KD23+KH23+KL23+KP23+KT23+KX23</f>
        <v>531.4683000000003</v>
      </c>
      <c r="LC23" s="80">
        <f>(JG23+JK23+JO23+JS23+JW23+KA23+KE23+KI23+KM23+KQ23+KU23+KY23)/12</f>
        <v>20</v>
      </c>
      <c r="LD23" s="80">
        <f>JH23+JL23+JP23+JT23+JX23+KB23+KF23+KJ23+KN23+KR23+KV23+KZ23</f>
        <v>10629.366000000007</v>
      </c>
    </row>
    <row r="24" ht="18.75" customHeight="1" spans="2:316" x14ac:dyDescent="0.25">
      <c r="B24" s="34" t="s">
        <v>58</v>
      </c>
      <c r="C24" s="34"/>
      <c r="D24" s="34"/>
      <c r="E24" s="30"/>
      <c r="F24" s="81">
        <f>SUM(F19:F23)</f>
        <v>375</v>
      </c>
      <c r="G24" s="81"/>
      <c r="H24" s="81">
        <f>SUM(H19:H23)</f>
        <v>7500</v>
      </c>
      <c r="I24" s="81"/>
      <c r="J24" s="81">
        <f>SUM(J19:J23)</f>
        <v>412.5</v>
      </c>
      <c r="K24" s="81"/>
      <c r="L24" s="81">
        <f>SUM(L19:L23)</f>
        <v>8250</v>
      </c>
      <c r="M24" s="81"/>
      <c r="N24" s="81">
        <f>SUM(N19:N23)</f>
        <v>412.5</v>
      </c>
      <c r="O24" s="81"/>
      <c r="P24" s="81">
        <f>SUM(P19:P23)</f>
        <v>8250</v>
      </c>
      <c r="Q24" s="81"/>
      <c r="R24" s="81">
        <f>SUM(R19:R23)</f>
        <v>412.5</v>
      </c>
      <c r="S24" s="81"/>
      <c r="T24" s="81">
        <f>SUM(T19:T23)</f>
        <v>8250</v>
      </c>
      <c r="U24" s="81"/>
      <c r="V24" s="81">
        <f>SUM(V19:V23)</f>
        <v>412.5</v>
      </c>
      <c r="W24" s="81"/>
      <c r="X24" s="81">
        <f>SUM(X19:X23)</f>
        <v>8250</v>
      </c>
      <c r="Y24" s="81"/>
      <c r="Z24" s="81">
        <f>SUM(Z19:Z23)</f>
        <v>412.5</v>
      </c>
      <c r="AA24" s="81"/>
      <c r="AB24" s="81">
        <f>SUM(AB19:AB23)</f>
        <v>8250</v>
      </c>
      <c r="AC24" s="81"/>
      <c r="AD24" s="81">
        <f>SUM(AD19:AD23)</f>
        <v>412.5</v>
      </c>
      <c r="AE24" s="81"/>
      <c r="AF24" s="81">
        <f>SUM(AF19:AF23)</f>
        <v>8250</v>
      </c>
      <c r="AG24" s="81"/>
      <c r="AH24" s="81">
        <f>SUM(AH19:AH23)</f>
        <v>412.5</v>
      </c>
      <c r="AI24" s="81"/>
      <c r="AJ24" s="81">
        <f>SUM(AJ19:AJ23)</f>
        <v>8250</v>
      </c>
      <c r="AK24" s="81"/>
      <c r="AL24" s="81">
        <f>SUM(AL19:AL23)</f>
        <v>412.5</v>
      </c>
      <c r="AM24" s="81"/>
      <c r="AN24" s="81">
        <f>SUM(AN19:AN23)</f>
        <v>8250</v>
      </c>
      <c r="AO24" s="81"/>
      <c r="AP24" s="81">
        <f>SUM(AP19:AP23)</f>
        <v>412.5</v>
      </c>
      <c r="AQ24" s="81"/>
      <c r="AR24" s="81">
        <f>SUM(AR19:AR23)</f>
        <v>8250</v>
      </c>
      <c r="AS24" s="81"/>
      <c r="AT24" s="81">
        <f>SUM(AT19:AT23)</f>
        <v>412.5</v>
      </c>
      <c r="AU24" s="81"/>
      <c r="AV24" s="81">
        <f>SUM(AV19:AV23)</f>
        <v>8250</v>
      </c>
      <c r="AW24" s="81"/>
      <c r="AX24" s="81">
        <f>SUM(AX19:AX23)</f>
        <v>412.5</v>
      </c>
      <c r="AY24" s="81"/>
      <c r="AZ24" s="81">
        <f>SUM(AZ19:AZ23)</f>
        <v>8250</v>
      </c>
      <c r="BA24" s="81"/>
      <c r="BB24" s="81">
        <f>SUM(BB19:BB23)</f>
        <v>4912.5</v>
      </c>
      <c r="BC24" s="81"/>
      <c r="BD24" s="81">
        <f>SUM(BD19:BD23)</f>
        <v>73500</v>
      </c>
      <c r="BE24" s="9"/>
      <c r="BF24" s="81">
        <f>SUM(BF19:BF23)</f>
        <v>453.75</v>
      </c>
      <c r="BG24" s="81"/>
      <c r="BH24" s="81">
        <f>SUM(BH19:BH23)</f>
        <v>9075</v>
      </c>
      <c r="BI24" s="81"/>
      <c r="BJ24" s="81">
        <f>SUM(BJ19:BJ23)</f>
        <v>453.75</v>
      </c>
      <c r="BK24" s="81"/>
      <c r="BL24" s="81">
        <f>SUM(BL19:BL23)</f>
        <v>9075</v>
      </c>
      <c r="BM24" s="81"/>
      <c r="BN24" s="81">
        <f>SUM(BN19:BN23)</f>
        <v>453.75</v>
      </c>
      <c r="BO24" s="81"/>
      <c r="BP24" s="81">
        <f>SUM(BP19:BP23)</f>
        <v>9075</v>
      </c>
      <c r="BQ24" s="81"/>
      <c r="BR24" s="81">
        <f>SUM(BR19:BR23)</f>
        <v>453.75</v>
      </c>
      <c r="BS24" s="81"/>
      <c r="BT24" s="81">
        <f>SUM(BT19:BT23)</f>
        <v>9075</v>
      </c>
      <c r="BU24" s="81"/>
      <c r="BV24" s="81">
        <f>SUM(BV19:BV23)</f>
        <v>453.75</v>
      </c>
      <c r="BW24" s="81"/>
      <c r="BX24" s="81">
        <f>SUM(BX19:BX23)</f>
        <v>9075</v>
      </c>
      <c r="BY24" s="81"/>
      <c r="BZ24" s="81">
        <f>SUM(BZ19:BZ23)</f>
        <v>453.75</v>
      </c>
      <c r="CA24" s="81"/>
      <c r="CB24" s="81">
        <f>SUM(CB19:CB23)</f>
        <v>9075</v>
      </c>
      <c r="CC24" s="81"/>
      <c r="CD24" s="81">
        <f>SUM(CD19:CD23)</f>
        <v>453.75</v>
      </c>
      <c r="CE24" s="81"/>
      <c r="CF24" s="81">
        <f>SUM(CF19:CF23)</f>
        <v>9075</v>
      </c>
      <c r="CG24" s="81"/>
      <c r="CH24" s="81">
        <f>SUM(CH19:CH23)</f>
        <v>453.75</v>
      </c>
      <c r="CI24" s="81"/>
      <c r="CJ24" s="81">
        <f>SUM(CJ19:CJ23)</f>
        <v>9075</v>
      </c>
      <c r="CK24" s="81"/>
      <c r="CL24" s="81">
        <f>SUM(CL19:CL23)</f>
        <v>453.75</v>
      </c>
      <c r="CM24" s="81"/>
      <c r="CN24" s="81">
        <f>SUM(CN19:CN23)</f>
        <v>9075</v>
      </c>
      <c r="CO24" s="81"/>
      <c r="CP24" s="81">
        <f>SUM(CP19:CP23)</f>
        <v>453.75</v>
      </c>
      <c r="CQ24" s="81"/>
      <c r="CR24" s="81">
        <f>SUM(CR19:CR23)</f>
        <v>9075</v>
      </c>
      <c r="CS24" s="81"/>
      <c r="CT24" s="81">
        <f>SUM(CT19:CT23)</f>
        <v>453.75</v>
      </c>
      <c r="CU24" s="81"/>
      <c r="CV24" s="81">
        <f>SUM(CV19:CV23)</f>
        <v>9075</v>
      </c>
      <c r="CW24" s="81"/>
      <c r="CX24" s="81">
        <f>SUM(CX19:CX23)</f>
        <v>453.75</v>
      </c>
      <c r="CY24" s="81"/>
      <c r="CZ24" s="81">
        <f>SUM(CZ19:CZ23)</f>
        <v>9075</v>
      </c>
      <c r="DA24" s="81"/>
      <c r="DB24" s="81">
        <f>SUM(DB19:DB23)</f>
        <v>5445</v>
      </c>
      <c r="DC24" s="81"/>
      <c r="DD24" s="81">
        <f>SUM(DD19:DD23)</f>
        <v>108900</v>
      </c>
      <c r="DE24" s="9"/>
      <c r="DF24" s="81">
        <f>SUM(DF19:DF23)</f>
        <v>499.1250000000001</v>
      </c>
      <c r="DG24" s="81"/>
      <c r="DH24" s="81">
        <f>SUM(DH19:DH23)</f>
        <v>9982.500000000002</v>
      </c>
      <c r="DI24" s="81"/>
      <c r="DJ24" s="81">
        <f>SUM(DJ19:DJ23)</f>
        <v>499.1250000000001</v>
      </c>
      <c r="DK24" s="81"/>
      <c r="DL24" s="81">
        <f>SUM(DL19:DL23)</f>
        <v>9982.500000000002</v>
      </c>
      <c r="DM24" s="81"/>
      <c r="DN24" s="81">
        <f>SUM(DN19:DN23)</f>
        <v>499.1250000000001</v>
      </c>
      <c r="DO24" s="81"/>
      <c r="DP24" s="81">
        <f>SUM(DP19:DP23)</f>
        <v>9982.500000000002</v>
      </c>
      <c r="DQ24" s="81"/>
      <c r="DR24" s="81">
        <f>SUM(DR19:DR23)</f>
        <v>499.1250000000001</v>
      </c>
      <c r="DS24" s="81"/>
      <c r="DT24" s="81">
        <f>SUM(DT19:DT23)</f>
        <v>9982.500000000002</v>
      </c>
      <c r="DU24" s="81"/>
      <c r="DV24" s="81">
        <f>SUM(DV19:DV23)</f>
        <v>499.1250000000001</v>
      </c>
      <c r="DW24" s="81"/>
      <c r="DX24" s="81">
        <f>SUM(DX19:DX23)</f>
        <v>9982.500000000002</v>
      </c>
      <c r="DY24" s="81"/>
      <c r="DZ24" s="81">
        <f>SUM(DZ19:DZ23)</f>
        <v>499.1250000000001</v>
      </c>
      <c r="EA24" s="81"/>
      <c r="EB24" s="81">
        <f>SUM(EB19:EB23)</f>
        <v>9982.500000000002</v>
      </c>
      <c r="EC24" s="81"/>
      <c r="ED24" s="81">
        <f>SUM(ED19:ED23)</f>
        <v>499.1250000000001</v>
      </c>
      <c r="EE24" s="81"/>
      <c r="EF24" s="81">
        <f>SUM(EF19:EF23)</f>
        <v>9982.500000000002</v>
      </c>
      <c r="EG24" s="81"/>
      <c r="EH24" s="81">
        <f>SUM(EH19:EH23)</f>
        <v>499.1250000000001</v>
      </c>
      <c r="EI24" s="81"/>
      <c r="EJ24" s="81">
        <f>SUM(EJ19:EJ23)</f>
        <v>9982.500000000002</v>
      </c>
      <c r="EK24" s="81"/>
      <c r="EL24" s="81">
        <f>SUM(EL19:EL23)</f>
        <v>499.1250000000001</v>
      </c>
      <c r="EM24" s="81"/>
      <c r="EN24" s="81">
        <f>SUM(EN19:EN23)</f>
        <v>9982.500000000002</v>
      </c>
      <c r="EO24" s="81"/>
      <c r="EP24" s="81">
        <f>SUM(EP19:EP23)</f>
        <v>499.1250000000001</v>
      </c>
      <c r="EQ24" s="81"/>
      <c r="ER24" s="81">
        <f>SUM(ER19:ER23)</f>
        <v>9982.500000000002</v>
      </c>
      <c r="ES24" s="81"/>
      <c r="ET24" s="81">
        <f>SUM(ET19:ET23)</f>
        <v>499.1250000000001</v>
      </c>
      <c r="EU24" s="81"/>
      <c r="EV24" s="81">
        <f>SUM(EV19:EV23)</f>
        <v>9982.500000000002</v>
      </c>
      <c r="EW24" s="81"/>
      <c r="EX24" s="81">
        <f>SUM(EX19:EX23)</f>
        <v>499.1250000000001</v>
      </c>
      <c r="EY24" s="81"/>
      <c r="EZ24" s="81">
        <f>SUM(EZ19:EZ23)</f>
        <v>9982.500000000002</v>
      </c>
      <c r="FA24" s="81"/>
      <c r="FB24" s="81">
        <f>SUM(FB19:FB23)</f>
        <v>5989.500000000002</v>
      </c>
      <c r="FC24" s="81"/>
      <c r="FD24" s="81">
        <f>SUM(FD19:FD23)</f>
        <v>119790</v>
      </c>
      <c r="FE24" s="9"/>
      <c r="FF24" s="81">
        <f>SUM(FF19:FF23)</f>
        <v>549.0375000000001</v>
      </c>
      <c r="FG24" s="81"/>
      <c r="FH24" s="81">
        <f>SUM(FH19:FH23)</f>
        <v>10980.750000000004</v>
      </c>
      <c r="FI24" s="81"/>
      <c r="FJ24" s="81">
        <f>SUM(FJ19:FJ23)</f>
        <v>549.0375000000001</v>
      </c>
      <c r="FK24" s="81"/>
      <c r="FL24" s="81">
        <f>SUM(FL19:FL23)</f>
        <v>10980.750000000004</v>
      </c>
      <c r="FM24" s="81"/>
      <c r="FN24" s="81">
        <f>SUM(FN19:FN23)</f>
        <v>549.0375000000001</v>
      </c>
      <c r="FO24" s="81"/>
      <c r="FP24" s="81">
        <f>SUM(FP19:FP23)</f>
        <v>10980.750000000004</v>
      </c>
      <c r="FQ24" s="81"/>
      <c r="FR24" s="81">
        <f>SUM(FR19:FR23)</f>
        <v>549.0375000000001</v>
      </c>
      <c r="FS24" s="81"/>
      <c r="FT24" s="81">
        <f>SUM(FT19:FT23)</f>
        <v>10980.750000000004</v>
      </c>
      <c r="FU24" s="81"/>
      <c r="FV24" s="81">
        <f>SUM(FV19:FV23)</f>
        <v>549.0375000000001</v>
      </c>
      <c r="FW24" s="81"/>
      <c r="FX24" s="81">
        <f>SUM(FX19:FX23)</f>
        <v>10980.750000000004</v>
      </c>
      <c r="FY24" s="81"/>
      <c r="FZ24" s="81">
        <f>SUM(FZ19:FZ23)</f>
        <v>549.0375000000001</v>
      </c>
      <c r="GA24" s="81"/>
      <c r="GB24" s="81">
        <f>SUM(GB19:GB23)</f>
        <v>10980.750000000004</v>
      </c>
      <c r="GC24" s="81"/>
      <c r="GD24" s="81">
        <f>SUM(GD19:GD23)</f>
        <v>549.0375000000001</v>
      </c>
      <c r="GE24" s="81"/>
      <c r="GF24" s="81">
        <f>SUM(GF19:GF23)</f>
        <v>10980.750000000004</v>
      </c>
      <c r="GG24" s="81"/>
      <c r="GH24" s="81">
        <f>SUM(GH19:GH23)</f>
        <v>549.0375000000001</v>
      </c>
      <c r="GI24" s="81"/>
      <c r="GJ24" s="81">
        <f>SUM(GJ19:GJ23)</f>
        <v>10980.750000000004</v>
      </c>
      <c r="GK24" s="81"/>
      <c r="GL24" s="81">
        <f>SUM(GL19:GL23)</f>
        <v>549.0375000000001</v>
      </c>
      <c r="GM24" s="81"/>
      <c r="GN24" s="81">
        <f>SUM(GN19:GN23)</f>
        <v>10980.750000000004</v>
      </c>
      <c r="GO24" s="81"/>
      <c r="GP24" s="81">
        <f>SUM(GP19:GP23)</f>
        <v>549.0375000000001</v>
      </c>
      <c r="GQ24" s="81"/>
      <c r="GR24" s="81">
        <f>SUM(GR19:GR23)</f>
        <v>10980.750000000004</v>
      </c>
      <c r="GS24" s="81"/>
      <c r="GT24" s="81">
        <f>SUM(GT19:GT23)</f>
        <v>549.0375000000001</v>
      </c>
      <c r="GU24" s="81"/>
      <c r="GV24" s="81">
        <f>SUM(GV19:GV23)</f>
        <v>10980.750000000004</v>
      </c>
      <c r="GW24" s="81"/>
      <c r="GX24" s="81">
        <f>SUM(GX19:GX23)</f>
        <v>549.0375000000001</v>
      </c>
      <c r="GY24" s="81"/>
      <c r="GZ24" s="81">
        <f>SUM(GZ19:GZ23)</f>
        <v>10980.750000000004</v>
      </c>
      <c r="HA24" s="9"/>
      <c r="HB24" s="81">
        <f>SUM(HB19:HB23)</f>
        <v>6588.4500000000035</v>
      </c>
      <c r="HC24" s="81"/>
      <c r="HD24" s="81">
        <f>SUM(HD19:HD23)</f>
        <v>131769.00000000006</v>
      </c>
      <c r="HE24" s="9"/>
      <c r="HF24" s="81">
        <f>SUM(HF19:HF23)</f>
        <v>603.9412500000002</v>
      </c>
      <c r="HG24" s="81"/>
      <c r="HH24" s="81">
        <f>SUM(HH19:HH23)</f>
        <v>12078.825000000004</v>
      </c>
      <c r="HI24" s="81"/>
      <c r="HJ24" s="81">
        <f>SUM(HJ19:HJ23)</f>
        <v>603.9412500000002</v>
      </c>
      <c r="HK24" s="81"/>
      <c r="HL24" s="81">
        <f>SUM(HL19:HL23)</f>
        <v>12078.825000000004</v>
      </c>
      <c r="HM24" s="81"/>
      <c r="HN24" s="81">
        <f>SUM(HN19:HN23)</f>
        <v>603.9412500000002</v>
      </c>
      <c r="HO24" s="81"/>
      <c r="HP24" s="81">
        <f>SUM(HP19:HP23)</f>
        <v>12078.825000000004</v>
      </c>
      <c r="HQ24" s="81"/>
      <c r="HR24" s="81">
        <f>SUM(HR19:HR23)</f>
        <v>603.9412500000002</v>
      </c>
      <c r="HS24" s="81"/>
      <c r="HT24" s="81">
        <f>SUM(HT19:HT23)</f>
        <v>12078.825000000004</v>
      </c>
      <c r="HU24" s="81"/>
      <c r="HV24" s="81">
        <f>SUM(HV19:HV23)</f>
        <v>603.9412500000002</v>
      </c>
      <c r="HW24" s="81"/>
      <c r="HX24" s="81">
        <f>SUM(HX19:HX23)</f>
        <v>12078.825000000004</v>
      </c>
      <c r="HY24" s="81"/>
      <c r="HZ24" s="81">
        <f>SUM(HZ19:HZ23)</f>
        <v>603.9412500000002</v>
      </c>
      <c r="IA24" s="81"/>
      <c r="IB24" s="81">
        <f>SUM(IB19:IB23)</f>
        <v>12078.825000000004</v>
      </c>
      <c r="IC24" s="81"/>
      <c r="ID24" s="81">
        <f>SUM(ID19:ID23)</f>
        <v>603.9412500000002</v>
      </c>
      <c r="IE24" s="81"/>
      <c r="IF24" s="81">
        <f>SUM(IF19:IF23)</f>
        <v>12078.825000000004</v>
      </c>
      <c r="IG24" s="81"/>
      <c r="IH24" s="81">
        <f>SUM(IH19:IH23)</f>
        <v>603.9412500000002</v>
      </c>
      <c r="II24" s="81"/>
      <c r="IJ24" s="81">
        <f>SUM(IJ19:IJ23)</f>
        <v>12078.825000000004</v>
      </c>
      <c r="IK24" s="81"/>
      <c r="IL24" s="81">
        <f>SUM(IL19:IL23)</f>
        <v>603.9412500000002</v>
      </c>
      <c r="IM24" s="81"/>
      <c r="IN24" s="81">
        <f>SUM(IN19:IN23)</f>
        <v>12078.825000000004</v>
      </c>
      <c r="IO24" s="81"/>
      <c r="IP24" s="81">
        <f>SUM(IP19:IP23)</f>
        <v>603.9412500000002</v>
      </c>
      <c r="IQ24" s="81"/>
      <c r="IR24" s="81">
        <f>SUM(IR19:IR23)</f>
        <v>12078.825000000004</v>
      </c>
      <c r="IS24" s="81"/>
      <c r="IT24" s="81">
        <f>SUM(IT19:IT23)</f>
        <v>603.9412500000002</v>
      </c>
      <c r="IU24" s="81"/>
      <c r="IV24" s="81">
        <f>SUM(IV19:IV23)</f>
        <v>12078.825000000004</v>
      </c>
      <c r="IW24" s="81"/>
      <c r="IX24" s="81">
        <f>SUM(IX19:IX23)</f>
        <v>603.9412500000002</v>
      </c>
      <c r="IY24" s="81"/>
      <c r="IZ24" s="81">
        <f>SUM(IZ19:IZ23)</f>
        <v>12078.825000000004</v>
      </c>
      <c r="JA24" s="9"/>
      <c r="JB24" s="81">
        <f>SUM(JB19:JB23)</f>
        <v>7247.295000000004</v>
      </c>
      <c r="JC24" s="81"/>
      <c r="JD24" s="81">
        <f>SUM(JD19:JD23)</f>
        <v>144945.90000000005</v>
      </c>
      <c r="JE24" s="9"/>
      <c r="JF24" s="81">
        <f>SUM(JF19:JF23)</f>
        <v>664.3353750000003</v>
      </c>
      <c r="JG24" s="81"/>
      <c r="JH24" s="81">
        <f>SUM(JH19:JH23)</f>
        <v>13286.707500000008</v>
      </c>
      <c r="JI24" s="81"/>
      <c r="JJ24" s="81">
        <f>SUM(JJ19:JJ23)</f>
        <v>664.3353750000003</v>
      </c>
      <c r="JK24" s="81"/>
      <c r="JL24" s="81">
        <f>SUM(JL19:JL23)</f>
        <v>13286.707500000008</v>
      </c>
      <c r="JM24" s="81"/>
      <c r="JN24" s="81">
        <f>SUM(JN19:JN23)</f>
        <v>664.3353750000003</v>
      </c>
      <c r="JO24" s="81"/>
      <c r="JP24" s="81">
        <f>SUM(JP19:JP23)</f>
        <v>13286.707500000008</v>
      </c>
      <c r="JQ24" s="81"/>
      <c r="JR24" s="81">
        <f>SUM(JR19:JR23)</f>
        <v>664.3353750000003</v>
      </c>
      <c r="JS24" s="81"/>
      <c r="JT24" s="81">
        <f>SUM(JT19:JT23)</f>
        <v>13286.707500000008</v>
      </c>
      <c r="JU24" s="81"/>
      <c r="JV24" s="81">
        <f>SUM(JV19:JV23)</f>
        <v>664.3353750000003</v>
      </c>
      <c r="JW24" s="81"/>
      <c r="JX24" s="81">
        <f>SUM(JX19:JX23)</f>
        <v>13286.707500000008</v>
      </c>
      <c r="JY24" s="81"/>
      <c r="JZ24" s="81">
        <f>SUM(JZ19:JZ23)</f>
        <v>664.3353750000003</v>
      </c>
      <c r="KA24" s="81"/>
      <c r="KB24" s="81">
        <f>SUM(KB19:KB23)</f>
        <v>13286.707500000008</v>
      </c>
      <c r="KC24" s="81"/>
      <c r="KD24" s="81">
        <f>SUM(KD19:KD23)</f>
        <v>664.3353750000003</v>
      </c>
      <c r="KE24" s="81"/>
      <c r="KF24" s="81">
        <f>SUM(KF19:KF23)</f>
        <v>13286.707500000008</v>
      </c>
      <c r="KG24" s="81"/>
      <c r="KH24" s="81">
        <f>SUM(KH19:KH23)</f>
        <v>664.3353750000003</v>
      </c>
      <c r="KI24" s="81"/>
      <c r="KJ24" s="81">
        <f>SUM(KJ19:KJ23)</f>
        <v>13286.707500000008</v>
      </c>
      <c r="KK24" s="81"/>
      <c r="KL24" s="81">
        <f>SUM(KL19:KL23)</f>
        <v>664.3353750000003</v>
      </c>
      <c r="KM24" s="81"/>
      <c r="KN24" s="81">
        <f>SUM(KN19:KN23)</f>
        <v>13286.707500000008</v>
      </c>
      <c r="KO24" s="81"/>
      <c r="KP24" s="81">
        <f>SUM(KP19:KP23)</f>
        <v>664.3353750000003</v>
      </c>
      <c r="KQ24" s="81"/>
      <c r="KR24" s="81">
        <f>SUM(KR19:KR23)</f>
        <v>13286.707500000008</v>
      </c>
      <c r="KS24" s="81"/>
      <c r="KT24" s="81">
        <f>SUM(KT19:KT23)</f>
        <v>664.3353750000003</v>
      </c>
      <c r="KU24" s="81"/>
      <c r="KV24" s="81">
        <f>SUM(KV19:KV23)</f>
        <v>13286.707500000008</v>
      </c>
      <c r="KW24" s="81"/>
      <c r="KX24" s="81">
        <f>SUM(KX19:KX23)</f>
        <v>664.3353750000003</v>
      </c>
      <c r="KY24" s="81"/>
      <c r="KZ24" s="81">
        <f>SUM(KZ19:KZ23)</f>
        <v>13286.707500000008</v>
      </c>
      <c r="LA24" s="9"/>
      <c r="LB24" s="81">
        <f>SUM(LB19:LB23)</f>
        <v>7972.024500000005</v>
      </c>
      <c r="LC24" s="81"/>
      <c r="LD24" s="81">
        <f>SUM(LD19:LD23)</f>
        <v>159440.4900000001</v>
      </c>
    </row>
    <row r="25" ht="9.75" customHeight="1" spans="2:316" x14ac:dyDescent="0.25">
      <c r="B25" s="9"/>
      <c r="C25" s="30"/>
      <c r="D25" s="30"/>
      <c r="E25" s="30"/>
      <c r="F25" s="54"/>
      <c r="G25" s="54"/>
      <c r="H25" s="54"/>
      <c r="I25" s="54"/>
      <c r="J25" s="54"/>
      <c r="K25" s="54"/>
      <c r="L25" s="54"/>
      <c r="M25" s="54"/>
      <c r="N25" s="54"/>
      <c r="O25" s="54"/>
      <c r="P25" s="54"/>
      <c r="Q25" s="54"/>
      <c r="R25" s="54"/>
      <c r="S25" s="54"/>
      <c r="T25" s="54"/>
      <c r="U25" s="54"/>
      <c r="V25" s="54"/>
      <c r="W25" s="54"/>
      <c r="X25" s="54"/>
      <c r="Y25" s="54"/>
      <c r="Z25" s="54"/>
      <c r="AA25" s="54"/>
      <c r="AB25" s="54"/>
      <c r="AC25" s="54"/>
      <c r="AD25" s="54"/>
      <c r="AE25" s="54"/>
      <c r="AF25" s="54"/>
      <c r="AG25" s="54"/>
      <c r="AH25" s="54"/>
      <c r="AI25" s="54"/>
      <c r="AJ25" s="54"/>
      <c r="AK25" s="54"/>
      <c r="AL25" s="54"/>
      <c r="AM25" s="54"/>
      <c r="AN25" s="54"/>
      <c r="AO25" s="54"/>
      <c r="AP25" s="54"/>
      <c r="AQ25" s="54"/>
      <c r="AR25" s="54"/>
      <c r="AS25" s="54"/>
      <c r="AT25" s="54"/>
      <c r="AU25" s="54"/>
      <c r="AV25" s="54"/>
      <c r="AW25" s="54"/>
      <c r="AX25" s="54"/>
      <c r="AY25" s="54"/>
      <c r="AZ25" s="54"/>
      <c r="BA25" s="54"/>
      <c r="BB25" s="54"/>
      <c r="BC25" s="54"/>
      <c r="BD25" s="54"/>
      <c r="BF25" s="54"/>
      <c r="BG25" s="54"/>
      <c r="BH25" s="54"/>
      <c r="BI25" s="54"/>
      <c r="BJ25" s="54"/>
      <c r="BK25" s="54"/>
      <c r="BL25" s="54"/>
      <c r="BM25" s="54"/>
      <c r="BN25" s="54"/>
      <c r="BO25" s="54"/>
      <c r="BP25" s="54"/>
      <c r="BQ25" s="54"/>
      <c r="BR25" s="54"/>
      <c r="BS25" s="54"/>
      <c r="BT25" s="54"/>
      <c r="BU25" s="54"/>
      <c r="BV25" s="54"/>
      <c r="BW25" s="54"/>
      <c r="BX25" s="54"/>
      <c r="BY25" s="54"/>
      <c r="BZ25" s="54"/>
      <c r="CA25" s="54"/>
      <c r="CB25" s="54"/>
      <c r="CC25" s="54"/>
      <c r="CD25" s="54"/>
      <c r="CE25" s="54"/>
      <c r="CF25" s="54"/>
      <c r="CG25" s="54"/>
      <c r="CH25" s="54"/>
      <c r="CI25" s="54"/>
      <c r="CJ25" s="54"/>
      <c r="CK25" s="54"/>
      <c r="CL25" s="54"/>
      <c r="CM25" s="54"/>
      <c r="CN25" s="54"/>
      <c r="CO25" s="54"/>
      <c r="CP25" s="54"/>
      <c r="CQ25" s="54"/>
      <c r="CR25" s="54"/>
      <c r="CS25" s="54"/>
      <c r="CT25" s="54"/>
      <c r="CU25" s="54"/>
      <c r="CV25" s="54"/>
      <c r="CW25" s="54"/>
      <c r="CX25" s="54"/>
      <c r="CY25" s="54"/>
      <c r="CZ25" s="54"/>
      <c r="DA25" s="54"/>
      <c r="DB25" s="54"/>
      <c r="DC25" s="54"/>
      <c r="DD25" s="54"/>
      <c r="DF25" s="54"/>
      <c r="DG25" s="54"/>
      <c r="DH25" s="54"/>
      <c r="DI25" s="54"/>
      <c r="DJ25" s="54"/>
      <c r="DK25" s="54"/>
      <c r="DL25" s="54"/>
      <c r="DM25" s="54"/>
      <c r="DN25" s="54"/>
      <c r="DO25" s="54"/>
      <c r="DP25" s="54"/>
      <c r="DQ25" s="54"/>
      <c r="DR25" s="54"/>
      <c r="DS25" s="54"/>
      <c r="DT25" s="54"/>
      <c r="DU25" s="54"/>
      <c r="DV25" s="54"/>
      <c r="DW25" s="54"/>
      <c r="DX25" s="54"/>
      <c r="DY25" s="54"/>
      <c r="DZ25" s="54"/>
      <c r="EA25" s="54"/>
      <c r="EB25" s="54"/>
      <c r="EC25" s="54"/>
      <c r="ED25" s="54"/>
      <c r="EE25" s="54"/>
      <c r="EF25" s="54"/>
      <c r="EG25" s="54"/>
      <c r="EH25" s="54"/>
      <c r="EI25" s="54"/>
      <c r="EJ25" s="54"/>
      <c r="EK25" s="54"/>
      <c r="EL25" s="54"/>
      <c r="EM25" s="54"/>
      <c r="EN25" s="54"/>
      <c r="EO25" s="54"/>
      <c r="EP25" s="54"/>
      <c r="EQ25" s="54"/>
      <c r="ER25" s="54"/>
      <c r="ES25" s="54"/>
      <c r="ET25" s="54"/>
      <c r="EU25" s="54"/>
      <c r="EV25" s="54"/>
      <c r="EW25" s="54"/>
      <c r="EX25" s="54"/>
      <c r="EY25" s="54"/>
      <c r="EZ25" s="54"/>
      <c r="FA25" s="54"/>
      <c r="FB25" s="54"/>
      <c r="FC25" s="54"/>
      <c r="FD25" s="54"/>
      <c r="FF25" s="54"/>
      <c r="FG25" s="54"/>
      <c r="FH25" s="54"/>
      <c r="FI25" s="54"/>
      <c r="FJ25" s="54"/>
      <c r="FK25" s="54"/>
      <c r="FL25" s="54"/>
      <c r="FM25" s="54"/>
      <c r="FN25" s="54"/>
      <c r="FO25" s="54"/>
      <c r="FP25" s="54"/>
      <c r="FQ25" s="54"/>
      <c r="FR25" s="54"/>
      <c r="FS25" s="54"/>
      <c r="FT25" s="54"/>
      <c r="FU25" s="54"/>
      <c r="FV25" s="54"/>
      <c r="FW25" s="54"/>
      <c r="FX25" s="54"/>
      <c r="FY25" s="54"/>
      <c r="FZ25" s="54"/>
      <c r="GA25" s="54"/>
      <c r="GB25" s="54"/>
      <c r="GC25" s="54"/>
      <c r="GD25" s="54"/>
      <c r="GE25" s="54"/>
      <c r="GF25" s="54"/>
      <c r="GG25" s="54"/>
      <c r="GH25" s="54"/>
      <c r="GI25" s="54"/>
      <c r="GJ25" s="54"/>
      <c r="GK25" s="54"/>
      <c r="GL25" s="54"/>
      <c r="GM25" s="54"/>
      <c r="GN25" s="54"/>
      <c r="GO25" s="54"/>
      <c r="GP25" s="54"/>
      <c r="GQ25" s="54"/>
      <c r="GR25" s="54"/>
      <c r="GS25" s="54"/>
      <c r="GT25" s="54"/>
      <c r="GU25" s="54"/>
      <c r="GV25" s="54"/>
      <c r="GW25" s="54"/>
      <c r="GX25" s="54"/>
      <c r="GY25" s="54"/>
      <c r="GZ25" s="54"/>
      <c r="HB25" s="54"/>
      <c r="HC25" s="54"/>
      <c r="HD25" s="54"/>
      <c r="HF25" s="54"/>
      <c r="HG25" s="54"/>
      <c r="HH25" s="54"/>
      <c r="HI25" s="54"/>
      <c r="HJ25" s="54"/>
      <c r="HK25" s="54"/>
      <c r="HL25" s="54"/>
      <c r="HM25" s="54"/>
      <c r="HN25" s="54"/>
      <c r="HO25" s="54"/>
      <c r="HP25" s="54"/>
      <c r="HQ25" s="54"/>
      <c r="HR25" s="54"/>
      <c r="HS25" s="54"/>
      <c r="HT25" s="54"/>
      <c r="HU25" s="54"/>
      <c r="HV25" s="54"/>
      <c r="HW25" s="54"/>
      <c r="HX25" s="54"/>
      <c r="HY25" s="54"/>
      <c r="HZ25" s="54"/>
      <c r="IA25" s="54"/>
      <c r="IB25" s="54"/>
      <c r="IC25" s="54"/>
      <c r="ID25" s="54"/>
      <c r="IE25" s="54"/>
      <c r="IF25" s="54"/>
      <c r="IG25" s="54"/>
      <c r="IH25" s="54"/>
      <c r="II25" s="54"/>
      <c r="IJ25" s="54"/>
      <c r="IK25" s="54"/>
      <c r="IL25" s="54"/>
      <c r="IM25" s="54"/>
      <c r="IN25" s="54"/>
      <c r="IO25" s="54"/>
      <c r="IP25" s="54"/>
      <c r="IQ25" s="54"/>
      <c r="IR25" s="54"/>
      <c r="IS25" s="54"/>
      <c r="IT25" s="54"/>
      <c r="IU25" s="54"/>
      <c r="IV25" s="54"/>
      <c r="IW25" s="54"/>
      <c r="IX25" s="54"/>
      <c r="IY25" s="54"/>
      <c r="IZ25" s="54"/>
      <c r="JB25" s="54"/>
      <c r="JC25" s="54"/>
      <c r="JD25" s="54"/>
      <c r="JF25" s="54"/>
      <c r="JG25" s="54"/>
      <c r="JH25" s="54"/>
      <c r="JI25" s="54"/>
      <c r="JJ25" s="54"/>
      <c r="JK25" s="54"/>
      <c r="JL25" s="54"/>
      <c r="JM25" s="54"/>
      <c r="JN25" s="54"/>
      <c r="JO25" s="54"/>
      <c r="JP25" s="54"/>
      <c r="JQ25" s="54"/>
      <c r="JR25" s="54"/>
      <c r="JS25" s="54"/>
      <c r="JT25" s="54"/>
      <c r="JU25" s="54"/>
      <c r="JV25" s="54"/>
      <c r="JW25" s="54"/>
      <c r="JX25" s="54"/>
      <c r="JY25" s="54"/>
      <c r="JZ25" s="54"/>
      <c r="KA25" s="54"/>
      <c r="KB25" s="54"/>
      <c r="KC25" s="54"/>
      <c r="KD25" s="54"/>
      <c r="KE25" s="54"/>
      <c r="KF25" s="54"/>
      <c r="KG25" s="54"/>
      <c r="KH25" s="54"/>
      <c r="KI25" s="54"/>
      <c r="KJ25" s="54"/>
      <c r="KK25" s="54"/>
      <c r="KL25" s="54"/>
      <c r="KM25" s="54"/>
      <c r="KN25" s="54"/>
      <c r="KO25" s="54"/>
      <c r="KP25" s="54"/>
      <c r="KQ25" s="54"/>
      <c r="KR25" s="54"/>
      <c r="KS25" s="54"/>
      <c r="KT25" s="54"/>
      <c r="KU25" s="54"/>
      <c r="KV25" s="54"/>
      <c r="KW25" s="54"/>
      <c r="KX25" s="54"/>
      <c r="KY25" s="54"/>
      <c r="KZ25" s="54"/>
      <c r="LB25" s="54"/>
      <c r="LC25" s="54"/>
      <c r="LD25" s="54"/>
    </row>
    <row r="26" ht="18.75" customHeight="1" spans="2:316" x14ac:dyDescent="0.25">
      <c r="B26" s="9"/>
      <c r="C26" s="30"/>
      <c r="D26" s="28"/>
      <c r="E26" s="28"/>
      <c r="F26" s="28"/>
      <c r="G26" s="54"/>
      <c r="H26" s="54"/>
      <c r="I26" s="54"/>
      <c r="J26" s="78">
        <f>'A.I Revenue Streams - P2'!K28+100%</f>
        <v>1.1</v>
      </c>
      <c r="K26" s="78">
        <f>$K$8</f>
        <v>1</v>
      </c>
      <c r="L26" s="77"/>
      <c r="M26" s="77"/>
      <c r="N26" s="78">
        <v>1</v>
      </c>
      <c r="O26" s="78">
        <v>1</v>
      </c>
      <c r="P26" s="77"/>
      <c r="Q26" s="77"/>
      <c r="R26" s="78">
        <f>N26</f>
        <v>1</v>
      </c>
      <c r="S26" s="78">
        <v>1</v>
      </c>
      <c r="T26" s="77"/>
      <c r="U26" s="77"/>
      <c r="V26" s="78">
        <f>R26</f>
        <v>1</v>
      </c>
      <c r="W26" s="78">
        <v>1</v>
      </c>
      <c r="X26" s="77"/>
      <c r="Y26" s="77"/>
      <c r="Z26" s="78">
        <f>V26</f>
        <v>1</v>
      </c>
      <c r="AA26" s="78">
        <v>1</v>
      </c>
      <c r="AB26" s="77"/>
      <c r="AC26" s="77"/>
      <c r="AD26" s="78">
        <f>Z26</f>
        <v>1</v>
      </c>
      <c r="AE26" s="78">
        <v>1</v>
      </c>
      <c r="AF26" s="77"/>
      <c r="AG26" s="77"/>
      <c r="AH26" s="78">
        <f>AD26</f>
        <v>1</v>
      </c>
      <c r="AI26" s="78">
        <v>1</v>
      </c>
      <c r="AJ26" s="77"/>
      <c r="AK26" s="77"/>
      <c r="AL26" s="78">
        <f>AH26</f>
        <v>1</v>
      </c>
      <c r="AM26" s="78">
        <v>1</v>
      </c>
      <c r="AN26" s="77"/>
      <c r="AO26" s="54"/>
      <c r="AP26" s="78">
        <f>AL26</f>
        <v>1</v>
      </c>
      <c r="AQ26" s="78">
        <v>1</v>
      </c>
      <c r="AR26" s="77"/>
      <c r="AS26" s="77"/>
      <c r="AT26" s="78">
        <f>AP26</f>
        <v>1</v>
      </c>
      <c r="AU26" s="78">
        <v>1</v>
      </c>
      <c r="AV26" s="77"/>
      <c r="AW26" s="77"/>
      <c r="AX26" s="78">
        <f>AT26</f>
        <v>1</v>
      </c>
      <c r="AY26" s="78">
        <v>1</v>
      </c>
      <c r="AZ26" s="77"/>
      <c r="BA26" s="54"/>
      <c r="BB26" s="54"/>
      <c r="BC26" s="54"/>
      <c r="BD26" s="54"/>
      <c r="BF26" s="78">
        <f>'A.I Revenue Streams - P2'!M28+100%</f>
        <v>1.1</v>
      </c>
      <c r="BG26" s="78">
        <v>1</v>
      </c>
      <c r="BH26" s="77"/>
      <c r="BI26" s="54"/>
      <c r="BJ26" s="78">
        <v>1</v>
      </c>
      <c r="BK26" s="78">
        <v>1</v>
      </c>
      <c r="BL26" s="77"/>
      <c r="BM26" s="77"/>
      <c r="BN26" s="78">
        <f>BJ26</f>
        <v>1</v>
      </c>
      <c r="BO26" s="78">
        <v>1</v>
      </c>
      <c r="BP26" s="77"/>
      <c r="BQ26" s="77"/>
      <c r="BR26" s="79">
        <f>BN26</f>
        <v>1</v>
      </c>
      <c r="BS26" s="79">
        <v>1</v>
      </c>
      <c r="BT26" s="77"/>
      <c r="BU26" s="77"/>
      <c r="BV26" s="78">
        <f>BR26</f>
        <v>1</v>
      </c>
      <c r="BW26" s="78">
        <v>1</v>
      </c>
      <c r="BX26" s="77"/>
      <c r="BY26" s="77"/>
      <c r="BZ26" s="78">
        <f>BV26</f>
        <v>1</v>
      </c>
      <c r="CA26" s="78">
        <v>1</v>
      </c>
      <c r="CB26" s="77"/>
      <c r="CC26" s="77"/>
      <c r="CD26" s="79">
        <f>BZ26</f>
        <v>1</v>
      </c>
      <c r="CE26" s="79">
        <v>1</v>
      </c>
      <c r="CF26" s="77"/>
      <c r="CG26" s="77"/>
      <c r="CH26" s="78">
        <f>CD26</f>
        <v>1</v>
      </c>
      <c r="CI26" s="78">
        <v>1</v>
      </c>
      <c r="CJ26" s="77"/>
      <c r="CK26" s="77"/>
      <c r="CL26" s="78">
        <f>CH26</f>
        <v>1</v>
      </c>
      <c r="CM26" s="78">
        <v>1</v>
      </c>
      <c r="CN26" s="77"/>
      <c r="CO26" s="77"/>
      <c r="CP26" s="78">
        <f>CL26</f>
        <v>1</v>
      </c>
      <c r="CQ26" s="78">
        <v>1</v>
      </c>
      <c r="CR26" s="77"/>
      <c r="CS26" s="77"/>
      <c r="CT26" s="78">
        <f>CP26</f>
        <v>1</v>
      </c>
      <c r="CU26" s="78">
        <v>1</v>
      </c>
      <c r="CV26" s="77"/>
      <c r="CW26" s="77"/>
      <c r="CX26" s="79">
        <f>CT26</f>
        <v>1</v>
      </c>
      <c r="CY26" s="79">
        <v>1</v>
      </c>
      <c r="CZ26" s="77"/>
      <c r="DA26" s="77"/>
      <c r="DB26" s="78">
        <f>'A.I Revenue Streams - P2'!M28+100%</f>
        <v>1.1</v>
      </c>
      <c r="DC26" s="78">
        <f>$DC$8</f>
        <v>1</v>
      </c>
      <c r="DD26" s="54"/>
      <c r="DF26" s="78">
        <f>'A.I Revenue Streams - P2'!O28+100%</f>
        <v>1.1</v>
      </c>
      <c r="DG26" s="78">
        <v>1</v>
      </c>
      <c r="DH26" s="77"/>
      <c r="DI26" s="54"/>
      <c r="DJ26" s="78">
        <v>1</v>
      </c>
      <c r="DK26" s="78">
        <v>1</v>
      </c>
      <c r="DL26" s="77"/>
      <c r="DM26" s="77"/>
      <c r="DN26" s="78">
        <f>DJ26</f>
        <v>1</v>
      </c>
      <c r="DO26" s="78">
        <v>1</v>
      </c>
      <c r="DP26" s="77"/>
      <c r="DQ26" s="77"/>
      <c r="DR26" s="79">
        <f>DN26</f>
        <v>1</v>
      </c>
      <c r="DS26" s="79">
        <v>1</v>
      </c>
      <c r="DT26" s="77"/>
      <c r="DU26" s="77"/>
      <c r="DV26" s="78">
        <f>DR26</f>
        <v>1</v>
      </c>
      <c r="DW26" s="78">
        <v>1</v>
      </c>
      <c r="DX26" s="77"/>
      <c r="DY26" s="77"/>
      <c r="DZ26" s="78">
        <f>DV26</f>
        <v>1</v>
      </c>
      <c r="EA26" s="78">
        <v>1</v>
      </c>
      <c r="EB26" s="77"/>
      <c r="EC26" s="77"/>
      <c r="ED26" s="79">
        <f>DZ26</f>
        <v>1</v>
      </c>
      <c r="EE26" s="79">
        <v>1</v>
      </c>
      <c r="EF26" s="77"/>
      <c r="EG26" s="77"/>
      <c r="EH26" s="78">
        <f>ED26</f>
        <v>1</v>
      </c>
      <c r="EI26" s="78">
        <v>1</v>
      </c>
      <c r="EJ26" s="77"/>
      <c r="EK26" s="77"/>
      <c r="EL26" s="78">
        <f>EH26</f>
        <v>1</v>
      </c>
      <c r="EM26" s="78">
        <v>1</v>
      </c>
      <c r="EN26" s="77"/>
      <c r="EO26" s="77"/>
      <c r="EP26" s="78">
        <f>EL26</f>
        <v>1</v>
      </c>
      <c r="EQ26" s="78">
        <v>1</v>
      </c>
      <c r="ER26" s="77"/>
      <c r="ES26" s="77"/>
      <c r="ET26" s="78">
        <f>EP26</f>
        <v>1</v>
      </c>
      <c r="EU26" s="78">
        <v>1</v>
      </c>
      <c r="EV26" s="77"/>
      <c r="EW26" s="77"/>
      <c r="EX26" s="79">
        <f>ET26</f>
        <v>1</v>
      </c>
      <c r="EY26" s="79">
        <v>1</v>
      </c>
      <c r="EZ26" s="77"/>
      <c r="FA26" s="77"/>
      <c r="FB26" s="78">
        <f>'A.I Revenue Streams - P2'!O28+100%</f>
        <v>1.1</v>
      </c>
      <c r="FC26" s="78">
        <v>1</v>
      </c>
      <c r="FD26" s="54"/>
      <c r="FE26" s="28"/>
      <c r="FF26" s="78">
        <f>'A.I Revenue Streams - P2'!Q28+100%</f>
        <v>1.1</v>
      </c>
      <c r="FG26" s="78">
        <v>1</v>
      </c>
      <c r="FH26" s="77"/>
      <c r="FI26" s="54"/>
      <c r="FJ26" s="78">
        <v>1</v>
      </c>
      <c r="FK26" s="78">
        <v>1</v>
      </c>
      <c r="FL26" s="77"/>
      <c r="FM26" s="77"/>
      <c r="FN26" s="78">
        <f>FJ26</f>
        <v>1</v>
      </c>
      <c r="FO26" s="78">
        <v>1</v>
      </c>
      <c r="FP26" s="77"/>
      <c r="FQ26" s="77"/>
      <c r="FR26" s="79">
        <f>FN26</f>
        <v>1</v>
      </c>
      <c r="FS26" s="79">
        <v>1</v>
      </c>
      <c r="FT26" s="77"/>
      <c r="FU26" s="77"/>
      <c r="FV26" s="78">
        <f>FR26</f>
        <v>1</v>
      </c>
      <c r="FW26" s="78">
        <v>1</v>
      </c>
      <c r="FX26" s="77"/>
      <c r="FY26" s="77"/>
      <c r="FZ26" s="78">
        <f>FV26</f>
        <v>1</v>
      </c>
      <c r="GA26" s="78">
        <v>1</v>
      </c>
      <c r="GB26" s="77"/>
      <c r="GC26" s="77"/>
      <c r="GD26" s="79">
        <f>FZ26</f>
        <v>1</v>
      </c>
      <c r="GE26" s="79">
        <v>1</v>
      </c>
      <c r="GF26" s="77"/>
      <c r="GG26" s="77"/>
      <c r="GH26" s="78">
        <f>GD26</f>
        <v>1</v>
      </c>
      <c r="GI26" s="78">
        <v>1</v>
      </c>
      <c r="GJ26" s="77"/>
      <c r="GK26" s="77"/>
      <c r="GL26" s="78">
        <f>GH26</f>
        <v>1</v>
      </c>
      <c r="GM26" s="78">
        <v>1</v>
      </c>
      <c r="GN26" s="77"/>
      <c r="GO26" s="77"/>
      <c r="GP26" s="78">
        <f>GL26</f>
        <v>1</v>
      </c>
      <c r="GQ26" s="78">
        <v>1</v>
      </c>
      <c r="GR26" s="77"/>
      <c r="GS26" s="77"/>
      <c r="GT26" s="78">
        <f>GP26</f>
        <v>1</v>
      </c>
      <c r="GU26" s="78">
        <v>1</v>
      </c>
      <c r="GV26" s="77"/>
      <c r="GW26" s="77"/>
      <c r="GX26" s="79">
        <f>GT26</f>
        <v>1</v>
      </c>
      <c r="GY26" s="79">
        <v>1</v>
      </c>
      <c r="GZ26" s="77"/>
      <c r="HA26" s="28"/>
      <c r="HB26" s="78">
        <f>'A.I Revenue Streams - P2'!Q28+100%</f>
        <v>1.1</v>
      </c>
      <c r="HC26" s="78">
        <v>1</v>
      </c>
      <c r="HD26" s="54"/>
      <c r="HE26" s="28"/>
      <c r="HF26" s="78">
        <f>'A.I Revenue Streams - P2'!S28+100%</f>
        <v>1.1</v>
      </c>
      <c r="HG26" s="78">
        <v>1</v>
      </c>
      <c r="HH26" s="77"/>
      <c r="HI26" s="54"/>
      <c r="HJ26" s="78">
        <v>1</v>
      </c>
      <c r="HK26" s="78">
        <v>1</v>
      </c>
      <c r="HL26" s="77"/>
      <c r="HM26" s="77"/>
      <c r="HN26" s="78">
        <f>HJ26</f>
        <v>1</v>
      </c>
      <c r="HO26" s="78">
        <v>1</v>
      </c>
      <c r="HP26" s="77"/>
      <c r="HQ26" s="77"/>
      <c r="HR26" s="79">
        <f>HN26</f>
        <v>1</v>
      </c>
      <c r="HS26" s="79">
        <v>1</v>
      </c>
      <c r="HT26" s="77"/>
      <c r="HU26" s="77"/>
      <c r="HV26" s="78">
        <f>HR26</f>
        <v>1</v>
      </c>
      <c r="HW26" s="78">
        <v>1</v>
      </c>
      <c r="HX26" s="77"/>
      <c r="HY26" s="77"/>
      <c r="HZ26" s="78">
        <f>HV26</f>
        <v>1</v>
      </c>
      <c r="IA26" s="78">
        <v>1</v>
      </c>
      <c r="IB26" s="77"/>
      <c r="IC26" s="77"/>
      <c r="ID26" s="79">
        <f>HZ26</f>
        <v>1</v>
      </c>
      <c r="IE26" s="79">
        <v>1</v>
      </c>
      <c r="IF26" s="77"/>
      <c r="IG26" s="77"/>
      <c r="IH26" s="78">
        <f>ID26</f>
        <v>1</v>
      </c>
      <c r="II26" s="78">
        <v>1</v>
      </c>
      <c r="IJ26" s="77"/>
      <c r="IK26" s="77"/>
      <c r="IL26" s="78">
        <f>IH26</f>
        <v>1</v>
      </c>
      <c r="IM26" s="78">
        <v>1</v>
      </c>
      <c r="IN26" s="77"/>
      <c r="IO26" s="77"/>
      <c r="IP26" s="78">
        <f>IL26</f>
        <v>1</v>
      </c>
      <c r="IQ26" s="78">
        <v>1</v>
      </c>
      <c r="IR26" s="77"/>
      <c r="IS26" s="77"/>
      <c r="IT26" s="78">
        <f>IP26</f>
        <v>1</v>
      </c>
      <c r="IU26" s="78">
        <v>1</v>
      </c>
      <c r="IV26" s="77"/>
      <c r="IW26" s="77"/>
      <c r="IX26" s="79">
        <f>IT26</f>
        <v>1</v>
      </c>
      <c r="IY26" s="79">
        <v>1</v>
      </c>
      <c r="IZ26" s="77"/>
      <c r="JA26" s="28"/>
      <c r="JB26" s="78">
        <f>'A.I Revenue Streams - P2'!S28+100%</f>
        <v>1.1</v>
      </c>
      <c r="JC26" s="78">
        <v>1</v>
      </c>
      <c r="JD26" s="54"/>
      <c r="JE26" s="28"/>
      <c r="JF26" s="78">
        <f>'A.I Revenue Streams - P2'!U28+100%</f>
        <v>1.1</v>
      </c>
      <c r="JG26" s="78">
        <v>1</v>
      </c>
      <c r="JH26" s="77"/>
      <c r="JI26" s="54"/>
      <c r="JJ26" s="78">
        <v>1</v>
      </c>
      <c r="JK26" s="78">
        <v>1</v>
      </c>
      <c r="JL26" s="77"/>
      <c r="JM26" s="77"/>
      <c r="JN26" s="78">
        <f>JJ26</f>
        <v>1</v>
      </c>
      <c r="JO26" s="78">
        <v>1</v>
      </c>
      <c r="JP26" s="77"/>
      <c r="JQ26" s="77"/>
      <c r="JR26" s="79">
        <f>JN26</f>
        <v>1</v>
      </c>
      <c r="JS26" s="79">
        <v>1</v>
      </c>
      <c r="JT26" s="77"/>
      <c r="JU26" s="77"/>
      <c r="JV26" s="78">
        <f>JR26</f>
        <v>1</v>
      </c>
      <c r="JW26" s="78">
        <v>1</v>
      </c>
      <c r="JX26" s="77"/>
      <c r="JY26" s="77"/>
      <c r="JZ26" s="78">
        <f>JV26</f>
        <v>1</v>
      </c>
      <c r="KA26" s="78">
        <v>1</v>
      </c>
      <c r="KB26" s="77"/>
      <c r="KC26" s="77"/>
      <c r="KD26" s="79">
        <f>JZ26</f>
        <v>1</v>
      </c>
      <c r="KE26" s="79">
        <v>1</v>
      </c>
      <c r="KF26" s="77"/>
      <c r="KG26" s="77"/>
      <c r="KH26" s="78">
        <f>KD26</f>
        <v>1</v>
      </c>
      <c r="KI26" s="78">
        <v>1</v>
      </c>
      <c r="KJ26" s="77"/>
      <c r="KK26" s="77"/>
      <c r="KL26" s="78">
        <f>KH26</f>
        <v>1</v>
      </c>
      <c r="KM26" s="78">
        <v>1</v>
      </c>
      <c r="KN26" s="77"/>
      <c r="KO26" s="77"/>
      <c r="KP26" s="78">
        <f>KL26</f>
        <v>1</v>
      </c>
      <c r="KQ26" s="78">
        <v>1</v>
      </c>
      <c r="KR26" s="77"/>
      <c r="KS26" s="77"/>
      <c r="KT26" s="78">
        <f>KP26</f>
        <v>1</v>
      </c>
      <c r="KU26" s="78">
        <v>1</v>
      </c>
      <c r="KV26" s="77"/>
      <c r="KW26" s="77"/>
      <c r="KX26" s="79">
        <f>KT26</f>
        <v>1</v>
      </c>
      <c r="KY26" s="79">
        <v>1</v>
      </c>
      <c r="KZ26" s="77"/>
      <c r="LA26" s="28"/>
      <c r="LB26" s="78">
        <f>'A.I Revenue Streams - P2'!U28+100%</f>
        <v>1.1</v>
      </c>
      <c r="LC26" s="78">
        <v>1</v>
      </c>
      <c r="LD26" s="54"/>
    </row>
    <row r="27" ht="18.75" customHeight="1" spans="2:316" x14ac:dyDescent="0.25">
      <c r="B27" s="5">
        <v>3</v>
      </c>
      <c r="C27" s="29">
        <f>'A.I Revenue Streams - P1'!D27</f>
        <v>0</v>
      </c>
      <c r="D27" s="27"/>
      <c r="E27" s="28"/>
      <c r="F27" s="51"/>
      <c r="G27" s="51"/>
      <c r="H27" s="51"/>
      <c r="I27" s="54"/>
      <c r="J27" s="51"/>
      <c r="K27" s="51"/>
      <c r="L27" s="51"/>
      <c r="M27" s="54"/>
      <c r="N27" s="51"/>
      <c r="O27" s="51"/>
      <c r="P27" s="51"/>
      <c r="Q27" s="54"/>
      <c r="R27" s="51"/>
      <c r="S27" s="51"/>
      <c r="T27" s="51"/>
      <c r="U27" s="54"/>
      <c r="V27" s="51"/>
      <c r="W27" s="51"/>
      <c r="X27" s="51"/>
      <c r="Y27" s="54"/>
      <c r="Z27" s="51"/>
      <c r="AA27" s="51"/>
      <c r="AB27" s="51"/>
      <c r="AC27" s="54"/>
      <c r="AD27" s="51"/>
      <c r="AE27" s="51"/>
      <c r="AF27" s="51"/>
      <c r="AG27" s="54"/>
      <c r="AH27" s="51"/>
      <c r="AI27" s="51"/>
      <c r="AJ27" s="51"/>
      <c r="AK27" s="54"/>
      <c r="AL27" s="51"/>
      <c r="AM27" s="51"/>
      <c r="AN27" s="51"/>
      <c r="AO27" s="54"/>
      <c r="AP27" s="51"/>
      <c r="AQ27" s="51"/>
      <c r="AR27" s="51"/>
      <c r="AS27" s="54"/>
      <c r="AT27" s="51"/>
      <c r="AU27" s="51"/>
      <c r="AV27" s="51"/>
      <c r="AW27" s="54"/>
      <c r="AX27" s="51"/>
      <c r="AY27" s="51"/>
      <c r="AZ27" s="51"/>
      <c r="BA27" s="54"/>
      <c r="BB27" s="80"/>
      <c r="BC27" s="80"/>
      <c r="BD27" s="80"/>
      <c r="BF27" s="51"/>
      <c r="BG27" s="51"/>
      <c r="BH27" s="51"/>
      <c r="BI27" s="54"/>
      <c r="BJ27" s="51"/>
      <c r="BK27" s="51"/>
      <c r="BL27" s="51"/>
      <c r="BM27" s="54"/>
      <c r="BN27" s="51"/>
      <c r="BO27" s="51"/>
      <c r="BP27" s="51"/>
      <c r="BQ27" s="54"/>
      <c r="BR27" s="51"/>
      <c r="BS27" s="51"/>
      <c r="BT27" s="51"/>
      <c r="BU27" s="54"/>
      <c r="BV27" s="51"/>
      <c r="BW27" s="51"/>
      <c r="BX27" s="51"/>
      <c r="BY27" s="54"/>
      <c r="BZ27" s="51"/>
      <c r="CA27" s="51"/>
      <c r="CB27" s="51"/>
      <c r="CC27" s="54"/>
      <c r="CD27" s="51"/>
      <c r="CE27" s="51"/>
      <c r="CF27" s="51"/>
      <c r="CG27" s="54"/>
      <c r="CH27" s="51"/>
      <c r="CI27" s="51"/>
      <c r="CJ27" s="51"/>
      <c r="CK27" s="54"/>
      <c r="CL27" s="51"/>
      <c r="CM27" s="51"/>
      <c r="CN27" s="51"/>
      <c r="CO27" s="54"/>
      <c r="CP27" s="51"/>
      <c r="CQ27" s="51"/>
      <c r="CR27" s="51"/>
      <c r="CS27" s="54"/>
      <c r="CT27" s="51"/>
      <c r="CU27" s="51"/>
      <c r="CV27" s="51"/>
      <c r="CW27" s="54"/>
      <c r="CX27" s="51"/>
      <c r="CY27" s="51"/>
      <c r="CZ27" s="51"/>
      <c r="DA27" s="54"/>
      <c r="DB27" s="80"/>
      <c r="DC27" s="80"/>
      <c r="DD27" s="80"/>
      <c r="DF27" s="51"/>
      <c r="DG27" s="51"/>
      <c r="DH27" s="51"/>
      <c r="DI27" s="54"/>
      <c r="DJ27" s="51"/>
      <c r="DK27" s="51"/>
      <c r="DL27" s="51"/>
      <c r="DM27" s="54"/>
      <c r="DN27" s="51"/>
      <c r="DO27" s="51"/>
      <c r="DP27" s="51"/>
      <c r="DQ27" s="54"/>
      <c r="DR27" s="51"/>
      <c r="DS27" s="51"/>
      <c r="DT27" s="51"/>
      <c r="DU27" s="54"/>
      <c r="DV27" s="51"/>
      <c r="DW27" s="51"/>
      <c r="DX27" s="51"/>
      <c r="DY27" s="54"/>
      <c r="DZ27" s="51"/>
      <c r="EA27" s="51"/>
      <c r="EB27" s="51"/>
      <c r="EC27" s="54"/>
      <c r="ED27" s="51"/>
      <c r="EE27" s="51"/>
      <c r="EF27" s="51"/>
      <c r="EG27" s="54"/>
      <c r="EH27" s="51"/>
      <c r="EI27" s="51"/>
      <c r="EJ27" s="51"/>
      <c r="EK27" s="54"/>
      <c r="EL27" s="51"/>
      <c r="EM27" s="51"/>
      <c r="EN27" s="51"/>
      <c r="EO27" s="54"/>
      <c r="EP27" s="51"/>
      <c r="EQ27" s="51"/>
      <c r="ER27" s="51"/>
      <c r="ES27" s="54"/>
      <c r="ET27" s="51"/>
      <c r="EU27" s="51"/>
      <c r="EV27" s="51"/>
      <c r="EW27" s="54"/>
      <c r="EX27" s="51"/>
      <c r="EY27" s="51"/>
      <c r="EZ27" s="51"/>
      <c r="FA27" s="54"/>
      <c r="FB27" s="80"/>
      <c r="FC27" s="80"/>
      <c r="FD27" s="80"/>
      <c r="FF27" s="51"/>
      <c r="FG27" s="51"/>
      <c r="FH27" s="51"/>
      <c r="FI27" s="54"/>
      <c r="FJ27" s="51"/>
      <c r="FK27" s="51"/>
      <c r="FL27" s="51"/>
      <c r="FM27" s="54"/>
      <c r="FN27" s="51"/>
      <c r="FO27" s="51"/>
      <c r="FP27" s="51"/>
      <c r="FQ27" s="54"/>
      <c r="FR27" s="51"/>
      <c r="FS27" s="51"/>
      <c r="FT27" s="51"/>
      <c r="FU27" s="54"/>
      <c r="FV27" s="51"/>
      <c r="FW27" s="51"/>
      <c r="FX27" s="51"/>
      <c r="FY27" s="54"/>
      <c r="FZ27" s="51"/>
      <c r="GA27" s="51"/>
      <c r="GB27" s="51"/>
      <c r="GC27" s="54"/>
      <c r="GD27" s="51"/>
      <c r="GE27" s="51"/>
      <c r="GF27" s="51"/>
      <c r="GG27" s="54"/>
      <c r="GH27" s="51"/>
      <c r="GI27" s="51"/>
      <c r="GJ27" s="51"/>
      <c r="GK27" s="54"/>
      <c r="GL27" s="51"/>
      <c r="GM27" s="51"/>
      <c r="GN27" s="51"/>
      <c r="GO27" s="54"/>
      <c r="GP27" s="51"/>
      <c r="GQ27" s="51"/>
      <c r="GR27" s="51"/>
      <c r="GS27" s="54"/>
      <c r="GT27" s="51"/>
      <c r="GU27" s="51"/>
      <c r="GV27" s="51"/>
      <c r="GW27" s="54"/>
      <c r="GX27" s="51"/>
      <c r="GY27" s="51"/>
      <c r="GZ27" s="51"/>
      <c r="HB27" s="80"/>
      <c r="HC27" s="80"/>
      <c r="HD27" s="80"/>
      <c r="HF27" s="51"/>
      <c r="HG27" s="51"/>
      <c r="HH27" s="51"/>
      <c r="HI27" s="54"/>
      <c r="HJ27" s="51"/>
      <c r="HK27" s="51"/>
      <c r="HL27" s="51"/>
      <c r="HM27" s="54"/>
      <c r="HN27" s="51"/>
      <c r="HO27" s="51"/>
      <c r="HP27" s="51"/>
      <c r="HQ27" s="54"/>
      <c r="HR27" s="51"/>
      <c r="HS27" s="51"/>
      <c r="HT27" s="51"/>
      <c r="HU27" s="54"/>
      <c r="HV27" s="51"/>
      <c r="HW27" s="51"/>
      <c r="HX27" s="51"/>
      <c r="HY27" s="54"/>
      <c r="HZ27" s="51"/>
      <c r="IA27" s="51"/>
      <c r="IB27" s="51"/>
      <c r="IC27" s="54"/>
      <c r="ID27" s="51"/>
      <c r="IE27" s="51"/>
      <c r="IF27" s="51"/>
      <c r="IG27" s="54"/>
      <c r="IH27" s="51"/>
      <c r="II27" s="51"/>
      <c r="IJ27" s="51"/>
      <c r="IK27" s="54"/>
      <c r="IL27" s="51"/>
      <c r="IM27" s="51"/>
      <c r="IN27" s="51"/>
      <c r="IO27" s="54"/>
      <c r="IP27" s="51"/>
      <c r="IQ27" s="51"/>
      <c r="IR27" s="51"/>
      <c r="IS27" s="54"/>
      <c r="IT27" s="51"/>
      <c r="IU27" s="51"/>
      <c r="IV27" s="51"/>
      <c r="IW27" s="54"/>
      <c r="IX27" s="51"/>
      <c r="IY27" s="51"/>
      <c r="IZ27" s="51"/>
      <c r="JB27" s="80"/>
      <c r="JC27" s="80"/>
      <c r="JD27" s="80"/>
      <c r="JF27" s="51"/>
      <c r="JG27" s="51"/>
      <c r="JH27" s="51"/>
      <c r="JI27" s="54"/>
      <c r="JJ27" s="51"/>
      <c r="JK27" s="51"/>
      <c r="JL27" s="51"/>
      <c r="JM27" s="54"/>
      <c r="JN27" s="51"/>
      <c r="JO27" s="51"/>
      <c r="JP27" s="51"/>
      <c r="JQ27" s="54"/>
      <c r="JR27" s="51"/>
      <c r="JS27" s="51"/>
      <c r="JT27" s="51"/>
      <c r="JU27" s="54"/>
      <c r="JV27" s="51"/>
      <c r="JW27" s="51"/>
      <c r="JX27" s="51"/>
      <c r="JY27" s="54"/>
      <c r="JZ27" s="51"/>
      <c r="KA27" s="51"/>
      <c r="KB27" s="51"/>
      <c r="KC27" s="54"/>
      <c r="KD27" s="51"/>
      <c r="KE27" s="51"/>
      <c r="KF27" s="51"/>
      <c r="KG27" s="54"/>
      <c r="KH27" s="51"/>
      <c r="KI27" s="51"/>
      <c r="KJ27" s="51"/>
      <c r="KK27" s="54"/>
      <c r="KL27" s="51"/>
      <c r="KM27" s="51"/>
      <c r="KN27" s="51"/>
      <c r="KO27" s="54"/>
      <c r="KP27" s="51"/>
      <c r="KQ27" s="51"/>
      <c r="KR27" s="51"/>
      <c r="KS27" s="54"/>
      <c r="KT27" s="51"/>
      <c r="KU27" s="51"/>
      <c r="KV27" s="51"/>
      <c r="KW27" s="54"/>
      <c r="KX27" s="51"/>
      <c r="KY27" s="51"/>
      <c r="KZ27" s="51"/>
      <c r="LB27" s="80"/>
      <c r="LC27" s="80"/>
      <c r="LD27" s="80"/>
    </row>
    <row r="28" ht="18.75" customHeight="1" spans="2:316" x14ac:dyDescent="0.25">
      <c r="B28" s="5" t="s">
        <v>65</v>
      </c>
      <c r="C28" s="29"/>
      <c r="D28" s="29">
        <f>'A.I Revenue Streams - P1'!E28</f>
        <v>0</v>
      </c>
      <c r="E28" s="30"/>
      <c r="F28" s="51">
        <f>'A.I Revenue Streams - P2'!G28*25</f>
        <v>125</v>
      </c>
      <c r="G28" s="51">
        <f>'A.I Revenue Streams - P2'!I28</f>
        <v>20</v>
      </c>
      <c r="H28" s="51">
        <f>F28*G28</f>
        <v>2500</v>
      </c>
      <c r="I28" s="54"/>
      <c r="J28" s="51">
        <f>F28*$J$26</f>
        <v>137.5</v>
      </c>
      <c r="K28" s="51">
        <f>G28*$K$26</f>
        <v>20</v>
      </c>
      <c r="L28" s="51">
        <f>J28*K28</f>
        <v>2750</v>
      </c>
      <c r="M28" s="54"/>
      <c r="N28" s="51">
        <f>J28*$N$26</f>
        <v>137.5</v>
      </c>
      <c r="O28" s="51">
        <f>K28*$O$26</f>
        <v>20</v>
      </c>
      <c r="P28" s="51">
        <f>N28*O28</f>
        <v>2750</v>
      </c>
      <c r="Q28" s="54"/>
      <c r="R28" s="51">
        <f>N28*$R$26</f>
        <v>137.5</v>
      </c>
      <c r="S28" s="51">
        <f>O28*$S$26</f>
        <v>20</v>
      </c>
      <c r="T28" s="51">
        <f>R28*S28</f>
        <v>2750</v>
      </c>
      <c r="U28" s="54"/>
      <c r="V28" s="51">
        <f>R28*$V$26</f>
        <v>137.5</v>
      </c>
      <c r="W28" s="51">
        <f>S28*$W$26</f>
        <v>20</v>
      </c>
      <c r="X28" s="51">
        <f>V28*W28</f>
        <v>2750</v>
      </c>
      <c r="Y28" s="54"/>
      <c r="Z28" s="51">
        <f>V28*$Z$26</f>
        <v>137.5</v>
      </c>
      <c r="AA28" s="51">
        <f>W28*$AA$26</f>
        <v>20</v>
      </c>
      <c r="AB28" s="51">
        <f>Z28*AA28</f>
        <v>2750</v>
      </c>
      <c r="AC28" s="54"/>
      <c r="AD28" s="51">
        <f>Z28*$AD$26</f>
        <v>137.5</v>
      </c>
      <c r="AE28" s="51">
        <f>AA28*$AE$26</f>
        <v>20</v>
      </c>
      <c r="AF28" s="51">
        <f>AD28*AE28</f>
        <v>2750</v>
      </c>
      <c r="AG28" s="54"/>
      <c r="AH28" s="51">
        <f>AD28*$AH$26</f>
        <v>137.5</v>
      </c>
      <c r="AI28" s="51">
        <f>AE28*$AI$26</f>
        <v>20</v>
      </c>
      <c r="AJ28" s="51">
        <f>AH28*AI28</f>
        <v>2750</v>
      </c>
      <c r="AK28" s="54"/>
      <c r="AL28" s="51">
        <f>AH28*$AL$26</f>
        <v>137.5</v>
      </c>
      <c r="AM28" s="51">
        <f>AI28*$AM$26</f>
        <v>20</v>
      </c>
      <c r="AN28" s="51">
        <f>AL28*AM28</f>
        <v>2750</v>
      </c>
      <c r="AO28" s="54"/>
      <c r="AP28" s="51">
        <f>AL28*$AP$26</f>
        <v>137.5</v>
      </c>
      <c r="AQ28" s="51">
        <f>AM28*$AQ$26</f>
        <v>20</v>
      </c>
      <c r="AR28" s="51">
        <f>AP28*AQ28</f>
        <v>2750</v>
      </c>
      <c r="AS28" s="54"/>
      <c r="AT28" s="51">
        <f>AP28*$AT$26</f>
        <v>137.5</v>
      </c>
      <c r="AU28" s="51">
        <f>AQ28*$AU$26</f>
        <v>20</v>
      </c>
      <c r="AV28" s="51">
        <f>AT28*AU28</f>
        <v>2750</v>
      </c>
      <c r="AW28" s="54"/>
      <c r="AX28" s="51">
        <f>AT28*$AX$26</f>
        <v>137.5</v>
      </c>
      <c r="AY28" s="51">
        <f>AU28*$AY$26</f>
        <v>20</v>
      </c>
      <c r="AZ28" s="51">
        <f>AX28*AY28</f>
        <v>2750</v>
      </c>
      <c r="BA28" s="54"/>
      <c r="BB28" s="85">
        <f>SUMIF($F$6:$AZ$6,$BB$6,F28:AZ28)</f>
        <v>1637.5</v>
      </c>
      <c r="BC28" s="85">
        <f>SUMIF($F$6:$AZ$6,$BC$6,F28:AZ28)/12</f>
        <v>20</v>
      </c>
      <c r="BD28" s="80">
        <f>H28+L28+P28+T28+X28+AB28+AF28+AJ28+AN28</f>
        <v>24500</v>
      </c>
      <c r="BE28" t="b">
        <f>(BB28*BC28)=BD28</f>
        <v>0</v>
      </c>
      <c r="BF28" s="51">
        <f>AX28*$BF$26</f>
        <v>151.25</v>
      </c>
      <c r="BG28" s="51">
        <f>AY28*$BG$26</f>
        <v>20</v>
      </c>
      <c r="BH28" s="51">
        <f>BF28*BG28</f>
        <v>3025</v>
      </c>
      <c r="BI28" s="54"/>
      <c r="BJ28" s="51">
        <f>BF28*$BJ$26</f>
        <v>151.25</v>
      </c>
      <c r="BK28" s="51">
        <f>BG28*$BK$26</f>
        <v>20</v>
      </c>
      <c r="BL28" s="51">
        <f>BJ28*BK28</f>
        <v>3025</v>
      </c>
      <c r="BM28" s="54"/>
      <c r="BN28" s="51">
        <f>BJ28*$BN$26</f>
        <v>151.25</v>
      </c>
      <c r="BO28" s="51">
        <f>BK28*$BO$26</f>
        <v>20</v>
      </c>
      <c r="BP28" s="51">
        <f>BN28*BO28</f>
        <v>3025</v>
      </c>
      <c r="BQ28" s="54"/>
      <c r="BR28" s="51">
        <f>BN28*$BR$26</f>
        <v>151.25</v>
      </c>
      <c r="BS28" s="51">
        <f>BO28*$BS$26</f>
        <v>20</v>
      </c>
      <c r="BT28" s="51">
        <f>BR28*BS28</f>
        <v>3025</v>
      </c>
      <c r="BU28" s="54"/>
      <c r="BV28" s="51">
        <f>BR28*$BV$26</f>
        <v>151.25</v>
      </c>
      <c r="BW28" s="51">
        <f>BS28*$BW$26</f>
        <v>20</v>
      </c>
      <c r="BX28" s="51">
        <f>BV28*BW28</f>
        <v>3025</v>
      </c>
      <c r="BY28" s="54"/>
      <c r="BZ28" s="51">
        <f>BV28*$BZ$26</f>
        <v>151.25</v>
      </c>
      <c r="CA28" s="51">
        <f>BW28*$CA$26</f>
        <v>20</v>
      </c>
      <c r="CB28" s="51">
        <f>BZ28*CA28</f>
        <v>3025</v>
      </c>
      <c r="CC28" s="54"/>
      <c r="CD28" s="51">
        <f>BZ28*$CD$26</f>
        <v>151.25</v>
      </c>
      <c r="CE28" s="51">
        <f>CA28*$CE$26</f>
        <v>20</v>
      </c>
      <c r="CF28" s="51">
        <f>CD28*CE28</f>
        <v>3025</v>
      </c>
      <c r="CG28" s="54"/>
      <c r="CH28" s="51">
        <f>CD28*$CH$26</f>
        <v>151.25</v>
      </c>
      <c r="CI28" s="51">
        <f>CE28*$CI$26</f>
        <v>20</v>
      </c>
      <c r="CJ28" s="51">
        <f>CH28*CI28</f>
        <v>3025</v>
      </c>
      <c r="CK28" s="54"/>
      <c r="CL28" s="51">
        <f>CH28*$CL$26</f>
        <v>151.25</v>
      </c>
      <c r="CM28" s="51">
        <f>CI28*$CM$26</f>
        <v>20</v>
      </c>
      <c r="CN28" s="51">
        <f>CL28*CM28</f>
        <v>3025</v>
      </c>
      <c r="CO28" s="54"/>
      <c r="CP28" s="51">
        <f>CL28*$CP$26</f>
        <v>151.25</v>
      </c>
      <c r="CQ28" s="51">
        <f>CM28*$CQ$26</f>
        <v>20</v>
      </c>
      <c r="CR28" s="51">
        <f>CP28*CQ28</f>
        <v>3025</v>
      </c>
      <c r="CS28" s="54"/>
      <c r="CT28" s="51">
        <f>CP28*$CT$26</f>
        <v>151.25</v>
      </c>
      <c r="CU28" s="51">
        <f>CQ28*$CU$26</f>
        <v>20</v>
      </c>
      <c r="CV28" s="51">
        <f>CT28*CU28</f>
        <v>3025</v>
      </c>
      <c r="CW28" s="54"/>
      <c r="CX28" s="51">
        <f>CT28*$CX$26</f>
        <v>151.25</v>
      </c>
      <c r="CY28" s="51">
        <f>CU28*$CY$26</f>
        <v>20</v>
      </c>
      <c r="CZ28" s="51">
        <f>CX28*CY28</f>
        <v>3025</v>
      </c>
      <c r="DA28" s="54"/>
      <c r="DB28" s="80">
        <f>BF28+BJ28+BN28+BR28+BV28+BZ28+CD28+CH28+CL28+CP28+CT28+CX28</f>
        <v>1815</v>
      </c>
      <c r="DC28" s="80">
        <f>(BG28+BK28+BO28+BS28+BW28+CA28+CE28+CI28+CM28+CQ28+CU28+CY28)/12</f>
        <v>20</v>
      </c>
      <c r="DD28" s="80">
        <f>BH28+BL28+BP28+BT28+BX28+CB28+CF28+CJ28+CN28+CR28+CV28+CZ28</f>
        <v>36300</v>
      </c>
      <c r="DF28" s="51">
        <f>CX28*$DF$26</f>
        <v>166.375</v>
      </c>
      <c r="DG28" s="51">
        <f>CY28*$DG$26</f>
        <v>20</v>
      </c>
      <c r="DH28" s="51">
        <f>DF28*DG28</f>
        <v>3327.5</v>
      </c>
      <c r="DI28" s="54"/>
      <c r="DJ28" s="51">
        <f>DF28*$DJ$26</f>
        <v>166.375</v>
      </c>
      <c r="DK28" s="51">
        <f>DG28*$DK$26</f>
        <v>20</v>
      </c>
      <c r="DL28" s="51">
        <f>DJ28*DK28</f>
        <v>3327.5</v>
      </c>
      <c r="DM28" s="54"/>
      <c r="DN28" s="51">
        <f>DJ28*$DN$26</f>
        <v>166.375</v>
      </c>
      <c r="DO28" s="51">
        <f>DK28*$DO$26</f>
        <v>20</v>
      </c>
      <c r="DP28" s="51">
        <f>DN28*DO28</f>
        <v>3327.5</v>
      </c>
      <c r="DQ28" s="54"/>
      <c r="DR28" s="51">
        <f>DN28*$DR$26</f>
        <v>166.375</v>
      </c>
      <c r="DS28" s="51">
        <f>DO28*$DS$26</f>
        <v>20</v>
      </c>
      <c r="DT28" s="51">
        <f>DR28*DS28</f>
        <v>3327.5</v>
      </c>
      <c r="DU28" s="54"/>
      <c r="DV28" s="51">
        <f>DR28*$DV$26</f>
        <v>166.375</v>
      </c>
      <c r="DW28" s="51">
        <f>DS28*$DW$26</f>
        <v>20</v>
      </c>
      <c r="DX28" s="51">
        <f>DV28*DW28</f>
        <v>3327.5</v>
      </c>
      <c r="DY28" s="54"/>
      <c r="DZ28" s="51">
        <f>DV28*$DZ$26</f>
        <v>166.375</v>
      </c>
      <c r="EA28" s="51">
        <f>DW28*$EA$26</f>
        <v>20</v>
      </c>
      <c r="EB28" s="51">
        <f>DZ28*EA28</f>
        <v>3327.5</v>
      </c>
      <c r="EC28" s="54"/>
      <c r="ED28" s="51">
        <f>DZ28*$ED$26</f>
        <v>166.375</v>
      </c>
      <c r="EE28" s="51">
        <f>EA28*$EE$26</f>
        <v>20</v>
      </c>
      <c r="EF28" s="51">
        <f>ED28*EE28</f>
        <v>3327.5</v>
      </c>
      <c r="EG28" s="54"/>
      <c r="EH28" s="51">
        <f>ED28*$EH$26</f>
        <v>166.375</v>
      </c>
      <c r="EI28" s="51">
        <f>EE28*$EI$26</f>
        <v>20</v>
      </c>
      <c r="EJ28" s="51">
        <f>EH28*EI28</f>
        <v>3327.5</v>
      </c>
      <c r="EK28" s="54"/>
      <c r="EL28" s="51">
        <f>EH28*$EL$26</f>
        <v>166.375</v>
      </c>
      <c r="EM28" s="51">
        <f>EI28*$EM$26</f>
        <v>20</v>
      </c>
      <c r="EN28" s="51">
        <f>EL28*EM28</f>
        <v>3327.5</v>
      </c>
      <c r="EO28" s="54"/>
      <c r="EP28" s="51">
        <f>EL28*$EP$26</f>
        <v>166.375</v>
      </c>
      <c r="EQ28" s="51">
        <f>EM28*$EQ$26</f>
        <v>20</v>
      </c>
      <c r="ER28" s="51">
        <f>EP28*EQ28</f>
        <v>3327.5</v>
      </c>
      <c r="ES28" s="54"/>
      <c r="ET28" s="51">
        <f>EP28*$ET$26</f>
        <v>166.375</v>
      </c>
      <c r="EU28" s="51">
        <f>EQ28*$EU$26</f>
        <v>20</v>
      </c>
      <c r="EV28" s="51">
        <f>ET28*EU28</f>
        <v>3327.5</v>
      </c>
      <c r="EW28" s="54"/>
      <c r="EX28" s="51">
        <f>ET28*$EX$26</f>
        <v>166.375</v>
      </c>
      <c r="EY28" s="51">
        <f>EU28*$EY$26</f>
        <v>20</v>
      </c>
      <c r="EZ28" s="51">
        <f>EX28*EY28</f>
        <v>3327.5</v>
      </c>
      <c r="FA28" s="54"/>
      <c r="FB28" s="80">
        <f>DF28+DJ28+DN28+DR28+DV28+DZ28+ED28+EH28+EL28+EP28+ET28+EX28</f>
        <v>1996.5</v>
      </c>
      <c r="FC28" s="80">
        <f>(DG28+DK28+DO28+DS28+DW28+EA28+EE28+EI28+EM28+EQ28+EU28+EY28)/12</f>
        <v>20</v>
      </c>
      <c r="FD28" s="80">
        <f>DH28+DL28+DP28+DT28+DX28+EB28+EF28+EJ28+EN28+ER28+EV28+EZ28</f>
        <v>39930</v>
      </c>
      <c r="FF28" s="51">
        <f>EX28*$FF$26</f>
        <v>183.01250000000002</v>
      </c>
      <c r="FG28" s="51">
        <f>EY28*$FG$26</f>
        <v>20</v>
      </c>
      <c r="FH28" s="51">
        <f>FF28*FG28</f>
        <v>3660.2500000000005</v>
      </c>
      <c r="FI28" s="54"/>
      <c r="FJ28" s="51">
        <f>FF28*$FJ$26</f>
        <v>183.01250000000002</v>
      </c>
      <c r="FK28" s="51">
        <f>FG28*$FK$26</f>
        <v>20</v>
      </c>
      <c r="FL28" s="51">
        <f>FJ28*FK28</f>
        <v>3660.2500000000005</v>
      </c>
      <c r="FM28" s="54"/>
      <c r="FN28" s="51">
        <f>FJ28*$FN$26</f>
        <v>183.01250000000002</v>
      </c>
      <c r="FO28" s="51">
        <f>FK28*$FO$26</f>
        <v>20</v>
      </c>
      <c r="FP28" s="51">
        <f>FN28*FO28</f>
        <v>3660.2500000000005</v>
      </c>
      <c r="FQ28" s="54"/>
      <c r="FR28" s="51">
        <f>FN28*$FR$26</f>
        <v>183.01250000000002</v>
      </c>
      <c r="FS28" s="51">
        <f>FO28*$FS$26</f>
        <v>20</v>
      </c>
      <c r="FT28" s="51">
        <f>FR28*FS28</f>
        <v>3660.2500000000005</v>
      </c>
      <c r="FU28" s="54"/>
      <c r="FV28" s="51">
        <f>FR28*$FV$26</f>
        <v>183.01250000000002</v>
      </c>
      <c r="FW28" s="51">
        <f>FS28*$FW$26</f>
        <v>20</v>
      </c>
      <c r="FX28" s="51">
        <f>FV28*FW28</f>
        <v>3660.2500000000005</v>
      </c>
      <c r="FY28" s="54"/>
      <c r="FZ28" s="51">
        <f>FV28*$FZ$26</f>
        <v>183.01250000000002</v>
      </c>
      <c r="GA28" s="51">
        <f>FW28*$GA$26</f>
        <v>20</v>
      </c>
      <c r="GB28" s="51">
        <f>FZ28*GA28</f>
        <v>3660.2500000000005</v>
      </c>
      <c r="GC28" s="54"/>
      <c r="GD28" s="51">
        <f>FZ28*$GD$26</f>
        <v>183.01250000000002</v>
      </c>
      <c r="GE28" s="51">
        <f>GA28*$GE$26</f>
        <v>20</v>
      </c>
      <c r="GF28" s="51">
        <f>GD28*GE28</f>
        <v>3660.2500000000005</v>
      </c>
      <c r="GG28" s="54"/>
      <c r="GH28" s="51">
        <f>GD28*$GH$26</f>
        <v>183.01250000000002</v>
      </c>
      <c r="GI28" s="51">
        <f>GE28*$GI$26</f>
        <v>20</v>
      </c>
      <c r="GJ28" s="51">
        <f>GH28*GI28</f>
        <v>3660.2500000000005</v>
      </c>
      <c r="GK28" s="54"/>
      <c r="GL28" s="51">
        <f>GH28*$GL$26</f>
        <v>183.01250000000002</v>
      </c>
      <c r="GM28" s="51">
        <f>GI28*$GM$26</f>
        <v>20</v>
      </c>
      <c r="GN28" s="51">
        <f>GL28*GM28</f>
        <v>3660.2500000000005</v>
      </c>
      <c r="GO28" s="54"/>
      <c r="GP28" s="51">
        <f>GL28*$GP$26</f>
        <v>183.01250000000002</v>
      </c>
      <c r="GQ28" s="51">
        <f>GM28*$GQ$26</f>
        <v>20</v>
      </c>
      <c r="GR28" s="51">
        <f>GP28*GQ28</f>
        <v>3660.2500000000005</v>
      </c>
      <c r="GS28" s="54"/>
      <c r="GT28" s="51">
        <f>GP28*$GT$26</f>
        <v>183.01250000000002</v>
      </c>
      <c r="GU28" s="51">
        <f>GQ28*$GU$26</f>
        <v>20</v>
      </c>
      <c r="GV28" s="51">
        <f>GT28*GU28</f>
        <v>3660.2500000000005</v>
      </c>
      <c r="GW28" s="54"/>
      <c r="GX28" s="51">
        <f>GT28*$GX$26</f>
        <v>183.01250000000002</v>
      </c>
      <c r="GY28" s="51">
        <f>GU28*$GY$26</f>
        <v>20</v>
      </c>
      <c r="GZ28" s="51">
        <f>GX28*GY28</f>
        <v>3660.2500000000005</v>
      </c>
      <c r="HB28" s="80">
        <f>FF28+FJ28+FN28+FR28+FV28+FZ28+GD28+GH28+GL28+GP28+GT28+GX28</f>
        <v>2196.15</v>
      </c>
      <c r="HC28" s="80">
        <f>(FG28+FK28+FO28+FS28+FW28+GA28+GE28+GI28+GM28+GQ28+GU28+GY28)/12</f>
        <v>20</v>
      </c>
      <c r="HD28" s="80">
        <f>FH28+FL28+FP28+FT28+FX28+GB28+GF28+GJ28+GN28+GR28+GV28+GZ28</f>
        <v>43923.00000000001</v>
      </c>
      <c r="HF28" s="51">
        <f>GX28*$HF$26</f>
        <v>201.31375000000003</v>
      </c>
      <c r="HG28" s="51">
        <f>GY28*$HG$26</f>
        <v>20</v>
      </c>
      <c r="HH28" s="51">
        <f>HF28*HG28</f>
        <v>4026.2750000000005</v>
      </c>
      <c r="HI28" s="54"/>
      <c r="HJ28" s="51">
        <f>HF28*$HJ$26</f>
        <v>201.31375000000003</v>
      </c>
      <c r="HK28" s="51">
        <f>HG28*$HK$26</f>
        <v>20</v>
      </c>
      <c r="HL28" s="51">
        <f>HJ28*HK28</f>
        <v>4026.2750000000005</v>
      </c>
      <c r="HM28" s="54"/>
      <c r="HN28" s="51">
        <f>HJ28*$HN$26</f>
        <v>201.31375000000003</v>
      </c>
      <c r="HO28" s="51">
        <f>HK28*$HO$26</f>
        <v>20</v>
      </c>
      <c r="HP28" s="51">
        <f>HN28*HO28</f>
        <v>4026.2750000000005</v>
      </c>
      <c r="HQ28" s="54"/>
      <c r="HR28" s="51">
        <f>HN28*$HR$26</f>
        <v>201.31375000000003</v>
      </c>
      <c r="HS28" s="51">
        <f>HO28*$HS$26</f>
        <v>20</v>
      </c>
      <c r="HT28" s="51">
        <f>HR28*HS28</f>
        <v>4026.2750000000005</v>
      </c>
      <c r="HU28" s="54"/>
      <c r="HV28" s="51">
        <f>HR28*$HV$26</f>
        <v>201.31375000000003</v>
      </c>
      <c r="HW28" s="51">
        <f>HS28*$HW$26</f>
        <v>20</v>
      </c>
      <c r="HX28" s="51">
        <f>HV28*HW28</f>
        <v>4026.2750000000005</v>
      </c>
      <c r="HY28" s="54"/>
      <c r="HZ28" s="51">
        <f>HV28*$HZ$26</f>
        <v>201.31375000000003</v>
      </c>
      <c r="IA28" s="51">
        <f>HW28*$IA$26</f>
        <v>20</v>
      </c>
      <c r="IB28" s="51">
        <f>HZ28*IA28</f>
        <v>4026.2750000000005</v>
      </c>
      <c r="IC28" s="54"/>
      <c r="ID28" s="51">
        <f>HZ28*$ID$26</f>
        <v>201.31375000000003</v>
      </c>
      <c r="IE28" s="51">
        <f>IA28*$IE$26</f>
        <v>20</v>
      </c>
      <c r="IF28" s="51">
        <f>ID28*IE28</f>
        <v>4026.2750000000005</v>
      </c>
      <c r="IG28" s="54"/>
      <c r="IH28" s="51">
        <f>ID28*$IH$26</f>
        <v>201.31375000000003</v>
      </c>
      <c r="II28" s="51">
        <f>IE28*$II$26</f>
        <v>20</v>
      </c>
      <c r="IJ28" s="51">
        <f>IH28*II28</f>
        <v>4026.2750000000005</v>
      </c>
      <c r="IK28" s="54"/>
      <c r="IL28" s="51">
        <f>IH28*$IL$26</f>
        <v>201.31375000000003</v>
      </c>
      <c r="IM28" s="51">
        <f>II28*$IM$26</f>
        <v>20</v>
      </c>
      <c r="IN28" s="51">
        <f>IL28*IM28</f>
        <v>4026.2750000000005</v>
      </c>
      <c r="IO28" s="54"/>
      <c r="IP28" s="51">
        <f>IL28*$IP$26</f>
        <v>201.31375000000003</v>
      </c>
      <c r="IQ28" s="51">
        <f>IM28*$IQ$26</f>
        <v>20</v>
      </c>
      <c r="IR28" s="51">
        <f>IP28*IQ28</f>
        <v>4026.2750000000005</v>
      </c>
      <c r="IS28" s="54"/>
      <c r="IT28" s="51">
        <f>IP28*$IT$26</f>
        <v>201.31375000000003</v>
      </c>
      <c r="IU28" s="51">
        <f>IQ28*$IU$26</f>
        <v>20</v>
      </c>
      <c r="IV28" s="51">
        <f>IT28*IU28</f>
        <v>4026.2750000000005</v>
      </c>
      <c r="IW28" s="54"/>
      <c r="IX28" s="51">
        <f>IT28*$IX$26</f>
        <v>201.31375000000003</v>
      </c>
      <c r="IY28" s="51">
        <f>IU28*$IY$26</f>
        <v>20</v>
      </c>
      <c r="IZ28" s="51">
        <f>IX28*IY28</f>
        <v>4026.2750000000005</v>
      </c>
      <c r="JB28" s="80">
        <f>HF28+HJ28+HN28+HR28+HV28+HZ28+ID28+IH28+IL28+IP28+IT28+IX28</f>
        <v>2415.7650000000003</v>
      </c>
      <c r="JC28" s="80">
        <f>(HG28+HK28+HO28+HS28+HW28+IA28+IE28+II28+IM28+IQ28+IU28+IY28)/12</f>
        <v>20</v>
      </c>
      <c r="JD28" s="80">
        <f>HH28+HL28+HP28+HT28+HX28+IB28+IF28+IJ28+IN28+IR28+IV28+IZ28</f>
        <v>48315.30000000001</v>
      </c>
      <c r="JF28" s="51">
        <f>IX28*$JF$26</f>
        <v>221.44512500000005</v>
      </c>
      <c r="JG28" s="51">
        <f>IY28*$JG$26</f>
        <v>20</v>
      </c>
      <c r="JH28" s="51">
        <f>JF28*JG28</f>
        <v>4428.902500000001</v>
      </c>
      <c r="JI28" s="54"/>
      <c r="JJ28" s="51">
        <f>JF28*$JJ$26</f>
        <v>221.44512500000005</v>
      </c>
      <c r="JK28" s="51">
        <f>JG28*$JK$26</f>
        <v>20</v>
      </c>
      <c r="JL28" s="51">
        <f>JJ28*JK28</f>
        <v>4428.902500000001</v>
      </c>
      <c r="JM28" s="54"/>
      <c r="JN28" s="51">
        <f>JJ28*$JN$26</f>
        <v>221.44512500000005</v>
      </c>
      <c r="JO28" s="51">
        <f>JK28*$JO$26</f>
        <v>20</v>
      </c>
      <c r="JP28" s="51">
        <f>JN28*JO28</f>
        <v>4428.902500000001</v>
      </c>
      <c r="JQ28" s="54"/>
      <c r="JR28" s="51">
        <f>JN28*$JR$26</f>
        <v>221.44512500000005</v>
      </c>
      <c r="JS28" s="51">
        <f>JO28*$JS$26</f>
        <v>20</v>
      </c>
      <c r="JT28" s="51">
        <f>JR28*JS28</f>
        <v>4428.902500000001</v>
      </c>
      <c r="JU28" s="54"/>
      <c r="JV28" s="51">
        <f>JR28*$JV$26</f>
        <v>221.44512500000005</v>
      </c>
      <c r="JW28" s="51">
        <f>JS28*$JW$26</f>
        <v>20</v>
      </c>
      <c r="JX28" s="51">
        <f>JV28*JW28</f>
        <v>4428.902500000001</v>
      </c>
      <c r="JY28" s="54"/>
      <c r="JZ28" s="51">
        <f>JV28*$JZ$26</f>
        <v>221.44512500000005</v>
      </c>
      <c r="KA28" s="51">
        <f>JW28*$KA$26</f>
        <v>20</v>
      </c>
      <c r="KB28" s="51">
        <f>JZ28*KA28</f>
        <v>4428.902500000001</v>
      </c>
      <c r="KC28" s="54"/>
      <c r="KD28" s="51">
        <f>JZ28*$KD$26</f>
        <v>221.44512500000005</v>
      </c>
      <c r="KE28" s="51">
        <f>KA28*$KE$26</f>
        <v>20</v>
      </c>
      <c r="KF28" s="51">
        <f>KD28*KE28</f>
        <v>4428.902500000001</v>
      </c>
      <c r="KG28" s="54"/>
      <c r="KH28" s="51">
        <f>KD28*$KH$26</f>
        <v>221.44512500000005</v>
      </c>
      <c r="KI28" s="51">
        <f>KE28*$KI$26</f>
        <v>20</v>
      </c>
      <c r="KJ28" s="51">
        <f>KH28*KI28</f>
        <v>4428.902500000001</v>
      </c>
      <c r="KK28" s="54"/>
      <c r="KL28" s="51">
        <f>KH28*$KL$26</f>
        <v>221.44512500000005</v>
      </c>
      <c r="KM28" s="51">
        <f>KI28*$KM$26</f>
        <v>20</v>
      </c>
      <c r="KN28" s="51">
        <f>KL28*KM28</f>
        <v>4428.902500000001</v>
      </c>
      <c r="KO28" s="54"/>
      <c r="KP28" s="51">
        <f>KL28*$KP$26</f>
        <v>221.44512500000005</v>
      </c>
      <c r="KQ28" s="51">
        <f>KM28*$KQ$26</f>
        <v>20</v>
      </c>
      <c r="KR28" s="51">
        <f>KP28*KQ28</f>
        <v>4428.902500000001</v>
      </c>
      <c r="KS28" s="54"/>
      <c r="KT28" s="51">
        <f>KP28*$KT$26</f>
        <v>221.44512500000005</v>
      </c>
      <c r="KU28" s="51">
        <f>KQ28*$KU$26</f>
        <v>20</v>
      </c>
      <c r="KV28" s="51">
        <f>KT28*KU28</f>
        <v>4428.902500000001</v>
      </c>
      <c r="KW28" s="54"/>
      <c r="KX28" s="51">
        <f>KT28*$KX$26</f>
        <v>221.44512500000005</v>
      </c>
      <c r="KY28" s="51">
        <f>KU28*$KY$26</f>
        <v>20</v>
      </c>
      <c r="KZ28" s="51">
        <f>KX28*KY28</f>
        <v>4428.902500000001</v>
      </c>
      <c r="LB28" s="80">
        <f>JF28+JJ28+JN28+JR28+JV28+JZ28+KD28+KH28+KL28+KP28+KT28+KX28</f>
        <v>2657.3415000000005</v>
      </c>
      <c r="LC28" s="80">
        <f>(JG28+JK28+JO28+JS28+JW28+KA28+KE28+KI28+KM28+KQ28+KU28+KY28)/12</f>
        <v>20</v>
      </c>
      <c r="LD28" s="80">
        <f>JH28+JL28+JP28+JT28+JX28+KB28+KF28+KJ28+KN28+KR28+KV28+KZ28</f>
        <v>53146.83000000002</v>
      </c>
    </row>
    <row r="29" ht="18.75" customHeight="1" spans="2:316" x14ac:dyDescent="0.25">
      <c r="B29" s="5" t="s">
        <v>66</v>
      </c>
      <c r="C29" s="29"/>
      <c r="D29" s="29">
        <f>'A.I Revenue Streams - P1'!E29</f>
        <v>0</v>
      </c>
      <c r="E29" s="30"/>
      <c r="F29" s="51">
        <f>'A.I Revenue Streams - P2'!G29*25</f>
        <v>100</v>
      </c>
      <c r="G29" s="51">
        <f>'A.I Revenue Streams - P2'!I29</f>
        <v>20</v>
      </c>
      <c r="H29" s="51">
        <f>F29*G29</f>
        <v>2000</v>
      </c>
      <c r="I29" s="54"/>
      <c r="J29" s="51">
        <f>F29*$J$26</f>
        <v>110.00000000000001</v>
      </c>
      <c r="K29" s="51">
        <f>G29*$K$26</f>
        <v>20</v>
      </c>
      <c r="L29" s="51">
        <f>J29*K29</f>
        <v>2200.0000000000005</v>
      </c>
      <c r="M29" s="54"/>
      <c r="N29" s="51">
        <f>J29*$N$26</f>
        <v>110.00000000000001</v>
      </c>
      <c r="O29" s="51">
        <f>K29*$O$26</f>
        <v>20</v>
      </c>
      <c r="P29" s="51">
        <f t="shared" ref="P29:P32" si="234">N29*O29</f>
        <v>2200.0000000000005</v>
      </c>
      <c r="Q29" s="54"/>
      <c r="R29" s="51">
        <f>N29*$R$26</f>
        <v>110.00000000000001</v>
      </c>
      <c r="S29" s="51">
        <f>O29*$S$26</f>
        <v>20</v>
      </c>
      <c r="T29" s="51">
        <f t="shared" ref="T29:T32" si="235">R29*S29</f>
        <v>2200.0000000000005</v>
      </c>
      <c r="U29" s="54"/>
      <c r="V29" s="51">
        <f>R29*$V$26</f>
        <v>110.00000000000001</v>
      </c>
      <c r="W29" s="51">
        <f>S29*$W$26</f>
        <v>20</v>
      </c>
      <c r="X29" s="51">
        <f t="shared" ref="X29:X32" si="236">V29*W29</f>
        <v>2200.0000000000005</v>
      </c>
      <c r="Y29" s="54"/>
      <c r="Z29" s="51">
        <f>V29*$Z$26</f>
        <v>110.00000000000001</v>
      </c>
      <c r="AA29" s="51">
        <f>W29*$AA$26</f>
        <v>20</v>
      </c>
      <c r="AB29" s="51">
        <f t="shared" ref="AB29:AB32" si="237">Z29*AA29</f>
        <v>2200.0000000000005</v>
      </c>
      <c r="AC29" s="54"/>
      <c r="AD29" s="51">
        <f>Z29*$AD$26</f>
        <v>110.00000000000001</v>
      </c>
      <c r="AE29" s="51">
        <f>AA29*$AE$26</f>
        <v>20</v>
      </c>
      <c r="AF29" s="51">
        <f t="shared" ref="AF29:AF32" si="238">AD29*AE29</f>
        <v>2200.0000000000005</v>
      </c>
      <c r="AG29" s="54"/>
      <c r="AH29" s="51">
        <f>AD29*$AH$26</f>
        <v>110.00000000000001</v>
      </c>
      <c r="AI29" s="51">
        <f>AE29*$AI$26</f>
        <v>20</v>
      </c>
      <c r="AJ29" s="51">
        <f t="shared" ref="AJ29:AJ32" si="239">AH29*AI29</f>
        <v>2200.0000000000005</v>
      </c>
      <c r="AK29" s="54"/>
      <c r="AL29" s="51">
        <f>AH29*$AL$26</f>
        <v>110.00000000000001</v>
      </c>
      <c r="AM29" s="51">
        <f>AI29*$AM$26</f>
        <v>20</v>
      </c>
      <c r="AN29" s="51">
        <f t="shared" ref="AN29:AN32" si="240">AL29*AM29</f>
        <v>2200.0000000000005</v>
      </c>
      <c r="AO29" s="54"/>
      <c r="AP29" s="51">
        <f>AL29*$AP$26</f>
        <v>110.00000000000001</v>
      </c>
      <c r="AQ29" s="51">
        <f>AM29*$AQ$26</f>
        <v>20</v>
      </c>
      <c r="AR29" s="51">
        <f>AP29*AQ29</f>
        <v>2200.0000000000005</v>
      </c>
      <c r="AS29" s="54"/>
      <c r="AT29" s="51">
        <f>AP29*$AT$26</f>
        <v>110.00000000000001</v>
      </c>
      <c r="AU29" s="51">
        <f>AQ29*$AU$26</f>
        <v>20</v>
      </c>
      <c r="AV29" s="51">
        <f>AT29*AU29</f>
        <v>2200.0000000000005</v>
      </c>
      <c r="AW29" s="54"/>
      <c r="AX29" s="51">
        <f>AT29*$AX$26</f>
        <v>110.00000000000001</v>
      </c>
      <c r="AY29" s="51">
        <f>AU29*$AY$26</f>
        <v>20</v>
      </c>
      <c r="AZ29" s="51">
        <f>AX29*AY29</f>
        <v>2200.0000000000005</v>
      </c>
      <c r="BA29" s="54"/>
      <c r="BB29" s="85">
        <f>SUMIF($F$6:$AZ$6,$BB$6,F29:AZ29)</f>
        <v>1310</v>
      </c>
      <c r="BC29" s="85">
        <f>SUMIF($F$6:$AZ$6,$BC$6,F29:AZ29)/12</f>
        <v>20</v>
      </c>
      <c r="BD29" s="80">
        <f>H29+L29+P29+T29+X29+AB29+AF29+AJ29+AN29</f>
        <v>19600</v>
      </c>
      <c r="BE29" t="b">
        <f>(BB29*BC29)=BD29</f>
        <v>0</v>
      </c>
      <c r="BF29" s="51">
        <f>AX29*$BF$26</f>
        <v>121.00000000000003</v>
      </c>
      <c r="BG29" s="51">
        <f>AY29*$BG$26</f>
        <v>20</v>
      </c>
      <c r="BH29" s="51">
        <f t="shared" ref="BH29:BH32" si="241">BF29*BG29</f>
        <v>2420.0000000000005</v>
      </c>
      <c r="BI29" s="54"/>
      <c r="BJ29" s="51">
        <f t="shared" ref="BJ29:BJ32" si="242">BF29*$BJ$26</f>
        <v>121.00000000000003</v>
      </c>
      <c r="BK29" s="51">
        <f t="shared" ref="BK29:BK31" si="243">BG29*$BK$26</f>
        <v>20</v>
      </c>
      <c r="BL29" s="51">
        <f t="shared" ref="BL29:BL32" si="244">BJ29*BK29</f>
        <v>2420.0000000000005</v>
      </c>
      <c r="BM29" s="54"/>
      <c r="BN29" s="51">
        <f t="shared" ref="BN29:BN32" si="245">BJ29*$BN$26</f>
        <v>121.00000000000003</v>
      </c>
      <c r="BO29" s="51">
        <f t="shared" ref="BO29:BO32" si="246">BK29*$BO$26</f>
        <v>20</v>
      </c>
      <c r="BP29" s="51">
        <f t="shared" ref="BP29:BP32" si="247">BN29*BO29</f>
        <v>2420.0000000000005</v>
      </c>
      <c r="BQ29" s="54"/>
      <c r="BR29" s="51">
        <f t="shared" ref="BR29:BR32" si="248">BN29*$BR$26</f>
        <v>121.00000000000003</v>
      </c>
      <c r="BS29" s="51">
        <f t="shared" ref="BS29:BS32" si="249">BO29*$BS$26</f>
        <v>20</v>
      </c>
      <c r="BT29" s="51">
        <f t="shared" ref="BT29:BT32" si="250">BR29*BS29</f>
        <v>2420.0000000000005</v>
      </c>
      <c r="BU29" s="54"/>
      <c r="BV29" s="51">
        <f t="shared" ref="BV29:BV32" si="251">BR29*$BV$26</f>
        <v>121.00000000000003</v>
      </c>
      <c r="BW29" s="51">
        <f t="shared" ref="BW29:BW32" si="252">BS29*$BW$26</f>
        <v>20</v>
      </c>
      <c r="BX29" s="51">
        <f t="shared" ref="BX29:BX32" si="253">BV29*BW29</f>
        <v>2420.0000000000005</v>
      </c>
      <c r="BY29" s="54"/>
      <c r="BZ29" s="51">
        <f t="shared" ref="BZ29:BZ32" si="254">BV29*$BZ$26</f>
        <v>121.00000000000003</v>
      </c>
      <c r="CA29" s="51">
        <f t="shared" ref="CA29:CA32" si="255">BW29*$CA$26</f>
        <v>20</v>
      </c>
      <c r="CB29" s="51">
        <f t="shared" ref="CB29:CB32" si="256">BZ29*CA29</f>
        <v>2420.0000000000005</v>
      </c>
      <c r="CC29" s="54"/>
      <c r="CD29" s="51">
        <f t="shared" ref="CD29:CD32" si="257">BZ29*$CD$26</f>
        <v>121.00000000000003</v>
      </c>
      <c r="CE29" s="51">
        <f t="shared" ref="CE29:CE32" si="258">CA29*$CE$26</f>
        <v>20</v>
      </c>
      <c r="CF29" s="51">
        <f t="shared" ref="CF29:CF32" si="259">CD29*CE29</f>
        <v>2420.0000000000005</v>
      </c>
      <c r="CG29" s="54"/>
      <c r="CH29" s="51">
        <f t="shared" ref="CH29:CH32" si="260">CD29*$CH$26</f>
        <v>121.00000000000003</v>
      </c>
      <c r="CI29" s="51">
        <f t="shared" ref="CI29:CI32" si="261">CE29*$CI$26</f>
        <v>20</v>
      </c>
      <c r="CJ29" s="51">
        <f t="shared" ref="CJ29:CJ32" si="262">CH29*CI29</f>
        <v>2420.0000000000005</v>
      </c>
      <c r="CK29" s="54"/>
      <c r="CL29" s="51">
        <f t="shared" ref="CL29:CL32" si="263">CH29*$CL$26</f>
        <v>121.00000000000003</v>
      </c>
      <c r="CM29" s="51">
        <f t="shared" ref="CM29:CM32" si="264">CI29*$CM$26</f>
        <v>20</v>
      </c>
      <c r="CN29" s="51">
        <f t="shared" ref="CN29:CN32" si="265">CL29*CM29</f>
        <v>2420.0000000000005</v>
      </c>
      <c r="CO29" s="54"/>
      <c r="CP29" s="51">
        <f t="shared" ref="CP29:CP32" si="266">CL29*$CP$26</f>
        <v>121.00000000000003</v>
      </c>
      <c r="CQ29" s="51">
        <f t="shared" ref="CQ29:CQ32" si="267">CM29*$CQ$26</f>
        <v>20</v>
      </c>
      <c r="CR29" s="51">
        <f t="shared" ref="CR29:CR32" si="268">CP29*CQ29</f>
        <v>2420.0000000000005</v>
      </c>
      <c r="CS29" s="54"/>
      <c r="CT29" s="51">
        <f t="shared" ref="CT29:CT32" si="269">CP29*$CT$26</f>
        <v>121.00000000000003</v>
      </c>
      <c r="CU29" s="51">
        <f t="shared" ref="CU29:CU32" si="270">CQ29*$CU$26</f>
        <v>20</v>
      </c>
      <c r="CV29" s="51">
        <f t="shared" ref="CV29:CV32" si="271">CT29*CU29</f>
        <v>2420.0000000000005</v>
      </c>
      <c r="CW29" s="54"/>
      <c r="CX29" s="51">
        <f t="shared" ref="CX29:CX32" si="272">CT29*$CX$26</f>
        <v>121.00000000000003</v>
      </c>
      <c r="CY29" s="51">
        <f t="shared" ref="CY29:CY32" si="273">CU29*$CY$26</f>
        <v>20</v>
      </c>
      <c r="CZ29" s="51">
        <f t="shared" ref="CZ29:CZ32" si="274">CX29*CY29</f>
        <v>2420.0000000000005</v>
      </c>
      <c r="DA29" s="54"/>
      <c r="DB29" s="80">
        <f>BF29+BJ29+BN29+BR29+BV29+BZ29+CD29+CH29+CL29+CP29+CT29+CX29</f>
        <v>1452.0000000000002</v>
      </c>
      <c r="DC29" s="80">
        <f>(BG29+BK29+BO29+BS29+BW29+CA29+CE29+CI29+CM29+CQ29+CU29+CY29)/12</f>
        <v>20</v>
      </c>
      <c r="DD29" s="80">
        <f>BH29+BL29+BP29+BT29+BX29+CB29+CF29+CJ29+CN29+CR29+CV29+CZ29</f>
        <v>29040.000000000004</v>
      </c>
      <c r="DF29" s="51">
        <f t="shared" ref="DF29:DF32" si="275">CX29*$DF$26</f>
        <v>133.10000000000005</v>
      </c>
      <c r="DG29" s="51">
        <f t="shared" ref="DG29:DG32" si="276">CY29*$DG$26</f>
        <v>20</v>
      </c>
      <c r="DH29" s="51">
        <f t="shared" ref="DH29:DH32" si="277">DF29*DG29</f>
        <v>2662.000000000001</v>
      </c>
      <c r="DI29" s="54"/>
      <c r="DJ29" s="51">
        <f t="shared" ref="DJ29:DJ32" si="278">DF29*$DJ$26</f>
        <v>133.10000000000005</v>
      </c>
      <c r="DK29" s="51">
        <f t="shared" ref="DK29:DK32" si="279">DG29*$DK$26</f>
        <v>20</v>
      </c>
      <c r="DL29" s="51">
        <f t="shared" ref="DL29:DL32" si="280">DJ29*DK29</f>
        <v>2662.000000000001</v>
      </c>
      <c r="DM29" s="54"/>
      <c r="DN29" s="51">
        <f t="shared" ref="DN29:DN32" si="281">DJ29*$DN$26</f>
        <v>133.10000000000005</v>
      </c>
      <c r="DO29" s="51">
        <f t="shared" ref="DO29:DO32" si="282">DK29*$DO$26</f>
        <v>20</v>
      </c>
      <c r="DP29" s="51">
        <f t="shared" ref="DP29:DP32" si="283">DN29*DO29</f>
        <v>2662.000000000001</v>
      </c>
      <c r="DQ29" s="54"/>
      <c r="DR29" s="51">
        <f t="shared" ref="DR29:DR32" si="284">DN29*$DR$26</f>
        <v>133.10000000000005</v>
      </c>
      <c r="DS29" s="51">
        <f t="shared" ref="DS29:DS32" si="285">DO29*$DS$26</f>
        <v>20</v>
      </c>
      <c r="DT29" s="51">
        <f t="shared" ref="DT29:DT32" si="286">DR29*DS29</f>
        <v>2662.000000000001</v>
      </c>
      <c r="DU29" s="54"/>
      <c r="DV29" s="51">
        <f t="shared" ref="DV29:DV32" si="287">DR29*$DV$26</f>
        <v>133.10000000000005</v>
      </c>
      <c r="DW29" s="51">
        <f t="shared" ref="DW29:DW32" si="288">DS29*$DW$26</f>
        <v>20</v>
      </c>
      <c r="DX29" s="51">
        <f t="shared" ref="DX29:DX32" si="289">DV29*DW29</f>
        <v>2662.000000000001</v>
      </c>
      <c r="DY29" s="54"/>
      <c r="DZ29" s="51">
        <f t="shared" ref="DZ29:DZ32" si="290">DV29*$DZ$26</f>
        <v>133.10000000000005</v>
      </c>
      <c r="EA29" s="51">
        <f t="shared" ref="EA29:EA32" si="291">DW29*$EA$26</f>
        <v>20</v>
      </c>
      <c r="EB29" s="51">
        <f t="shared" ref="EB29:EB32" si="292">DZ29*EA29</f>
        <v>2662.000000000001</v>
      </c>
      <c r="EC29" s="54"/>
      <c r="ED29" s="51">
        <f t="shared" ref="ED29:ED32" si="293">DZ29*$ED$26</f>
        <v>133.10000000000005</v>
      </c>
      <c r="EE29" s="51">
        <f t="shared" ref="EE29:EE32" si="294">EA29*$EE$26</f>
        <v>20</v>
      </c>
      <c r="EF29" s="51">
        <f t="shared" ref="EF29:EF32" si="295">ED29*EE29</f>
        <v>2662.000000000001</v>
      </c>
      <c r="EG29" s="54"/>
      <c r="EH29" s="51">
        <f t="shared" ref="EH29:EH32" si="296">ED29*$EH$26</f>
        <v>133.10000000000005</v>
      </c>
      <c r="EI29" s="51">
        <f t="shared" ref="EI29:EI32" si="297">EE29*$EI$26</f>
        <v>20</v>
      </c>
      <c r="EJ29" s="51">
        <f t="shared" ref="EJ29:EJ32" si="298">EH29*EI29</f>
        <v>2662.000000000001</v>
      </c>
      <c r="EK29" s="54"/>
      <c r="EL29" s="51">
        <f t="shared" ref="EL29:EL32" si="299">EH29*$EL$26</f>
        <v>133.10000000000005</v>
      </c>
      <c r="EM29" s="51">
        <f t="shared" ref="EM29:EM32" si="300">EI29*$EM$26</f>
        <v>20</v>
      </c>
      <c r="EN29" s="51">
        <f t="shared" ref="EN29:EN32" si="301">EL29*EM29</f>
        <v>2662.000000000001</v>
      </c>
      <c r="EO29" s="54"/>
      <c r="EP29" s="51">
        <f t="shared" ref="EP29:EP32" si="302">EL29*$EP$26</f>
        <v>133.10000000000005</v>
      </c>
      <c r="EQ29" s="51">
        <f t="shared" ref="EQ29:EQ32" si="303">EM29*$EQ$26</f>
        <v>20</v>
      </c>
      <c r="ER29" s="51">
        <f t="shared" ref="ER29:ER32" si="304">EP29*EQ29</f>
        <v>2662.000000000001</v>
      </c>
      <c r="ES29" s="54"/>
      <c r="ET29" s="51">
        <f t="shared" ref="ET29:ET32" si="305">EP29*$ET$26</f>
        <v>133.10000000000005</v>
      </c>
      <c r="EU29" s="51">
        <f t="shared" ref="EU29:EU32" si="306">EQ29*$EU$26</f>
        <v>20</v>
      </c>
      <c r="EV29" s="51">
        <f t="shared" ref="EV29:EV32" si="307">ET29*EU29</f>
        <v>2662.000000000001</v>
      </c>
      <c r="EW29" s="54"/>
      <c r="EX29" s="51">
        <f t="shared" ref="EX29:EX32" si="308">ET29*$EX$26</f>
        <v>133.10000000000005</v>
      </c>
      <c r="EY29" s="51">
        <f t="shared" ref="EY29:EY32" si="309">EU29*$EY$26</f>
        <v>20</v>
      </c>
      <c r="EZ29" s="51">
        <f t="shared" ref="EZ29:EZ32" si="310">EX29*EY29</f>
        <v>2662.000000000001</v>
      </c>
      <c r="FA29" s="54"/>
      <c r="FB29" s="80">
        <f>DF29+DJ29+DN29+DR29+DV29+DZ29+ED29+EH29+EL29+EP29+ET29+EX29</f>
        <v>1597.200000000001</v>
      </c>
      <c r="FC29" s="80">
        <f>(DG29+DK29+DO29+DS29+DW29+EA29+EE29+EI29+EM29+EQ29+EU29+EY29)/12</f>
        <v>20</v>
      </c>
      <c r="FD29" s="80">
        <f>DH29+DL29+DP29+DT29+DX29+EB29+EF29+EJ29+EN29+ER29+EV29+EZ29</f>
        <v>31944.000000000004</v>
      </c>
      <c r="FF29" s="51">
        <f t="shared" ref="FF29:FF32" si="311">EX29*$FF$26</f>
        <v>146.41000000000008</v>
      </c>
      <c r="FG29" s="51">
        <f t="shared" ref="FG29:FG32" si="312">EY29*$FG$26</f>
        <v>20</v>
      </c>
      <c r="FH29" s="51">
        <f t="shared" ref="FH29:FH32" si="313">FF29*FG29</f>
        <v>2928.2000000000016</v>
      </c>
      <c r="FI29" s="54"/>
      <c r="FJ29" s="51">
        <f t="shared" ref="FJ29:FJ32" si="314">FF29*$FJ$26</f>
        <v>146.41000000000008</v>
      </c>
      <c r="FK29" s="51">
        <f t="shared" ref="FK29:FK32" si="315">FG29*$FK$26</f>
        <v>20</v>
      </c>
      <c r="FL29" s="51">
        <f t="shared" ref="FL29:FL32" si="316">FJ29*FK29</f>
        <v>2928.2000000000016</v>
      </c>
      <c r="FM29" s="54"/>
      <c r="FN29" s="51">
        <f t="shared" ref="FN29:FN32" si="317">FJ29*$FN$26</f>
        <v>146.41000000000008</v>
      </c>
      <c r="FO29" s="51">
        <f t="shared" ref="FO29:FO32" si="318">FK29*$FO$26</f>
        <v>20</v>
      </c>
      <c r="FP29" s="51">
        <f t="shared" ref="FP29:FP32" si="319">FN29*FO29</f>
        <v>2928.2000000000016</v>
      </c>
      <c r="FQ29" s="54"/>
      <c r="FR29" s="51">
        <f t="shared" ref="FR29:FR32" si="320">FN29*$FR$26</f>
        <v>146.41000000000008</v>
      </c>
      <c r="FS29" s="51">
        <f t="shared" ref="FS29:FS32" si="321">FO29*$FS$26</f>
        <v>20</v>
      </c>
      <c r="FT29" s="51">
        <f t="shared" ref="FT29:FT32" si="322">FR29*FS29</f>
        <v>2928.2000000000016</v>
      </c>
      <c r="FU29" s="54"/>
      <c r="FV29" s="51">
        <f>FR29*$FV$26</f>
        <v>146.41000000000008</v>
      </c>
      <c r="FW29" s="51">
        <f>FS29*$FW$26</f>
        <v>20</v>
      </c>
      <c r="FX29" s="51">
        <f t="shared" ref="FX29:FX32" si="323">FV29*FW29</f>
        <v>2928.2000000000016</v>
      </c>
      <c r="FY29" s="54"/>
      <c r="FZ29" s="51">
        <f t="shared" ref="FZ29:FZ32" si="324">FV29*$FZ$26</f>
        <v>146.41000000000008</v>
      </c>
      <c r="GA29" s="51">
        <f t="shared" ref="GA29:GA32" si="325">FW29*$GA$26</f>
        <v>20</v>
      </c>
      <c r="GB29" s="51">
        <f t="shared" ref="GB29:GB32" si="326">FZ29*GA29</f>
        <v>2928.2000000000016</v>
      </c>
      <c r="GC29" s="54"/>
      <c r="GD29" s="51">
        <f t="shared" ref="GD29" si="327">FZ29*$GD$26</f>
        <v>146.41000000000008</v>
      </c>
      <c r="GE29" s="51">
        <f t="shared" ref="GE29" si="328">GA29*$GE$26</f>
        <v>20</v>
      </c>
      <c r="GF29" s="51">
        <f t="shared" ref="GF29:GF32" si="329">GD29*GE29</f>
        <v>2928.2000000000016</v>
      </c>
      <c r="GG29" s="54"/>
      <c r="GH29" s="51">
        <f t="shared" ref="GH29:GH32" si="330">GD29*$GH$26</f>
        <v>146.41000000000008</v>
      </c>
      <c r="GI29" s="51">
        <f t="shared" ref="GI29:GI32" si="331">GE29*$GI$26</f>
        <v>20</v>
      </c>
      <c r="GJ29" s="51">
        <f t="shared" ref="GJ29:GJ32" si="332">GH29*GI29</f>
        <v>2928.2000000000016</v>
      </c>
      <c r="GK29" s="54"/>
      <c r="GL29" s="51">
        <f t="shared" ref="GL29:GL32" si="333">GH29*$GL$26</f>
        <v>146.41000000000008</v>
      </c>
      <c r="GM29" s="51">
        <f t="shared" ref="GM29:GM32" si="334">GI29*$GM$26</f>
        <v>20</v>
      </c>
      <c r="GN29" s="51">
        <f t="shared" ref="GN29:GN32" si="335">GL29*GM29</f>
        <v>2928.2000000000016</v>
      </c>
      <c r="GO29" s="54"/>
      <c r="GP29" s="51">
        <f t="shared" ref="GP29:GP32" si="336">GL29*$GP$26</f>
        <v>146.41000000000008</v>
      </c>
      <c r="GQ29" s="51">
        <f t="shared" ref="GQ29:GQ32" si="337">GM29*$GQ$26</f>
        <v>20</v>
      </c>
      <c r="GR29" s="51">
        <f t="shared" ref="GR29:GR32" si="338">GP29*GQ29</f>
        <v>2928.2000000000016</v>
      </c>
      <c r="GS29" s="54"/>
      <c r="GT29" s="51">
        <f t="shared" ref="GT29:GT32" si="339">GP29*$GT$26</f>
        <v>146.41000000000008</v>
      </c>
      <c r="GU29" s="51">
        <f t="shared" ref="GU29:GU32" si="340">GQ29*$GU$26</f>
        <v>20</v>
      </c>
      <c r="GV29" s="51">
        <f t="shared" ref="GV29:GV32" si="341">GT29*GU29</f>
        <v>2928.2000000000016</v>
      </c>
      <c r="GW29" s="54"/>
      <c r="GX29" s="51">
        <f t="shared" ref="GX29:GX32" si="342">GT29*$GX$26</f>
        <v>146.41000000000008</v>
      </c>
      <c r="GY29" s="51">
        <f t="shared" ref="GY29:GY32" si="343">GU29*$GY$26</f>
        <v>20</v>
      </c>
      <c r="GZ29" s="51">
        <f t="shared" ref="GZ29:GZ32" si="344">GX29*GY29</f>
        <v>2928.2000000000016</v>
      </c>
      <c r="HB29" s="80">
        <f>FF29+FJ29+FN29+FR29+FV29+FZ29+GD29+GH29+GL29+GP29+GT29+GX29</f>
        <v>1756.920000000001</v>
      </c>
      <c r="HC29" s="80">
        <f>(FG29+FK29+FO29+FS29+FW29+GA29+GE29+GI29+GM29+GQ29+GU29+GY29)/12</f>
        <v>20</v>
      </c>
      <c r="HD29" s="80">
        <f>FH29+FL29+FP29+FT29+FX29+GB29+GF29+GJ29+GN29+GR29+GV29+GZ29</f>
        <v>35138.400000000016</v>
      </c>
      <c r="HF29" s="51">
        <f t="shared" ref="HF29:HF32" si="345">GX29*$HF$26</f>
        <v>161.0510000000001</v>
      </c>
      <c r="HG29" s="51">
        <f t="shared" ref="HG29:HG32" si="346">GY29*$HG$26</f>
        <v>20</v>
      </c>
      <c r="HH29" s="51">
        <f t="shared" ref="HH29:HH32" si="347">HF29*HG29</f>
        <v>3221.0200000000023</v>
      </c>
      <c r="HI29" s="54"/>
      <c r="HJ29" s="51">
        <f>HF29*$HJ$26</f>
        <v>161.0510000000001</v>
      </c>
      <c r="HK29" s="51">
        <f t="shared" ref="HK29" si="348">HG29*$HK$26</f>
        <v>20</v>
      </c>
      <c r="HL29" s="51">
        <f t="shared" ref="HL29:HL32" si="349">HJ29*HK29</f>
        <v>3221.0200000000023</v>
      </c>
      <c r="HM29" s="54"/>
      <c r="HN29" s="51">
        <f t="shared" ref="HN29:HN32" si="350">HJ29*$HN$26</f>
        <v>161.0510000000001</v>
      </c>
      <c r="HO29" s="51">
        <f t="shared" ref="HO29:HO32" si="351">HK29*$HO$26</f>
        <v>20</v>
      </c>
      <c r="HP29" s="51">
        <f t="shared" ref="HP29:HP32" si="352">HN29*HO29</f>
        <v>3221.0200000000023</v>
      </c>
      <c r="HQ29" s="54"/>
      <c r="HR29" s="51">
        <f t="shared" ref="HR29:HR32" si="353">HN29*$HR$26</f>
        <v>161.0510000000001</v>
      </c>
      <c r="HS29" s="51">
        <f t="shared" ref="HS29" si="354">HO29*$HS$26</f>
        <v>20</v>
      </c>
      <c r="HT29" s="51">
        <f t="shared" ref="HT29:HT32" si="355">HR29*HS29</f>
        <v>3221.0200000000023</v>
      </c>
      <c r="HU29" s="54"/>
      <c r="HV29" s="51">
        <f t="shared" ref="HV29:HV32" si="356">HR29*$HV$26</f>
        <v>161.0510000000001</v>
      </c>
      <c r="HW29" s="51">
        <f t="shared" ref="HW29:HW32" si="357">HS29*$HW$26</f>
        <v>20</v>
      </c>
      <c r="HX29" s="51">
        <f t="shared" ref="HX29:HX32" si="358">HV29*HW29</f>
        <v>3221.0200000000023</v>
      </c>
      <c r="HY29" s="54"/>
      <c r="HZ29" s="51">
        <f t="shared" ref="HZ29:HZ32" si="359">HV29*$HZ$26</f>
        <v>161.0510000000001</v>
      </c>
      <c r="IA29" s="51">
        <f t="shared" ref="IA29:IA32" si="360">HW29*$IA$26</f>
        <v>20</v>
      </c>
      <c r="IB29" s="51">
        <f t="shared" ref="IB29:IB32" si="361">HZ29*IA29</f>
        <v>3221.0200000000023</v>
      </c>
      <c r="IC29" s="54"/>
      <c r="ID29" s="51">
        <f t="shared" ref="ID29:ID32" si="362">HZ29*$ID$26</f>
        <v>161.0510000000001</v>
      </c>
      <c r="IE29" s="51">
        <f t="shared" ref="IE29:IE32" si="363">IA29*$IE$26</f>
        <v>20</v>
      </c>
      <c r="IF29" s="51">
        <f t="shared" ref="IF29:IF32" si="364">ID29*IE29</f>
        <v>3221.0200000000023</v>
      </c>
      <c r="IG29" s="54"/>
      <c r="IH29" s="51">
        <f t="shared" ref="IH29:IH32" si="365">ID29*$IH$26</f>
        <v>161.0510000000001</v>
      </c>
      <c r="II29" s="51">
        <f t="shared" ref="II29:II32" si="366">IE29*$II$26</f>
        <v>20</v>
      </c>
      <c r="IJ29" s="51">
        <f t="shared" ref="IJ29:IJ32" si="367">IH29*II29</f>
        <v>3221.0200000000023</v>
      </c>
      <c r="IK29" s="54"/>
      <c r="IL29" s="51">
        <f t="shared" ref="IL29:IL32" si="368">IH29*$IL$26</f>
        <v>161.0510000000001</v>
      </c>
      <c r="IM29" s="51">
        <f t="shared" ref="IM29:IM32" si="369">II29*$IM$26</f>
        <v>20</v>
      </c>
      <c r="IN29" s="51">
        <f t="shared" ref="IN29:IN32" si="370">IL29*IM29</f>
        <v>3221.0200000000023</v>
      </c>
      <c r="IO29" s="54"/>
      <c r="IP29" s="51">
        <f t="shared" ref="IP29:IP32" si="371">IL29*$IP$26</f>
        <v>161.0510000000001</v>
      </c>
      <c r="IQ29" s="51">
        <f t="shared" ref="IQ29:IQ32" si="372">IM29*$IQ$26</f>
        <v>20</v>
      </c>
      <c r="IR29" s="51">
        <f t="shared" ref="IR29:IR32" si="373">IP29*IQ29</f>
        <v>3221.0200000000023</v>
      </c>
      <c r="IS29" s="54"/>
      <c r="IT29" s="51">
        <f t="shared" ref="IT29:IT32" si="374">IP29*$IT$26</f>
        <v>161.0510000000001</v>
      </c>
      <c r="IU29" s="51">
        <f t="shared" ref="IU29:IU32" si="375">IQ29*$IU$26</f>
        <v>20</v>
      </c>
      <c r="IV29" s="51">
        <f t="shared" ref="IV29:IV32" si="376">IT29*IU29</f>
        <v>3221.0200000000023</v>
      </c>
      <c r="IW29" s="54"/>
      <c r="IX29" s="51">
        <f t="shared" ref="IX29:IX32" si="377">IT29*$IX$26</f>
        <v>161.0510000000001</v>
      </c>
      <c r="IY29" s="51">
        <f t="shared" ref="IY29:IY32" si="378">IU29*$IY$26</f>
        <v>20</v>
      </c>
      <c r="IZ29" s="51">
        <f t="shared" ref="IZ29:IZ32" si="379">IX29*IY29</f>
        <v>3221.0200000000023</v>
      </c>
      <c r="JB29" s="80">
        <f>HF29+HJ29+HN29+HR29+HV29+HZ29+ID29+IH29+IL29+IP29+IT29+IX29</f>
        <v>1932.6120000000017</v>
      </c>
      <c r="JC29" s="80">
        <f>(HG29+HK29+HO29+HS29+HW29+IA29+IE29+II29+IM29+IQ29+IU29+IY29)/12</f>
        <v>20</v>
      </c>
      <c r="JD29" s="80">
        <f>HH29+HL29+HP29+HT29+HX29+IB29+IF29+IJ29+IN29+IR29+IV29+IZ29</f>
        <v>38652.240000000034</v>
      </c>
      <c r="JF29" s="51">
        <f t="shared" ref="JF29:JF32" si="380">IX29*$JF$26</f>
        <v>177.15610000000012</v>
      </c>
      <c r="JG29" s="51">
        <f t="shared" ref="JG29:JG32" si="381">IY29*$JG$26</f>
        <v>20</v>
      </c>
      <c r="JH29" s="51">
        <f t="shared" ref="JH29:JH32" si="382">JF29*JG29</f>
        <v>3543.1220000000026</v>
      </c>
      <c r="JI29" s="54"/>
      <c r="JJ29" s="51">
        <f t="shared" ref="JJ29:JJ32" si="383">JF29*$JJ$26</f>
        <v>177.15610000000012</v>
      </c>
      <c r="JK29" s="51">
        <f t="shared" ref="JK29:JK32" si="384">JG29*$JK$26</f>
        <v>20</v>
      </c>
      <c r="JL29" s="51">
        <f t="shared" ref="JL29:JL32" si="385">JJ29*JK29</f>
        <v>3543.1220000000026</v>
      </c>
      <c r="JM29" s="54"/>
      <c r="JN29" s="51">
        <f t="shared" ref="JN29:JN32" si="386">JJ29*$JN$26</f>
        <v>177.15610000000012</v>
      </c>
      <c r="JO29" s="51">
        <f t="shared" ref="JO29:JO32" si="387">JK29*$JO$26</f>
        <v>20</v>
      </c>
      <c r="JP29" s="51">
        <f t="shared" ref="JP29:JP32" si="388">JN29*JO29</f>
        <v>3543.1220000000026</v>
      </c>
      <c r="JQ29" s="54"/>
      <c r="JR29" s="51">
        <f t="shared" ref="JR29:JR32" si="389">JN29*$JR$26</f>
        <v>177.15610000000012</v>
      </c>
      <c r="JS29" s="51">
        <f t="shared" ref="JS29:JS32" si="390">JO29*$JS$26</f>
        <v>20</v>
      </c>
      <c r="JT29" s="51">
        <f t="shared" ref="JT29:JT32" si="391">JR29*JS29</f>
        <v>3543.1220000000026</v>
      </c>
      <c r="JU29" s="54"/>
      <c r="JV29" s="51">
        <f t="shared" ref="JV29:JV32" si="392">JR29*$JV$26</f>
        <v>177.15610000000012</v>
      </c>
      <c r="JW29" s="51">
        <f t="shared" ref="JW29:JW32" si="393">JS29*$JW$26</f>
        <v>20</v>
      </c>
      <c r="JX29" s="51">
        <f t="shared" ref="JX29:JX32" si="394">JV29*JW29</f>
        <v>3543.1220000000026</v>
      </c>
      <c r="JY29" s="54"/>
      <c r="JZ29" s="51">
        <f t="shared" ref="JZ29:JZ32" si="395">JV29*$JZ$26</f>
        <v>177.15610000000012</v>
      </c>
      <c r="KA29" s="51">
        <f t="shared" ref="KA29:KA32" si="396">JW29*$KA$26</f>
        <v>20</v>
      </c>
      <c r="KB29" s="51">
        <f t="shared" ref="KB29:KB32" si="397">JZ29*KA29</f>
        <v>3543.1220000000026</v>
      </c>
      <c r="KC29" s="54"/>
      <c r="KD29" s="51">
        <f>JZ29*$KD$26</f>
        <v>177.15610000000012</v>
      </c>
      <c r="KE29" s="51">
        <f t="shared" ref="KE29:KE32" si="398">KA29*$KE$26</f>
        <v>20</v>
      </c>
      <c r="KF29" s="51">
        <f t="shared" ref="KF29:KF32" si="399">KD29*KE29</f>
        <v>3543.1220000000026</v>
      </c>
      <c r="KG29" s="54"/>
      <c r="KH29" s="51">
        <f t="shared" ref="KH29:KH32" si="400">KD29*$KH$26</f>
        <v>177.15610000000012</v>
      </c>
      <c r="KI29" s="51">
        <f>KE29*$KI$26</f>
        <v>20</v>
      </c>
      <c r="KJ29" s="51">
        <f t="shared" ref="KJ29:KJ32" si="401">KH29*KI29</f>
        <v>3543.1220000000026</v>
      </c>
      <c r="KK29" s="54"/>
      <c r="KL29" s="51">
        <f t="shared" ref="KL29:KL32" si="402">KH29*$KL$26</f>
        <v>177.15610000000012</v>
      </c>
      <c r="KM29" s="51">
        <f t="shared" ref="KM29" si="403">KI29*$KM$26</f>
        <v>20</v>
      </c>
      <c r="KN29" s="51">
        <f t="shared" ref="KN29:KN32" si="404">KL29*KM29</f>
        <v>3543.1220000000026</v>
      </c>
      <c r="KO29" s="54"/>
      <c r="KP29" s="51">
        <f t="shared" ref="KP29:KP32" si="405">KL29*$KP$26</f>
        <v>177.15610000000012</v>
      </c>
      <c r="KQ29" s="51">
        <f>KM29*$KQ$26</f>
        <v>20</v>
      </c>
      <c r="KR29" s="51">
        <f t="shared" ref="KR29:KR32" si="406">KP29*KQ29</f>
        <v>3543.1220000000026</v>
      </c>
      <c r="KS29" s="54"/>
      <c r="KT29" s="51">
        <f t="shared" ref="KT29:KT32" si="407">KP29*$KT$26</f>
        <v>177.15610000000012</v>
      </c>
      <c r="KU29" s="51">
        <f t="shared" ref="KU29:KU32" si="408">KQ29*$KU$26</f>
        <v>20</v>
      </c>
      <c r="KV29" s="51">
        <f t="shared" ref="KV29:KV32" si="409">KT29*KU29</f>
        <v>3543.1220000000026</v>
      </c>
      <c r="KW29" s="54"/>
      <c r="KX29" s="51">
        <f t="shared" ref="KX29:KX32" si="410">KT29*$KX$26</f>
        <v>177.15610000000012</v>
      </c>
      <c r="KY29" s="51">
        <f t="shared" ref="KY29:KY32" si="411">KU29*$KY$26</f>
        <v>20</v>
      </c>
      <c r="KZ29" s="51">
        <f t="shared" ref="KZ29:KZ32" si="412">KX29*KY29</f>
        <v>3543.1220000000026</v>
      </c>
      <c r="LB29" s="80">
        <f>JF29+JJ29+JN29+JR29+JV29+JZ29+KD29+KH29+KL29+KP29+KT29+KX29</f>
        <v>2125.8732000000014</v>
      </c>
      <c r="LC29" s="80">
        <f>(JG29+JK29+JO29+JS29+JW29+KA29+KE29+KI29+KM29+KQ29+KU29+KY29)/12</f>
        <v>20</v>
      </c>
      <c r="LD29" s="80">
        <f>JH29+JL29+JP29+JT29+JX29+KB29+KF29+KJ29+KN29+KR29+KV29+KZ29</f>
        <v>42517.46400000003</v>
      </c>
    </row>
    <row r="30" ht="18.75" customHeight="1" spans="2:316" x14ac:dyDescent="0.25">
      <c r="B30" s="5" t="s">
        <v>67</v>
      </c>
      <c r="C30" s="29"/>
      <c r="D30" s="29">
        <f>'A.I Revenue Streams - P1'!E30</f>
        <v>0</v>
      </c>
      <c r="E30" s="30"/>
      <c r="F30" s="51">
        <f>'A.I Revenue Streams - P2'!G30*25</f>
        <v>75</v>
      </c>
      <c r="G30" s="51">
        <f>'A.I Revenue Streams - P2'!I30</f>
        <v>20</v>
      </c>
      <c r="H30" s="51">
        <f>F30*G30</f>
        <v>1500</v>
      </c>
      <c r="I30" s="54"/>
      <c r="J30" s="51">
        <f>F30*$J$26</f>
        <v>82.5</v>
      </c>
      <c r="K30" s="51">
        <f>G30*$K$26</f>
        <v>20</v>
      </c>
      <c r="L30" s="51">
        <f t="shared" ref="L30:L32" si="413">J30*K30</f>
        <v>1650</v>
      </c>
      <c r="M30" s="54"/>
      <c r="N30" s="51">
        <f>J30*$N$26</f>
        <v>82.5</v>
      </c>
      <c r="O30" s="51">
        <f>K30*$O$26</f>
        <v>20</v>
      </c>
      <c r="P30" s="51">
        <f t="shared" si="234"/>
        <v>1650</v>
      </c>
      <c r="Q30" s="54"/>
      <c r="R30" s="51">
        <f>N30*$R$26</f>
        <v>82.5</v>
      </c>
      <c r="S30" s="51">
        <f>O30*$S$26</f>
        <v>20</v>
      </c>
      <c r="T30" s="51">
        <f t="shared" si="235"/>
        <v>1650</v>
      </c>
      <c r="U30" s="54"/>
      <c r="V30" s="51">
        <f>R30*$V$26</f>
        <v>82.5</v>
      </c>
      <c r="W30" s="51">
        <f>S30*$W$26</f>
        <v>20</v>
      </c>
      <c r="X30" s="51">
        <f t="shared" si="236"/>
        <v>1650</v>
      </c>
      <c r="Y30" s="54"/>
      <c r="Z30" s="51">
        <f>V30*$Z$26</f>
        <v>82.5</v>
      </c>
      <c r="AA30" s="51">
        <f>W30*$AA$26</f>
        <v>20</v>
      </c>
      <c r="AB30" s="51">
        <f t="shared" si="237"/>
        <v>1650</v>
      </c>
      <c r="AC30" s="54"/>
      <c r="AD30" s="51">
        <f>Z30*$AD$26</f>
        <v>82.5</v>
      </c>
      <c r="AE30" s="51">
        <f>AA30*$AE$26</f>
        <v>20</v>
      </c>
      <c r="AF30" s="51">
        <f t="shared" si="238"/>
        <v>1650</v>
      </c>
      <c r="AG30" s="54"/>
      <c r="AH30" s="51">
        <f>AD30*$AH$26</f>
        <v>82.5</v>
      </c>
      <c r="AI30" s="51">
        <f>AE30*$AI$26</f>
        <v>20</v>
      </c>
      <c r="AJ30" s="51">
        <f t="shared" si="239"/>
        <v>1650</v>
      </c>
      <c r="AK30" s="54"/>
      <c r="AL30" s="51">
        <f>AH30*$AL$26</f>
        <v>82.5</v>
      </c>
      <c r="AM30" s="51">
        <f>AI30*$AM$26</f>
        <v>20</v>
      </c>
      <c r="AN30" s="51">
        <f t="shared" si="240"/>
        <v>1650</v>
      </c>
      <c r="AO30" s="54"/>
      <c r="AP30" s="51">
        <f>AL30*$AP$26</f>
        <v>82.5</v>
      </c>
      <c r="AQ30" s="51">
        <f>AM30*$AQ$26</f>
        <v>20</v>
      </c>
      <c r="AR30" s="51">
        <f t="shared" ref="AR30:AR32" si="414">AP30*AQ30</f>
        <v>1650</v>
      </c>
      <c r="AS30" s="54"/>
      <c r="AT30" s="51">
        <f t="shared" ref="AT30:AT31" si="415">AP30*$AT$26</f>
        <v>82.5</v>
      </c>
      <c r="AU30" s="51">
        <f t="shared" ref="AU30:AU32" si="416">AQ30*$AU$26</f>
        <v>20</v>
      </c>
      <c r="AV30" s="51">
        <f t="shared" ref="AV30:AV32" si="417">AT30*AU30</f>
        <v>1650</v>
      </c>
      <c r="AW30" s="54"/>
      <c r="AX30" s="51">
        <f t="shared" ref="AX30:AX32" si="418">AT30*$AX$26</f>
        <v>82.5</v>
      </c>
      <c r="AY30" s="51">
        <f>AU30*$AY$26</f>
        <v>20</v>
      </c>
      <c r="AZ30" s="51">
        <f t="shared" ref="AZ30:AZ32" si="419">AX30*AY30</f>
        <v>1650</v>
      </c>
      <c r="BA30" s="54"/>
      <c r="BB30" s="85">
        <f>SUMIF($F$6:$AZ$6,$BB$6,F30:AZ30)</f>
        <v>982.5</v>
      </c>
      <c r="BC30" s="85">
        <f>SUMIF($F$6:$AZ$6,$BC$6,F30:AZ30)/12</f>
        <v>20</v>
      </c>
      <c r="BD30" s="80">
        <f>H30+L30+P30+T30+X30+AB30+AF30+AJ30+AN30</f>
        <v>14700</v>
      </c>
      <c r="BE30" t="b">
        <f>(BB30*BC30)=BD30</f>
        <v>0</v>
      </c>
      <c r="BF30" s="51">
        <f>AX30*$BF$26</f>
        <v>90.75000000000001</v>
      </c>
      <c r="BG30" s="51">
        <f>AY30*$BG$26</f>
        <v>20</v>
      </c>
      <c r="BH30" s="51">
        <f t="shared" si="241"/>
        <v>1815.0000000000002</v>
      </c>
      <c r="BI30" s="54"/>
      <c r="BJ30" s="51">
        <f t="shared" si="242"/>
        <v>90.75000000000001</v>
      </c>
      <c r="BK30" s="51">
        <f t="shared" si="243"/>
        <v>20</v>
      </c>
      <c r="BL30" s="51">
        <f t="shared" si="244"/>
        <v>1815.0000000000002</v>
      </c>
      <c r="BM30" s="54"/>
      <c r="BN30" s="51">
        <f t="shared" si="245"/>
        <v>90.75000000000001</v>
      </c>
      <c r="BO30" s="51">
        <f t="shared" si="246"/>
        <v>20</v>
      </c>
      <c r="BP30" s="51">
        <f t="shared" si="247"/>
        <v>1815.0000000000002</v>
      </c>
      <c r="BQ30" s="54"/>
      <c r="BR30" s="51">
        <f t="shared" si="248"/>
        <v>90.75000000000001</v>
      </c>
      <c r="BS30" s="51">
        <f t="shared" si="249"/>
        <v>20</v>
      </c>
      <c r="BT30" s="51">
        <f t="shared" si="250"/>
        <v>1815.0000000000002</v>
      </c>
      <c r="BU30" s="54"/>
      <c r="BV30" s="51">
        <f t="shared" si="251"/>
        <v>90.75000000000001</v>
      </c>
      <c r="BW30" s="51">
        <f t="shared" si="252"/>
        <v>20</v>
      </c>
      <c r="BX30" s="51">
        <f t="shared" si="253"/>
        <v>1815.0000000000002</v>
      </c>
      <c r="BY30" s="54"/>
      <c r="BZ30" s="51">
        <f t="shared" si="254"/>
        <v>90.75000000000001</v>
      </c>
      <c r="CA30" s="51">
        <f t="shared" si="255"/>
        <v>20</v>
      </c>
      <c r="CB30" s="51">
        <f t="shared" si="256"/>
        <v>1815.0000000000002</v>
      </c>
      <c r="CC30" s="54"/>
      <c r="CD30" s="51">
        <f t="shared" si="257"/>
        <v>90.75000000000001</v>
      </c>
      <c r="CE30" s="51">
        <f t="shared" si="258"/>
        <v>20</v>
      </c>
      <c r="CF30" s="51">
        <f t="shared" si="259"/>
        <v>1815.0000000000002</v>
      </c>
      <c r="CG30" s="54"/>
      <c r="CH30" s="51">
        <f t="shared" si="260"/>
        <v>90.75000000000001</v>
      </c>
      <c r="CI30" s="51">
        <f t="shared" si="261"/>
        <v>20</v>
      </c>
      <c r="CJ30" s="51">
        <f t="shared" si="262"/>
        <v>1815.0000000000002</v>
      </c>
      <c r="CK30" s="54"/>
      <c r="CL30" s="51">
        <f t="shared" si="263"/>
        <v>90.75000000000001</v>
      </c>
      <c r="CM30" s="51">
        <f t="shared" si="264"/>
        <v>20</v>
      </c>
      <c r="CN30" s="51">
        <f t="shared" si="265"/>
        <v>1815.0000000000002</v>
      </c>
      <c r="CO30" s="54"/>
      <c r="CP30" s="51">
        <f t="shared" si="266"/>
        <v>90.75000000000001</v>
      </c>
      <c r="CQ30" s="51">
        <f t="shared" si="267"/>
        <v>20</v>
      </c>
      <c r="CR30" s="51">
        <f t="shared" si="268"/>
        <v>1815.0000000000002</v>
      </c>
      <c r="CS30" s="54"/>
      <c r="CT30" s="51">
        <f t="shared" si="269"/>
        <v>90.75000000000001</v>
      </c>
      <c r="CU30" s="51">
        <f t="shared" si="270"/>
        <v>20</v>
      </c>
      <c r="CV30" s="51">
        <f t="shared" si="271"/>
        <v>1815.0000000000002</v>
      </c>
      <c r="CW30" s="54"/>
      <c r="CX30" s="51">
        <f t="shared" si="272"/>
        <v>90.75000000000001</v>
      </c>
      <c r="CY30" s="51">
        <f t="shared" si="273"/>
        <v>20</v>
      </c>
      <c r="CZ30" s="51">
        <f t="shared" si="274"/>
        <v>1815.0000000000002</v>
      </c>
      <c r="DA30" s="54"/>
      <c r="DB30" s="80">
        <f>BF30+BJ30+BN30+BR30+BV30+BZ30+CD30+CH30+CL30+CP30+CT30+CX30</f>
        <v>1089.0000000000002</v>
      </c>
      <c r="DC30" s="80">
        <f>(BG30+BK30+BO30+BS30+BW30+CA30+CE30+CI30+CM30+CQ30+CU30+CY30)/12</f>
        <v>20</v>
      </c>
      <c r="DD30" s="80">
        <f>BH30+BL30+BP30+BT30+BX30+CB30+CF30+CJ30+CN30+CR30+CV30+CZ30</f>
        <v>21780.000000000004</v>
      </c>
      <c r="DF30" s="51">
        <f t="shared" si="275"/>
        <v>99.82500000000002</v>
      </c>
      <c r="DG30" s="51">
        <f t="shared" si="276"/>
        <v>20</v>
      </c>
      <c r="DH30" s="51">
        <f t="shared" si="277"/>
        <v>1996.5000000000005</v>
      </c>
      <c r="DI30" s="54"/>
      <c r="DJ30" s="51">
        <f t="shared" si="278"/>
        <v>99.82500000000002</v>
      </c>
      <c r="DK30" s="51">
        <f t="shared" si="279"/>
        <v>20</v>
      </c>
      <c r="DL30" s="51">
        <f t="shared" si="280"/>
        <v>1996.5000000000005</v>
      </c>
      <c r="DM30" s="54"/>
      <c r="DN30" s="51">
        <f t="shared" si="281"/>
        <v>99.82500000000002</v>
      </c>
      <c r="DO30" s="51">
        <f t="shared" si="282"/>
        <v>20</v>
      </c>
      <c r="DP30" s="51">
        <f t="shared" si="283"/>
        <v>1996.5000000000005</v>
      </c>
      <c r="DQ30" s="54"/>
      <c r="DR30" s="51">
        <f t="shared" si="284"/>
        <v>99.82500000000002</v>
      </c>
      <c r="DS30" s="51">
        <f t="shared" si="285"/>
        <v>20</v>
      </c>
      <c r="DT30" s="51">
        <f t="shared" si="286"/>
        <v>1996.5000000000005</v>
      </c>
      <c r="DU30" s="54"/>
      <c r="DV30" s="51">
        <f t="shared" si="287"/>
        <v>99.82500000000002</v>
      </c>
      <c r="DW30" s="51">
        <f t="shared" si="288"/>
        <v>20</v>
      </c>
      <c r="DX30" s="51">
        <f t="shared" si="289"/>
        <v>1996.5000000000005</v>
      </c>
      <c r="DY30" s="54"/>
      <c r="DZ30" s="51">
        <f t="shared" si="290"/>
        <v>99.82500000000002</v>
      </c>
      <c r="EA30" s="51">
        <f t="shared" si="291"/>
        <v>20</v>
      </c>
      <c r="EB30" s="51">
        <f t="shared" si="292"/>
        <v>1996.5000000000005</v>
      </c>
      <c r="EC30" s="54"/>
      <c r="ED30" s="51">
        <f t="shared" si="293"/>
        <v>99.82500000000002</v>
      </c>
      <c r="EE30" s="51">
        <f t="shared" si="294"/>
        <v>20</v>
      </c>
      <c r="EF30" s="51">
        <f t="shared" si="295"/>
        <v>1996.5000000000005</v>
      </c>
      <c r="EG30" s="54"/>
      <c r="EH30" s="51">
        <f t="shared" si="296"/>
        <v>99.82500000000002</v>
      </c>
      <c r="EI30" s="51">
        <f t="shared" si="297"/>
        <v>20</v>
      </c>
      <c r="EJ30" s="51">
        <f t="shared" si="298"/>
        <v>1996.5000000000005</v>
      </c>
      <c r="EK30" s="54"/>
      <c r="EL30" s="51">
        <f t="shared" si="299"/>
        <v>99.82500000000002</v>
      </c>
      <c r="EM30" s="51">
        <f t="shared" si="300"/>
        <v>20</v>
      </c>
      <c r="EN30" s="51">
        <f t="shared" si="301"/>
        <v>1996.5000000000005</v>
      </c>
      <c r="EO30" s="54"/>
      <c r="EP30" s="51">
        <f t="shared" si="302"/>
        <v>99.82500000000002</v>
      </c>
      <c r="EQ30" s="51">
        <f t="shared" si="303"/>
        <v>20</v>
      </c>
      <c r="ER30" s="51">
        <f t="shared" si="304"/>
        <v>1996.5000000000005</v>
      </c>
      <c r="ES30" s="54"/>
      <c r="ET30" s="51">
        <f t="shared" si="305"/>
        <v>99.82500000000002</v>
      </c>
      <c r="EU30" s="51">
        <f t="shared" si="306"/>
        <v>20</v>
      </c>
      <c r="EV30" s="51">
        <f t="shared" si="307"/>
        <v>1996.5000000000005</v>
      </c>
      <c r="EW30" s="54"/>
      <c r="EX30" s="51">
        <f t="shared" si="308"/>
        <v>99.82500000000002</v>
      </c>
      <c r="EY30" s="51">
        <f t="shared" si="309"/>
        <v>20</v>
      </c>
      <c r="EZ30" s="51">
        <f t="shared" si="310"/>
        <v>1996.5000000000005</v>
      </c>
      <c r="FA30" s="54"/>
      <c r="FB30" s="80">
        <f>DF30+DJ30+DN30+DR30+DV30+DZ30+ED30+EH30+EL30+EP30+ET30+EX30</f>
        <v>1197.9000000000003</v>
      </c>
      <c r="FC30" s="80">
        <f>(DG30+DK30+DO30+DS30+DW30+EA30+EE30+EI30+EM30+EQ30+EU30+EY30)/12</f>
        <v>20</v>
      </c>
      <c r="FD30" s="80">
        <f>DH30+DL30+DP30+DT30+DX30+EB30+EF30+EJ30+EN30+ER30+EV30+EZ30</f>
        <v>23958.000000000004</v>
      </c>
      <c r="FF30" s="51">
        <f t="shared" si="311"/>
        <v>109.80750000000003</v>
      </c>
      <c r="FG30" s="51">
        <f t="shared" si="312"/>
        <v>20</v>
      </c>
      <c r="FH30" s="51">
        <f t="shared" si="313"/>
        <v>2196.1500000000005</v>
      </c>
      <c r="FI30" s="54"/>
      <c r="FJ30" s="51">
        <f t="shared" si="314"/>
        <v>109.80750000000003</v>
      </c>
      <c r="FK30" s="51">
        <f t="shared" si="315"/>
        <v>20</v>
      </c>
      <c r="FL30" s="51">
        <f t="shared" si="316"/>
        <v>2196.1500000000005</v>
      </c>
      <c r="FM30" s="54"/>
      <c r="FN30" s="51">
        <f t="shared" si="317"/>
        <v>109.80750000000003</v>
      </c>
      <c r="FO30" s="51">
        <f t="shared" si="318"/>
        <v>20</v>
      </c>
      <c r="FP30" s="51">
        <f t="shared" si="319"/>
        <v>2196.1500000000005</v>
      </c>
      <c r="FQ30" s="54"/>
      <c r="FR30" s="51">
        <f t="shared" si="320"/>
        <v>109.80750000000003</v>
      </c>
      <c r="FS30" s="51">
        <f t="shared" si="321"/>
        <v>20</v>
      </c>
      <c r="FT30" s="51">
        <f t="shared" si="322"/>
        <v>2196.1500000000005</v>
      </c>
      <c r="FU30" s="54"/>
      <c r="FV30" s="51">
        <f t="shared" ref="FV30:FV32" si="420">FR30*$FV$26</f>
        <v>109.80750000000003</v>
      </c>
      <c r="FW30" s="51">
        <f t="shared" ref="FW30:FW32" si="421">FS30*$FW$26</f>
        <v>20</v>
      </c>
      <c r="FX30" s="51">
        <f t="shared" si="323"/>
        <v>2196.1500000000005</v>
      </c>
      <c r="FY30" s="54"/>
      <c r="FZ30" s="51">
        <f t="shared" si="324"/>
        <v>109.80750000000003</v>
      </c>
      <c r="GA30" s="51">
        <f t="shared" si="325"/>
        <v>20</v>
      </c>
      <c r="GB30" s="51">
        <f t="shared" si="326"/>
        <v>2196.1500000000005</v>
      </c>
      <c r="GC30" s="54"/>
      <c r="GD30" s="51">
        <f>FZ30*$GD$26</f>
        <v>109.80750000000003</v>
      </c>
      <c r="GE30" s="51">
        <f>GA30*$GE$26</f>
        <v>20</v>
      </c>
      <c r="GF30" s="51">
        <f t="shared" si="329"/>
        <v>2196.1500000000005</v>
      </c>
      <c r="GG30" s="54"/>
      <c r="GH30" s="51">
        <f t="shared" si="330"/>
        <v>109.80750000000003</v>
      </c>
      <c r="GI30" s="51">
        <f t="shared" si="331"/>
        <v>20</v>
      </c>
      <c r="GJ30" s="51">
        <f t="shared" si="332"/>
        <v>2196.1500000000005</v>
      </c>
      <c r="GK30" s="54"/>
      <c r="GL30" s="51">
        <f t="shared" si="333"/>
        <v>109.80750000000003</v>
      </c>
      <c r="GM30" s="51">
        <f t="shared" si="334"/>
        <v>20</v>
      </c>
      <c r="GN30" s="51">
        <f t="shared" si="335"/>
        <v>2196.1500000000005</v>
      </c>
      <c r="GO30" s="54"/>
      <c r="GP30" s="51">
        <f t="shared" si="336"/>
        <v>109.80750000000003</v>
      </c>
      <c r="GQ30" s="51">
        <f t="shared" si="337"/>
        <v>20</v>
      </c>
      <c r="GR30" s="51">
        <f t="shared" si="338"/>
        <v>2196.1500000000005</v>
      </c>
      <c r="GS30" s="54"/>
      <c r="GT30" s="51">
        <f t="shared" si="339"/>
        <v>109.80750000000003</v>
      </c>
      <c r="GU30" s="51">
        <f t="shared" si="340"/>
        <v>20</v>
      </c>
      <c r="GV30" s="51">
        <f t="shared" si="341"/>
        <v>2196.1500000000005</v>
      </c>
      <c r="GW30" s="54"/>
      <c r="GX30" s="51">
        <f t="shared" si="342"/>
        <v>109.80750000000003</v>
      </c>
      <c r="GY30" s="51">
        <f t="shared" si="343"/>
        <v>20</v>
      </c>
      <c r="GZ30" s="51">
        <f t="shared" si="344"/>
        <v>2196.1500000000005</v>
      </c>
      <c r="HB30" s="80">
        <f>FF30+FJ30+FN30+FR30+FV30+FZ30+GD30+GH30+GL30+GP30+GT30+GX30</f>
        <v>1317.6900000000005</v>
      </c>
      <c r="HC30" s="80">
        <f>(FG30+FK30+FO30+FS30+FW30+GA30+GE30+GI30+GM30+GQ30+GU30+GY30)/12</f>
        <v>20</v>
      </c>
      <c r="HD30" s="80">
        <f>FH30+FL30+FP30+FT30+FX30+GB30+GF30+GJ30+GN30+GR30+GV30+GZ30</f>
        <v>26353.800000000014</v>
      </c>
      <c r="HF30" s="51">
        <f t="shared" si="345"/>
        <v>120.78825000000005</v>
      </c>
      <c r="HG30" s="51">
        <f t="shared" si="346"/>
        <v>20</v>
      </c>
      <c r="HH30" s="51">
        <f t="shared" si="347"/>
        <v>2415.765000000001</v>
      </c>
      <c r="HI30" s="54"/>
      <c r="HJ30" s="51">
        <f t="shared" ref="HJ30:HJ32" si="422">HF30*$HJ$26</f>
        <v>120.78825000000005</v>
      </c>
      <c r="HK30" s="51">
        <f>HG30*$HK$26</f>
        <v>20</v>
      </c>
      <c r="HL30" s="51">
        <f t="shared" si="349"/>
        <v>2415.765000000001</v>
      </c>
      <c r="HM30" s="54"/>
      <c r="HN30" s="51">
        <f t="shared" si="350"/>
        <v>120.78825000000005</v>
      </c>
      <c r="HO30" s="51">
        <f t="shared" si="351"/>
        <v>20</v>
      </c>
      <c r="HP30" s="51">
        <f t="shared" si="352"/>
        <v>2415.765000000001</v>
      </c>
      <c r="HQ30" s="54"/>
      <c r="HR30" s="51">
        <f t="shared" si="353"/>
        <v>120.78825000000005</v>
      </c>
      <c r="HS30" s="51">
        <f>HO30*$HS$26</f>
        <v>20</v>
      </c>
      <c r="HT30" s="51">
        <f t="shared" si="355"/>
        <v>2415.765000000001</v>
      </c>
      <c r="HU30" s="54"/>
      <c r="HV30" s="51">
        <f t="shared" si="356"/>
        <v>120.78825000000005</v>
      </c>
      <c r="HW30" s="51">
        <f t="shared" si="357"/>
        <v>20</v>
      </c>
      <c r="HX30" s="51">
        <f t="shared" si="358"/>
        <v>2415.765000000001</v>
      </c>
      <c r="HY30" s="54"/>
      <c r="HZ30" s="51">
        <f t="shared" si="359"/>
        <v>120.78825000000005</v>
      </c>
      <c r="IA30" s="51">
        <f t="shared" si="360"/>
        <v>20</v>
      </c>
      <c r="IB30" s="51">
        <f t="shared" si="361"/>
        <v>2415.765000000001</v>
      </c>
      <c r="IC30" s="54"/>
      <c r="ID30" s="51">
        <f t="shared" si="362"/>
        <v>120.78825000000005</v>
      </c>
      <c r="IE30" s="51">
        <f t="shared" si="363"/>
        <v>20</v>
      </c>
      <c r="IF30" s="51">
        <f t="shared" si="364"/>
        <v>2415.765000000001</v>
      </c>
      <c r="IG30" s="54"/>
      <c r="IH30" s="51">
        <f t="shared" si="365"/>
        <v>120.78825000000005</v>
      </c>
      <c r="II30" s="51">
        <f t="shared" si="366"/>
        <v>20</v>
      </c>
      <c r="IJ30" s="51">
        <f t="shared" si="367"/>
        <v>2415.765000000001</v>
      </c>
      <c r="IK30" s="54"/>
      <c r="IL30" s="51">
        <f t="shared" si="368"/>
        <v>120.78825000000005</v>
      </c>
      <c r="IM30" s="51">
        <f t="shared" si="369"/>
        <v>20</v>
      </c>
      <c r="IN30" s="51">
        <f t="shared" si="370"/>
        <v>2415.765000000001</v>
      </c>
      <c r="IO30" s="54"/>
      <c r="IP30" s="51">
        <f t="shared" si="371"/>
        <v>120.78825000000005</v>
      </c>
      <c r="IQ30" s="51">
        <f t="shared" si="372"/>
        <v>20</v>
      </c>
      <c r="IR30" s="51">
        <f t="shared" si="373"/>
        <v>2415.765000000001</v>
      </c>
      <c r="IS30" s="54"/>
      <c r="IT30" s="51">
        <f t="shared" si="374"/>
        <v>120.78825000000005</v>
      </c>
      <c r="IU30" s="51">
        <f t="shared" si="375"/>
        <v>20</v>
      </c>
      <c r="IV30" s="51">
        <f t="shared" si="376"/>
        <v>2415.765000000001</v>
      </c>
      <c r="IW30" s="54"/>
      <c r="IX30" s="51">
        <f t="shared" si="377"/>
        <v>120.78825000000005</v>
      </c>
      <c r="IY30" s="51">
        <f t="shared" si="378"/>
        <v>20</v>
      </c>
      <c r="IZ30" s="51">
        <f t="shared" si="379"/>
        <v>2415.765000000001</v>
      </c>
      <c r="JB30" s="80">
        <f>HF30+HJ30+HN30+HR30+HV30+HZ30+ID30+IH30+IL30+IP30+IT30+IX30</f>
        <v>1449.4590000000005</v>
      </c>
      <c r="JC30" s="80">
        <f>(HG30+HK30+HO30+HS30+HW30+IA30+IE30+II30+IM30+IQ30+IU30+IY30)/12</f>
        <v>20</v>
      </c>
      <c r="JD30" s="80">
        <f>HH30+HL30+HP30+HT30+HX30+IB30+IF30+IJ30+IN30+IR30+IV30+IZ30</f>
        <v>28989.180000000004</v>
      </c>
      <c r="JF30" s="51">
        <f t="shared" si="380"/>
        <v>132.86707500000006</v>
      </c>
      <c r="JG30" s="51">
        <f t="shared" si="381"/>
        <v>20</v>
      </c>
      <c r="JH30" s="51">
        <f t="shared" si="382"/>
        <v>2657.3415000000014</v>
      </c>
      <c r="JI30" s="54"/>
      <c r="JJ30" s="51">
        <f t="shared" si="383"/>
        <v>132.86707500000006</v>
      </c>
      <c r="JK30" s="51">
        <f t="shared" si="384"/>
        <v>20</v>
      </c>
      <c r="JL30" s="51">
        <f t="shared" si="385"/>
        <v>2657.3415000000014</v>
      </c>
      <c r="JM30" s="54"/>
      <c r="JN30" s="51">
        <f t="shared" si="386"/>
        <v>132.86707500000006</v>
      </c>
      <c r="JO30" s="51">
        <f t="shared" si="387"/>
        <v>20</v>
      </c>
      <c r="JP30" s="51">
        <f t="shared" si="388"/>
        <v>2657.3415000000014</v>
      </c>
      <c r="JQ30" s="54"/>
      <c r="JR30" s="51">
        <f t="shared" si="389"/>
        <v>132.86707500000006</v>
      </c>
      <c r="JS30" s="51">
        <f t="shared" si="390"/>
        <v>20</v>
      </c>
      <c r="JT30" s="51">
        <f t="shared" si="391"/>
        <v>2657.3415000000014</v>
      </c>
      <c r="JU30" s="54"/>
      <c r="JV30" s="51">
        <f t="shared" si="392"/>
        <v>132.86707500000006</v>
      </c>
      <c r="JW30" s="51">
        <f t="shared" si="393"/>
        <v>20</v>
      </c>
      <c r="JX30" s="51">
        <f t="shared" si="394"/>
        <v>2657.3415000000014</v>
      </c>
      <c r="JY30" s="54"/>
      <c r="JZ30" s="51">
        <f t="shared" si="395"/>
        <v>132.86707500000006</v>
      </c>
      <c r="KA30" s="51">
        <f t="shared" si="396"/>
        <v>20</v>
      </c>
      <c r="KB30" s="51">
        <f t="shared" si="397"/>
        <v>2657.3415000000014</v>
      </c>
      <c r="KC30" s="54"/>
      <c r="KD30" s="51">
        <f>JZ30*$KD$26</f>
        <v>132.86707500000006</v>
      </c>
      <c r="KE30" s="51">
        <f t="shared" si="398"/>
        <v>20</v>
      </c>
      <c r="KF30" s="51">
        <f t="shared" si="399"/>
        <v>2657.3415000000014</v>
      </c>
      <c r="KG30" s="54"/>
      <c r="KH30" s="51">
        <f t="shared" si="400"/>
        <v>132.86707500000006</v>
      </c>
      <c r="KI30" s="51">
        <f t="shared" ref="KI30:KI32" si="423">KE30*$KI$26</f>
        <v>20</v>
      </c>
      <c r="KJ30" s="51">
        <f t="shared" si="401"/>
        <v>2657.3415000000014</v>
      </c>
      <c r="KK30" s="54"/>
      <c r="KL30" s="51">
        <f t="shared" si="402"/>
        <v>132.86707500000006</v>
      </c>
      <c r="KM30" s="51">
        <f>KI30*$KM$26</f>
        <v>20</v>
      </c>
      <c r="KN30" s="51">
        <f t="shared" si="404"/>
        <v>2657.3415000000014</v>
      </c>
      <c r="KO30" s="54"/>
      <c r="KP30" s="51">
        <f t="shared" si="405"/>
        <v>132.86707500000006</v>
      </c>
      <c r="KQ30" s="51">
        <f>KM30*$KQ$26</f>
        <v>20</v>
      </c>
      <c r="KR30" s="51">
        <f t="shared" si="406"/>
        <v>2657.3415000000014</v>
      </c>
      <c r="KS30" s="54"/>
      <c r="KT30" s="51">
        <f t="shared" si="407"/>
        <v>132.86707500000006</v>
      </c>
      <c r="KU30" s="51">
        <f t="shared" si="408"/>
        <v>20</v>
      </c>
      <c r="KV30" s="51">
        <f t="shared" si="409"/>
        <v>2657.3415000000014</v>
      </c>
      <c r="KW30" s="54"/>
      <c r="KX30" s="51">
        <f t="shared" si="410"/>
        <v>132.86707500000006</v>
      </c>
      <c r="KY30" s="51">
        <f t="shared" si="411"/>
        <v>20</v>
      </c>
      <c r="KZ30" s="51">
        <f t="shared" si="412"/>
        <v>2657.3415000000014</v>
      </c>
      <c r="LB30" s="80">
        <f>JF30+JJ30+JN30+JR30+JV30+JZ30+KD30+KH30+KL30+KP30+KT30+KX30</f>
        <v>1594.4049000000011</v>
      </c>
      <c r="LC30" s="80">
        <f>(JG30+JK30+JO30+JS30+JW30+KA30+KE30+KI30+KM30+KQ30+KU30+KY30)/12</f>
        <v>20</v>
      </c>
      <c r="LD30" s="80">
        <f>JH30+JL30+JP30+JT30+JX30+KB30+KF30+KJ30+KN30+KR30+KV30+KZ30</f>
        <v>31888.098000000024</v>
      </c>
    </row>
    <row r="31" ht="18.75" customHeight="1" spans="2:316" x14ac:dyDescent="0.25">
      <c r="B31" s="5" t="s">
        <v>68</v>
      </c>
      <c r="C31" s="29"/>
      <c r="D31" s="29">
        <f>'A.I Revenue Streams - P1'!E31</f>
        <v>0</v>
      </c>
      <c r="E31" s="30"/>
      <c r="F31" s="51">
        <f>'A.I Revenue Streams - P2'!G31*25</f>
        <v>50</v>
      </c>
      <c r="G31" s="51">
        <f>'A.I Revenue Streams - P2'!I31</f>
        <v>20</v>
      </c>
      <c r="H31" s="51">
        <f>F31*G31</f>
        <v>1000</v>
      </c>
      <c r="I31" s="54"/>
      <c r="J31" s="51">
        <f>F31*$J$26</f>
        <v>55.00000000000001</v>
      </c>
      <c r="K31" s="51">
        <f>G31*$K$26</f>
        <v>20</v>
      </c>
      <c r="L31" s="51">
        <f t="shared" si="413"/>
        <v>1100.0000000000002</v>
      </c>
      <c r="M31" s="54"/>
      <c r="N31" s="51">
        <f>J31*$N$26</f>
        <v>55.00000000000001</v>
      </c>
      <c r="O31" s="51">
        <f>K31*$O$26</f>
        <v>20</v>
      </c>
      <c r="P31" s="51">
        <f t="shared" si="234"/>
        <v>1100.0000000000002</v>
      </c>
      <c r="Q31" s="54"/>
      <c r="R31" s="51">
        <f>N31*$R$26</f>
        <v>55.00000000000001</v>
      </c>
      <c r="S31" s="51">
        <f>O31*$S$26</f>
        <v>20</v>
      </c>
      <c r="T31" s="51">
        <f t="shared" si="235"/>
        <v>1100.0000000000002</v>
      </c>
      <c r="U31" s="54"/>
      <c r="V31" s="51">
        <f>R31*$V$26</f>
        <v>55.00000000000001</v>
      </c>
      <c r="W31" s="51">
        <f>S31*$W$26</f>
        <v>20</v>
      </c>
      <c r="X31" s="51">
        <f t="shared" si="236"/>
        <v>1100.0000000000002</v>
      </c>
      <c r="Y31" s="54"/>
      <c r="Z31" s="51">
        <f>V31*$Z$26</f>
        <v>55.00000000000001</v>
      </c>
      <c r="AA31" s="51">
        <f>W31*$AA$26</f>
        <v>20</v>
      </c>
      <c r="AB31" s="51">
        <f t="shared" si="237"/>
        <v>1100.0000000000002</v>
      </c>
      <c r="AC31" s="54"/>
      <c r="AD31" s="51">
        <f>Z31*$AD$26</f>
        <v>55.00000000000001</v>
      </c>
      <c r="AE31" s="51">
        <f>AA31*$AE$26</f>
        <v>20</v>
      </c>
      <c r="AF31" s="51">
        <f t="shared" si="238"/>
        <v>1100.0000000000002</v>
      </c>
      <c r="AG31" s="54"/>
      <c r="AH31" s="51">
        <f>AD31*$AH$26</f>
        <v>55.00000000000001</v>
      </c>
      <c r="AI31" s="51">
        <f>AE31*$AI$26</f>
        <v>20</v>
      </c>
      <c r="AJ31" s="51">
        <f t="shared" si="239"/>
        <v>1100.0000000000002</v>
      </c>
      <c r="AK31" s="54"/>
      <c r="AL31" s="51">
        <f>AH31*$AL$26</f>
        <v>55.00000000000001</v>
      </c>
      <c r="AM31" s="51">
        <f>AI31*$AM$26</f>
        <v>20</v>
      </c>
      <c r="AN31" s="51">
        <f t="shared" si="240"/>
        <v>1100.0000000000002</v>
      </c>
      <c r="AO31" s="54"/>
      <c r="AP31" s="51">
        <f>AL31*$AP$26</f>
        <v>55.00000000000001</v>
      </c>
      <c r="AQ31" s="51">
        <f>AM31*$AQ$26</f>
        <v>20</v>
      </c>
      <c r="AR31" s="51">
        <f t="shared" si="414"/>
        <v>1100.0000000000002</v>
      </c>
      <c r="AS31" s="54"/>
      <c r="AT31" s="51">
        <f t="shared" si="415"/>
        <v>55.00000000000001</v>
      </c>
      <c r="AU31" s="51">
        <f>AQ31*$AU$26</f>
        <v>20</v>
      </c>
      <c r="AV31" s="51">
        <f t="shared" si="417"/>
        <v>1100.0000000000002</v>
      </c>
      <c r="AW31" s="54"/>
      <c r="AX31" s="51">
        <f t="shared" si="418"/>
        <v>55.00000000000001</v>
      </c>
      <c r="AY31" s="51">
        <f>AU31*$AY$26</f>
        <v>20</v>
      </c>
      <c r="AZ31" s="51">
        <f t="shared" si="419"/>
        <v>1100.0000000000002</v>
      </c>
      <c r="BA31" s="54"/>
      <c r="BB31" s="85">
        <f>SUMIF($F$6:$AZ$6,$BB$6,F31:AZ31)</f>
        <v>655</v>
      </c>
      <c r="BC31" s="85">
        <f>SUMIF($F$6:$AZ$6,$BC$6,F31:AZ31)/12</f>
        <v>20</v>
      </c>
      <c r="BD31" s="80">
        <f>H31+L31+P31+T31+X31+AB31+AF31+AJ31+AN31</f>
        <v>9800</v>
      </c>
      <c r="BE31" t="b">
        <f>(BB31*BC31)=BD31</f>
        <v>0</v>
      </c>
      <c r="BF31" s="51">
        <f>AX31*$BF$26</f>
        <v>60.500000000000014</v>
      </c>
      <c r="BG31" s="51">
        <f>AY31*$BG$26</f>
        <v>20</v>
      </c>
      <c r="BH31" s="51">
        <f t="shared" si="241"/>
        <v>1210.0000000000002</v>
      </c>
      <c r="BI31" s="54"/>
      <c r="BJ31" s="51">
        <f t="shared" si="242"/>
        <v>60.500000000000014</v>
      </c>
      <c r="BK31" s="51">
        <f t="shared" si="243"/>
        <v>20</v>
      </c>
      <c r="BL31" s="51">
        <f t="shared" si="244"/>
        <v>1210.0000000000002</v>
      </c>
      <c r="BM31" s="54"/>
      <c r="BN31" s="51">
        <f t="shared" si="245"/>
        <v>60.500000000000014</v>
      </c>
      <c r="BO31" s="51">
        <f t="shared" si="246"/>
        <v>20</v>
      </c>
      <c r="BP31" s="51">
        <f t="shared" si="247"/>
        <v>1210.0000000000002</v>
      </c>
      <c r="BQ31" s="54"/>
      <c r="BR31" s="51">
        <f t="shared" si="248"/>
        <v>60.500000000000014</v>
      </c>
      <c r="BS31" s="51">
        <f t="shared" si="249"/>
        <v>20</v>
      </c>
      <c r="BT31" s="51">
        <f t="shared" si="250"/>
        <v>1210.0000000000002</v>
      </c>
      <c r="BU31" s="54"/>
      <c r="BV31" s="51">
        <f t="shared" si="251"/>
        <v>60.500000000000014</v>
      </c>
      <c r="BW31" s="51">
        <f t="shared" si="252"/>
        <v>20</v>
      </c>
      <c r="BX31" s="51">
        <f t="shared" si="253"/>
        <v>1210.0000000000002</v>
      </c>
      <c r="BY31" s="54"/>
      <c r="BZ31" s="51">
        <f t="shared" si="254"/>
        <v>60.500000000000014</v>
      </c>
      <c r="CA31" s="51">
        <f t="shared" si="255"/>
        <v>20</v>
      </c>
      <c r="CB31" s="51">
        <f t="shared" si="256"/>
        <v>1210.0000000000002</v>
      </c>
      <c r="CC31" s="54"/>
      <c r="CD31" s="51">
        <f t="shared" si="257"/>
        <v>60.500000000000014</v>
      </c>
      <c r="CE31" s="51">
        <f t="shared" si="258"/>
        <v>20</v>
      </c>
      <c r="CF31" s="51">
        <f t="shared" si="259"/>
        <v>1210.0000000000002</v>
      </c>
      <c r="CG31" s="54"/>
      <c r="CH31" s="51">
        <f t="shared" si="260"/>
        <v>60.500000000000014</v>
      </c>
      <c r="CI31" s="51">
        <f t="shared" si="261"/>
        <v>20</v>
      </c>
      <c r="CJ31" s="51">
        <f t="shared" si="262"/>
        <v>1210.0000000000002</v>
      </c>
      <c r="CK31" s="54"/>
      <c r="CL31" s="51">
        <f t="shared" si="263"/>
        <v>60.500000000000014</v>
      </c>
      <c r="CM31" s="51">
        <f t="shared" si="264"/>
        <v>20</v>
      </c>
      <c r="CN31" s="51">
        <f t="shared" si="265"/>
        <v>1210.0000000000002</v>
      </c>
      <c r="CO31" s="54"/>
      <c r="CP31" s="51">
        <f t="shared" si="266"/>
        <v>60.500000000000014</v>
      </c>
      <c r="CQ31" s="51">
        <f t="shared" si="267"/>
        <v>20</v>
      </c>
      <c r="CR31" s="51">
        <f t="shared" si="268"/>
        <v>1210.0000000000002</v>
      </c>
      <c r="CS31" s="54"/>
      <c r="CT31" s="51">
        <f t="shared" si="269"/>
        <v>60.500000000000014</v>
      </c>
      <c r="CU31" s="51">
        <f t="shared" si="270"/>
        <v>20</v>
      </c>
      <c r="CV31" s="51">
        <f t="shared" si="271"/>
        <v>1210.0000000000002</v>
      </c>
      <c r="CW31" s="54"/>
      <c r="CX31" s="51">
        <f t="shared" si="272"/>
        <v>60.500000000000014</v>
      </c>
      <c r="CY31" s="51">
        <f t="shared" si="273"/>
        <v>20</v>
      </c>
      <c r="CZ31" s="51">
        <f t="shared" si="274"/>
        <v>1210.0000000000002</v>
      </c>
      <c r="DA31" s="54"/>
      <c r="DB31" s="80">
        <f>BF31+BJ31+BN31+BR31+BV31+BZ31+CD31+CH31+CL31+CP31+CT31+CX31</f>
        <v>726.0000000000001</v>
      </c>
      <c r="DC31" s="80">
        <f>(BG31+BK31+BO31+BS31+BW31+CA31+CE31+CI31+CM31+CQ31+CU31+CY31)/12</f>
        <v>20</v>
      </c>
      <c r="DD31" s="80">
        <f>BH31+BL31+BP31+BT31+BX31+CB31+CF31+CJ31+CN31+CR31+CV31+CZ31</f>
        <v>14520.000000000002</v>
      </c>
      <c r="DF31" s="51">
        <f t="shared" si="275"/>
        <v>66.55000000000003</v>
      </c>
      <c r="DG31" s="51">
        <f t="shared" si="276"/>
        <v>20</v>
      </c>
      <c r="DH31" s="51">
        <f t="shared" si="277"/>
        <v>1331.0000000000005</v>
      </c>
      <c r="DI31" s="54"/>
      <c r="DJ31" s="51">
        <f t="shared" si="278"/>
        <v>66.55000000000003</v>
      </c>
      <c r="DK31" s="51">
        <f t="shared" si="279"/>
        <v>20</v>
      </c>
      <c r="DL31" s="51">
        <f t="shared" si="280"/>
        <v>1331.0000000000005</v>
      </c>
      <c r="DM31" s="54"/>
      <c r="DN31" s="51">
        <f t="shared" si="281"/>
        <v>66.55000000000003</v>
      </c>
      <c r="DO31" s="51">
        <f t="shared" si="282"/>
        <v>20</v>
      </c>
      <c r="DP31" s="51">
        <f t="shared" si="283"/>
        <v>1331.0000000000005</v>
      </c>
      <c r="DQ31" s="54"/>
      <c r="DR31" s="51">
        <f t="shared" si="284"/>
        <v>66.55000000000003</v>
      </c>
      <c r="DS31" s="51">
        <f t="shared" si="285"/>
        <v>20</v>
      </c>
      <c r="DT31" s="51">
        <f t="shared" si="286"/>
        <v>1331.0000000000005</v>
      </c>
      <c r="DU31" s="54"/>
      <c r="DV31" s="51">
        <f t="shared" si="287"/>
        <v>66.55000000000003</v>
      </c>
      <c r="DW31" s="51">
        <f t="shared" si="288"/>
        <v>20</v>
      </c>
      <c r="DX31" s="51">
        <f t="shared" si="289"/>
        <v>1331.0000000000005</v>
      </c>
      <c r="DY31" s="54"/>
      <c r="DZ31" s="51">
        <f t="shared" si="290"/>
        <v>66.55000000000003</v>
      </c>
      <c r="EA31" s="51">
        <f t="shared" si="291"/>
        <v>20</v>
      </c>
      <c r="EB31" s="51">
        <f t="shared" si="292"/>
        <v>1331.0000000000005</v>
      </c>
      <c r="EC31" s="54"/>
      <c r="ED31" s="51">
        <f t="shared" si="293"/>
        <v>66.55000000000003</v>
      </c>
      <c r="EE31" s="51">
        <f t="shared" si="294"/>
        <v>20</v>
      </c>
      <c r="EF31" s="51">
        <f t="shared" si="295"/>
        <v>1331.0000000000005</v>
      </c>
      <c r="EG31" s="54"/>
      <c r="EH31" s="51">
        <f t="shared" si="296"/>
        <v>66.55000000000003</v>
      </c>
      <c r="EI31" s="51">
        <f t="shared" si="297"/>
        <v>20</v>
      </c>
      <c r="EJ31" s="51">
        <f t="shared" si="298"/>
        <v>1331.0000000000005</v>
      </c>
      <c r="EK31" s="54"/>
      <c r="EL31" s="51">
        <f t="shared" si="299"/>
        <v>66.55000000000003</v>
      </c>
      <c r="EM31" s="51">
        <f t="shared" si="300"/>
        <v>20</v>
      </c>
      <c r="EN31" s="51">
        <f t="shared" si="301"/>
        <v>1331.0000000000005</v>
      </c>
      <c r="EO31" s="54"/>
      <c r="EP31" s="51">
        <f t="shared" si="302"/>
        <v>66.55000000000003</v>
      </c>
      <c r="EQ31" s="51">
        <f t="shared" si="303"/>
        <v>20</v>
      </c>
      <c r="ER31" s="51">
        <f t="shared" si="304"/>
        <v>1331.0000000000005</v>
      </c>
      <c r="ES31" s="54"/>
      <c r="ET31" s="51">
        <f t="shared" si="305"/>
        <v>66.55000000000003</v>
      </c>
      <c r="EU31" s="51">
        <f t="shared" si="306"/>
        <v>20</v>
      </c>
      <c r="EV31" s="51">
        <f t="shared" si="307"/>
        <v>1331.0000000000005</v>
      </c>
      <c r="EW31" s="54"/>
      <c r="EX31" s="51">
        <f t="shared" si="308"/>
        <v>66.55000000000003</v>
      </c>
      <c r="EY31" s="51">
        <f t="shared" si="309"/>
        <v>20</v>
      </c>
      <c r="EZ31" s="51">
        <f t="shared" si="310"/>
        <v>1331.0000000000005</v>
      </c>
      <c r="FA31" s="54"/>
      <c r="FB31" s="80">
        <f>DF31+DJ31+DN31+DR31+DV31+DZ31+ED31+EH31+EL31+EP31+ET31+EX31</f>
        <v>798.6000000000005</v>
      </c>
      <c r="FC31" s="80">
        <f>(DG31+DK31+DO31+DS31+DW31+EA31+EE31+EI31+EM31+EQ31+EU31+EY31)/12</f>
        <v>20</v>
      </c>
      <c r="FD31" s="80">
        <f>DH31+DL31+DP31+DT31+DX31+EB31+EF31+EJ31+EN31+ER31+EV31+EZ31</f>
        <v>15972.000000000002</v>
      </c>
      <c r="FF31" s="51">
        <f t="shared" si="311"/>
        <v>73.20500000000004</v>
      </c>
      <c r="FG31" s="51">
        <f t="shared" si="312"/>
        <v>20</v>
      </c>
      <c r="FH31" s="51">
        <f t="shared" si="313"/>
        <v>1464.1000000000008</v>
      </c>
      <c r="FI31" s="54"/>
      <c r="FJ31" s="51">
        <f t="shared" si="314"/>
        <v>73.20500000000004</v>
      </c>
      <c r="FK31" s="51">
        <f t="shared" si="315"/>
        <v>20</v>
      </c>
      <c r="FL31" s="51">
        <f t="shared" si="316"/>
        <v>1464.1000000000008</v>
      </c>
      <c r="FM31" s="54"/>
      <c r="FN31" s="51">
        <f t="shared" si="317"/>
        <v>73.20500000000004</v>
      </c>
      <c r="FO31" s="51">
        <f t="shared" si="318"/>
        <v>20</v>
      </c>
      <c r="FP31" s="51">
        <f t="shared" si="319"/>
        <v>1464.1000000000008</v>
      </c>
      <c r="FQ31" s="54"/>
      <c r="FR31" s="51">
        <f t="shared" si="320"/>
        <v>73.20500000000004</v>
      </c>
      <c r="FS31" s="51">
        <f t="shared" si="321"/>
        <v>20</v>
      </c>
      <c r="FT31" s="51">
        <f t="shared" si="322"/>
        <v>1464.1000000000008</v>
      </c>
      <c r="FU31" s="54"/>
      <c r="FV31" s="51">
        <f t="shared" si="420"/>
        <v>73.20500000000004</v>
      </c>
      <c r="FW31" s="51">
        <f t="shared" si="421"/>
        <v>20</v>
      </c>
      <c r="FX31" s="51">
        <f t="shared" si="323"/>
        <v>1464.1000000000008</v>
      </c>
      <c r="FY31" s="54"/>
      <c r="FZ31" s="51">
        <f t="shared" si="324"/>
        <v>73.20500000000004</v>
      </c>
      <c r="GA31" s="51">
        <f t="shared" si="325"/>
        <v>20</v>
      </c>
      <c r="GB31" s="51">
        <f t="shared" si="326"/>
        <v>1464.1000000000008</v>
      </c>
      <c r="GC31" s="54"/>
      <c r="GD31" s="51">
        <f>FZ31*$GD$26</f>
        <v>73.20500000000004</v>
      </c>
      <c r="GE31" s="51">
        <f>GA31*$GE$26</f>
        <v>20</v>
      </c>
      <c r="GF31" s="51">
        <f t="shared" si="329"/>
        <v>1464.1000000000008</v>
      </c>
      <c r="GG31" s="54"/>
      <c r="GH31" s="51">
        <f t="shared" si="330"/>
        <v>73.20500000000004</v>
      </c>
      <c r="GI31" s="51">
        <f t="shared" si="331"/>
        <v>20</v>
      </c>
      <c r="GJ31" s="51">
        <f t="shared" si="332"/>
        <v>1464.1000000000008</v>
      </c>
      <c r="GK31" s="54"/>
      <c r="GL31" s="51">
        <f t="shared" si="333"/>
        <v>73.20500000000004</v>
      </c>
      <c r="GM31" s="51">
        <f t="shared" si="334"/>
        <v>20</v>
      </c>
      <c r="GN31" s="51">
        <f t="shared" si="335"/>
        <v>1464.1000000000008</v>
      </c>
      <c r="GO31" s="54"/>
      <c r="GP31" s="51">
        <f t="shared" si="336"/>
        <v>73.20500000000004</v>
      </c>
      <c r="GQ31" s="51">
        <f t="shared" si="337"/>
        <v>20</v>
      </c>
      <c r="GR31" s="51">
        <f t="shared" si="338"/>
        <v>1464.1000000000008</v>
      </c>
      <c r="GS31" s="54"/>
      <c r="GT31" s="51">
        <f t="shared" si="339"/>
        <v>73.20500000000004</v>
      </c>
      <c r="GU31" s="51">
        <f t="shared" si="340"/>
        <v>20</v>
      </c>
      <c r="GV31" s="51">
        <f t="shared" si="341"/>
        <v>1464.1000000000008</v>
      </c>
      <c r="GW31" s="54"/>
      <c r="GX31" s="51">
        <f t="shared" si="342"/>
        <v>73.20500000000004</v>
      </c>
      <c r="GY31" s="51">
        <f t="shared" si="343"/>
        <v>20</v>
      </c>
      <c r="GZ31" s="51">
        <f t="shared" si="344"/>
        <v>1464.1000000000008</v>
      </c>
      <c r="HB31" s="80">
        <f>FF31+FJ31+FN31+FR31+FV31+FZ31+GD31+GH31+GL31+GP31+GT31+GX31</f>
        <v>878.4600000000005</v>
      </c>
      <c r="HC31" s="80">
        <f>(FG31+FK31+FO31+FS31+FW31+GA31+GE31+GI31+GM31+GQ31+GU31+GY31)/12</f>
        <v>20</v>
      </c>
      <c r="HD31" s="80">
        <f>FH31+FL31+FP31+FT31+FX31+GB31+GF31+GJ31+GN31+GR31+GV31+GZ31</f>
        <v>17569.200000000008</v>
      </c>
      <c r="HF31" s="51">
        <f t="shared" si="345"/>
        <v>80.52550000000005</v>
      </c>
      <c r="HG31" s="51">
        <f t="shared" si="346"/>
        <v>20</v>
      </c>
      <c r="HH31" s="51">
        <f t="shared" si="347"/>
        <v>1610.5100000000011</v>
      </c>
      <c r="HI31" s="54"/>
      <c r="HJ31" s="51">
        <f t="shared" si="422"/>
        <v>80.52550000000005</v>
      </c>
      <c r="HK31" s="51">
        <f>HG31*$HK$26</f>
        <v>20</v>
      </c>
      <c r="HL31" s="51">
        <f t="shared" si="349"/>
        <v>1610.5100000000011</v>
      </c>
      <c r="HM31" s="54"/>
      <c r="HN31" s="51">
        <f t="shared" si="350"/>
        <v>80.52550000000005</v>
      </c>
      <c r="HO31" s="51">
        <f t="shared" si="351"/>
        <v>20</v>
      </c>
      <c r="HP31" s="51">
        <f t="shared" si="352"/>
        <v>1610.5100000000011</v>
      </c>
      <c r="HQ31" s="54"/>
      <c r="HR31" s="51">
        <f t="shared" si="353"/>
        <v>80.52550000000005</v>
      </c>
      <c r="HS31" s="51">
        <f>HO31*$HS$26</f>
        <v>20</v>
      </c>
      <c r="HT31" s="51">
        <f t="shared" si="355"/>
        <v>1610.5100000000011</v>
      </c>
      <c r="HU31" s="54"/>
      <c r="HV31" s="51">
        <f t="shared" si="356"/>
        <v>80.52550000000005</v>
      </c>
      <c r="HW31" s="51">
        <f t="shared" si="357"/>
        <v>20</v>
      </c>
      <c r="HX31" s="51">
        <f t="shared" si="358"/>
        <v>1610.5100000000011</v>
      </c>
      <c r="HY31" s="54"/>
      <c r="HZ31" s="51">
        <f t="shared" si="359"/>
        <v>80.52550000000005</v>
      </c>
      <c r="IA31" s="51">
        <f t="shared" si="360"/>
        <v>20</v>
      </c>
      <c r="IB31" s="51">
        <f t="shared" si="361"/>
        <v>1610.5100000000011</v>
      </c>
      <c r="IC31" s="54"/>
      <c r="ID31" s="51">
        <f t="shared" si="362"/>
        <v>80.52550000000005</v>
      </c>
      <c r="IE31" s="51">
        <f t="shared" si="363"/>
        <v>20</v>
      </c>
      <c r="IF31" s="51">
        <f t="shared" si="364"/>
        <v>1610.5100000000011</v>
      </c>
      <c r="IG31" s="54"/>
      <c r="IH31" s="51">
        <f t="shared" si="365"/>
        <v>80.52550000000005</v>
      </c>
      <c r="II31" s="51">
        <f t="shared" si="366"/>
        <v>20</v>
      </c>
      <c r="IJ31" s="51">
        <f t="shared" si="367"/>
        <v>1610.5100000000011</v>
      </c>
      <c r="IK31" s="54"/>
      <c r="IL31" s="51">
        <f t="shared" si="368"/>
        <v>80.52550000000005</v>
      </c>
      <c r="IM31" s="51">
        <f t="shared" si="369"/>
        <v>20</v>
      </c>
      <c r="IN31" s="51">
        <f t="shared" si="370"/>
        <v>1610.5100000000011</v>
      </c>
      <c r="IO31" s="54"/>
      <c r="IP31" s="51">
        <f t="shared" si="371"/>
        <v>80.52550000000005</v>
      </c>
      <c r="IQ31" s="51">
        <f t="shared" si="372"/>
        <v>20</v>
      </c>
      <c r="IR31" s="51">
        <f t="shared" si="373"/>
        <v>1610.5100000000011</v>
      </c>
      <c r="IS31" s="54"/>
      <c r="IT31" s="51">
        <f t="shared" si="374"/>
        <v>80.52550000000005</v>
      </c>
      <c r="IU31" s="51">
        <f t="shared" si="375"/>
        <v>20</v>
      </c>
      <c r="IV31" s="51">
        <f t="shared" si="376"/>
        <v>1610.5100000000011</v>
      </c>
      <c r="IW31" s="54"/>
      <c r="IX31" s="51">
        <f t="shared" si="377"/>
        <v>80.52550000000005</v>
      </c>
      <c r="IY31" s="51">
        <f t="shared" si="378"/>
        <v>20</v>
      </c>
      <c r="IZ31" s="51">
        <f t="shared" si="379"/>
        <v>1610.5100000000011</v>
      </c>
      <c r="JB31" s="80">
        <f>HF31+HJ31+HN31+HR31+HV31+HZ31+ID31+IH31+IL31+IP31+IT31+IX31</f>
        <v>966.3060000000008</v>
      </c>
      <c r="JC31" s="80">
        <f>(HG31+HK31+HO31+HS31+HW31+IA31+IE31+II31+IM31+IQ31+IU31+IY31)/12</f>
        <v>20</v>
      </c>
      <c r="JD31" s="80">
        <f>HH31+HL31+HP31+HT31+HX31+IB31+IF31+IJ31+IN31+IR31+IV31+IZ31</f>
        <v>19326.120000000017</v>
      </c>
      <c r="JF31" s="51">
        <f t="shared" si="380"/>
        <v>88.57805000000006</v>
      </c>
      <c r="JG31" s="51">
        <f t="shared" si="381"/>
        <v>20</v>
      </c>
      <c r="JH31" s="51">
        <f t="shared" si="382"/>
        <v>1771.5610000000013</v>
      </c>
      <c r="JI31" s="54"/>
      <c r="JJ31" s="51">
        <f t="shared" si="383"/>
        <v>88.57805000000006</v>
      </c>
      <c r="JK31" s="51">
        <f t="shared" si="384"/>
        <v>20</v>
      </c>
      <c r="JL31" s="51">
        <f t="shared" si="385"/>
        <v>1771.5610000000013</v>
      </c>
      <c r="JM31" s="54"/>
      <c r="JN31" s="51">
        <f t="shared" si="386"/>
        <v>88.57805000000006</v>
      </c>
      <c r="JO31" s="51">
        <f t="shared" si="387"/>
        <v>20</v>
      </c>
      <c r="JP31" s="51">
        <f t="shared" si="388"/>
        <v>1771.5610000000013</v>
      </c>
      <c r="JQ31" s="54"/>
      <c r="JR31" s="51">
        <f t="shared" si="389"/>
        <v>88.57805000000006</v>
      </c>
      <c r="JS31" s="51">
        <f t="shared" si="390"/>
        <v>20</v>
      </c>
      <c r="JT31" s="51">
        <f t="shared" si="391"/>
        <v>1771.5610000000013</v>
      </c>
      <c r="JU31" s="54"/>
      <c r="JV31" s="51">
        <f t="shared" si="392"/>
        <v>88.57805000000006</v>
      </c>
      <c r="JW31" s="51">
        <f t="shared" si="393"/>
        <v>20</v>
      </c>
      <c r="JX31" s="51">
        <f t="shared" si="394"/>
        <v>1771.5610000000013</v>
      </c>
      <c r="JY31" s="54"/>
      <c r="JZ31" s="51">
        <f t="shared" si="395"/>
        <v>88.57805000000006</v>
      </c>
      <c r="KA31" s="51">
        <f t="shared" si="396"/>
        <v>20</v>
      </c>
      <c r="KB31" s="51">
        <f t="shared" si="397"/>
        <v>1771.5610000000013</v>
      </c>
      <c r="KC31" s="54"/>
      <c r="KD31" s="51">
        <f t="shared" ref="KD31" si="424">JZ31*$KD$26</f>
        <v>88.57805000000006</v>
      </c>
      <c r="KE31" s="51">
        <f t="shared" si="398"/>
        <v>20</v>
      </c>
      <c r="KF31" s="51">
        <f t="shared" si="399"/>
        <v>1771.5610000000013</v>
      </c>
      <c r="KG31" s="54"/>
      <c r="KH31" s="51">
        <f t="shared" si="400"/>
        <v>88.57805000000006</v>
      </c>
      <c r="KI31" s="51">
        <f t="shared" si="423"/>
        <v>20</v>
      </c>
      <c r="KJ31" s="51">
        <f t="shared" si="401"/>
        <v>1771.5610000000013</v>
      </c>
      <c r="KK31" s="54"/>
      <c r="KL31" s="51">
        <f t="shared" si="402"/>
        <v>88.57805000000006</v>
      </c>
      <c r="KM31" s="51">
        <f>KI31*$KM$26</f>
        <v>20</v>
      </c>
      <c r="KN31" s="51">
        <f t="shared" si="404"/>
        <v>1771.5610000000013</v>
      </c>
      <c r="KO31" s="54"/>
      <c r="KP31" s="51">
        <f t="shared" si="405"/>
        <v>88.57805000000006</v>
      </c>
      <c r="KQ31" s="51">
        <f>KM31*$KQ$26</f>
        <v>20</v>
      </c>
      <c r="KR31" s="51">
        <f t="shared" si="406"/>
        <v>1771.5610000000013</v>
      </c>
      <c r="KS31" s="54"/>
      <c r="KT31" s="51">
        <f t="shared" si="407"/>
        <v>88.57805000000006</v>
      </c>
      <c r="KU31" s="51">
        <f t="shared" si="408"/>
        <v>20</v>
      </c>
      <c r="KV31" s="51">
        <f t="shared" si="409"/>
        <v>1771.5610000000013</v>
      </c>
      <c r="KW31" s="54"/>
      <c r="KX31" s="51">
        <f t="shared" si="410"/>
        <v>88.57805000000006</v>
      </c>
      <c r="KY31" s="51">
        <f t="shared" si="411"/>
        <v>20</v>
      </c>
      <c r="KZ31" s="51">
        <f t="shared" si="412"/>
        <v>1771.5610000000013</v>
      </c>
      <c r="LB31" s="80">
        <f>JF31+JJ31+JN31+JR31+JV31+JZ31+KD31+KH31+KL31+KP31+KT31+KX31</f>
        <v>1062.9366000000007</v>
      </c>
      <c r="LC31" s="80">
        <f>(JG31+JK31+JO31+JS31+JW31+KA31+KE31+KI31+KM31+KQ31+KU31+KY31)/12</f>
        <v>20</v>
      </c>
      <c r="LD31" s="80">
        <f>JH31+JL31+JP31+JT31+JX31+KB31+KF31+KJ31+KN31+KR31+KV31+KZ31</f>
        <v>21258.732000000015</v>
      </c>
    </row>
    <row r="32" ht="18.75" customHeight="1" spans="2:316" x14ac:dyDescent="0.25">
      <c r="B32" s="5" t="s">
        <v>69</v>
      </c>
      <c r="C32" s="29"/>
      <c r="D32" s="29">
        <f>'A.I Revenue Streams - P1'!E32</f>
        <v>0</v>
      </c>
      <c r="E32" s="30"/>
      <c r="F32" s="51">
        <f>'A.I Revenue Streams - P2'!G32*25</f>
        <v>25</v>
      </c>
      <c r="G32" s="51">
        <f>'A.I Revenue Streams - P2'!I32</f>
        <v>20</v>
      </c>
      <c r="H32" s="51">
        <f>F32*G32</f>
        <v>500</v>
      </c>
      <c r="I32" s="54"/>
      <c r="J32" s="51">
        <f>F32*$J$26</f>
        <v>27.500000000000004</v>
      </c>
      <c r="K32" s="51">
        <f>G32*$K$26</f>
        <v>20</v>
      </c>
      <c r="L32" s="51">
        <f t="shared" si="413"/>
        <v>550.0000000000001</v>
      </c>
      <c r="M32" s="54"/>
      <c r="N32" s="51">
        <f>J32*$N$26</f>
        <v>27.500000000000004</v>
      </c>
      <c r="O32" s="51">
        <f>K32*$O$26</f>
        <v>20</v>
      </c>
      <c r="P32" s="51">
        <f t="shared" si="234"/>
        <v>550.0000000000001</v>
      </c>
      <c r="Q32" s="54"/>
      <c r="R32" s="51">
        <f>N32*$R$26</f>
        <v>27.500000000000004</v>
      </c>
      <c r="S32" s="51">
        <f>O32*$S$26</f>
        <v>20</v>
      </c>
      <c r="T32" s="51">
        <f t="shared" si="235"/>
        <v>550.0000000000001</v>
      </c>
      <c r="U32" s="54"/>
      <c r="V32" s="51">
        <f>R32*$V$26</f>
        <v>27.500000000000004</v>
      </c>
      <c r="W32" s="51">
        <f>S32*$W$26</f>
        <v>20</v>
      </c>
      <c r="X32" s="51">
        <f t="shared" si="236"/>
        <v>550.0000000000001</v>
      </c>
      <c r="Y32" s="54"/>
      <c r="Z32" s="51">
        <f>V32*$Z$26</f>
        <v>27.500000000000004</v>
      </c>
      <c r="AA32" s="51">
        <f>W32*$AA$26</f>
        <v>20</v>
      </c>
      <c r="AB32" s="51">
        <f t="shared" si="237"/>
        <v>550.0000000000001</v>
      </c>
      <c r="AC32" s="54"/>
      <c r="AD32" s="51">
        <f>Z32*$AD$26</f>
        <v>27.500000000000004</v>
      </c>
      <c r="AE32" s="51">
        <f>AA32*$AE$26</f>
        <v>20</v>
      </c>
      <c r="AF32" s="51">
        <f t="shared" si="238"/>
        <v>550.0000000000001</v>
      </c>
      <c r="AG32" s="54"/>
      <c r="AH32" s="51">
        <f>AD32*$AH$26</f>
        <v>27.500000000000004</v>
      </c>
      <c r="AI32" s="51">
        <f>AE32*$AI$26</f>
        <v>20</v>
      </c>
      <c r="AJ32" s="51">
        <f t="shared" si="239"/>
        <v>550.0000000000001</v>
      </c>
      <c r="AK32" s="54"/>
      <c r="AL32" s="51">
        <f>AH32*$AL$26</f>
        <v>27.500000000000004</v>
      </c>
      <c r="AM32" s="51">
        <f>AI32*$AM$26</f>
        <v>20</v>
      </c>
      <c r="AN32" s="51">
        <f t="shared" si="240"/>
        <v>550.0000000000001</v>
      </c>
      <c r="AO32" s="54"/>
      <c r="AP32" s="51">
        <f t="shared" ref="AP32" si="425">AL32*$AP$26</f>
        <v>27.500000000000004</v>
      </c>
      <c r="AQ32" s="51">
        <f t="shared" ref="AQ32" si="426">AM32*$AQ$26</f>
        <v>20</v>
      </c>
      <c r="AR32" s="51">
        <f t="shared" si="414"/>
        <v>550.0000000000001</v>
      </c>
      <c r="AS32" s="54"/>
      <c r="AT32" s="51">
        <f>AP32*$AT$26</f>
        <v>27.500000000000004</v>
      </c>
      <c r="AU32" s="51">
        <f t="shared" si="416"/>
        <v>20</v>
      </c>
      <c r="AV32" s="51">
        <f t="shared" si="417"/>
        <v>550.0000000000001</v>
      </c>
      <c r="AW32" s="54"/>
      <c r="AX32" s="51">
        <f t="shared" si="418"/>
        <v>27.500000000000004</v>
      </c>
      <c r="AY32" s="51">
        <f>AU32*$AY$26</f>
        <v>20</v>
      </c>
      <c r="AZ32" s="51">
        <f t="shared" si="419"/>
        <v>550.0000000000001</v>
      </c>
      <c r="BA32" s="54"/>
      <c r="BB32" s="85">
        <f>SUMIF($F$6:$AZ$6,$BB$6,F32:AZ32)</f>
        <v>327.5</v>
      </c>
      <c r="BC32" s="85">
        <f>SUMIF($F$6:$AZ$6,$BC$6,F32:AZ32)/12</f>
        <v>20</v>
      </c>
      <c r="BD32" s="80">
        <f>H32+L32+P32+T32+X32+AB32+AF32+AJ32+AN32</f>
        <v>4900</v>
      </c>
      <c r="BE32" t="b">
        <f>(BB32*BC32)=BD32</f>
        <v>0</v>
      </c>
      <c r="BF32" s="51">
        <f>AX32*$BF$26</f>
        <v>30.250000000000007</v>
      </c>
      <c r="BG32" s="51">
        <f>AY32*$BG$26</f>
        <v>20</v>
      </c>
      <c r="BH32" s="51">
        <f t="shared" si="241"/>
        <v>605.0000000000001</v>
      </c>
      <c r="BI32" s="54"/>
      <c r="BJ32" s="51">
        <f t="shared" si="242"/>
        <v>30.250000000000007</v>
      </c>
      <c r="BK32" s="51">
        <f>BG32*$BK$26</f>
        <v>20</v>
      </c>
      <c r="BL32" s="51">
        <f t="shared" si="244"/>
        <v>605.0000000000001</v>
      </c>
      <c r="BM32" s="54"/>
      <c r="BN32" s="51">
        <f t="shared" si="245"/>
        <v>30.250000000000007</v>
      </c>
      <c r="BO32" s="51">
        <f t="shared" si="246"/>
        <v>20</v>
      </c>
      <c r="BP32" s="51">
        <f t="shared" si="247"/>
        <v>605.0000000000001</v>
      </c>
      <c r="BQ32" s="54"/>
      <c r="BR32" s="51">
        <f t="shared" si="248"/>
        <v>30.250000000000007</v>
      </c>
      <c r="BS32" s="51">
        <f t="shared" si="249"/>
        <v>20</v>
      </c>
      <c r="BT32" s="51">
        <f t="shared" si="250"/>
        <v>605.0000000000001</v>
      </c>
      <c r="BU32" s="54"/>
      <c r="BV32" s="51">
        <f t="shared" si="251"/>
        <v>30.250000000000007</v>
      </c>
      <c r="BW32" s="51">
        <f t="shared" si="252"/>
        <v>20</v>
      </c>
      <c r="BX32" s="51">
        <f t="shared" si="253"/>
        <v>605.0000000000001</v>
      </c>
      <c r="BY32" s="54"/>
      <c r="BZ32" s="51">
        <f t="shared" si="254"/>
        <v>30.250000000000007</v>
      </c>
      <c r="CA32" s="51">
        <f t="shared" si="255"/>
        <v>20</v>
      </c>
      <c r="CB32" s="51">
        <f t="shared" si="256"/>
        <v>605.0000000000001</v>
      </c>
      <c r="CC32" s="54"/>
      <c r="CD32" s="51">
        <f t="shared" si="257"/>
        <v>30.250000000000007</v>
      </c>
      <c r="CE32" s="51">
        <f t="shared" si="258"/>
        <v>20</v>
      </c>
      <c r="CF32" s="51">
        <f t="shared" si="259"/>
        <v>605.0000000000001</v>
      </c>
      <c r="CG32" s="54"/>
      <c r="CH32" s="51">
        <f t="shared" si="260"/>
        <v>30.250000000000007</v>
      </c>
      <c r="CI32" s="51">
        <f t="shared" si="261"/>
        <v>20</v>
      </c>
      <c r="CJ32" s="51">
        <f t="shared" si="262"/>
        <v>605.0000000000001</v>
      </c>
      <c r="CK32" s="54"/>
      <c r="CL32" s="51">
        <f t="shared" si="263"/>
        <v>30.250000000000007</v>
      </c>
      <c r="CM32" s="51">
        <f t="shared" si="264"/>
        <v>20</v>
      </c>
      <c r="CN32" s="51">
        <f t="shared" si="265"/>
        <v>605.0000000000001</v>
      </c>
      <c r="CO32" s="54"/>
      <c r="CP32" s="51">
        <f t="shared" si="266"/>
        <v>30.250000000000007</v>
      </c>
      <c r="CQ32" s="51">
        <f t="shared" si="267"/>
        <v>20</v>
      </c>
      <c r="CR32" s="51">
        <f t="shared" si="268"/>
        <v>605.0000000000001</v>
      </c>
      <c r="CS32" s="54"/>
      <c r="CT32" s="51">
        <f t="shared" si="269"/>
        <v>30.250000000000007</v>
      </c>
      <c r="CU32" s="51">
        <f t="shared" si="270"/>
        <v>20</v>
      </c>
      <c r="CV32" s="51">
        <f t="shared" si="271"/>
        <v>605.0000000000001</v>
      </c>
      <c r="CW32" s="54"/>
      <c r="CX32" s="51">
        <f t="shared" si="272"/>
        <v>30.250000000000007</v>
      </c>
      <c r="CY32" s="51">
        <f t="shared" si="273"/>
        <v>20</v>
      </c>
      <c r="CZ32" s="51">
        <f t="shared" si="274"/>
        <v>605.0000000000001</v>
      </c>
      <c r="DA32" s="54"/>
      <c r="DB32" s="80">
        <f>BF32+BJ32+BN32+BR32+BV32+BZ32+CD32+CH32+CL32+CP32+CT32+CX32</f>
        <v>363.00000000000006</v>
      </c>
      <c r="DC32" s="80">
        <f>(BG32+BK32+BO32+BS32+BW32+CA32+CE32+CI32+CM32+CQ32+CU32+CY32)/12</f>
        <v>20</v>
      </c>
      <c r="DD32" s="80">
        <f>BH32+BL32+BP32+BT32+BX32+CB32+CF32+CJ32+CN32+CR32+CV32+CZ32</f>
        <v>7260.000000000001</v>
      </c>
      <c r="DF32" s="51">
        <f t="shared" si="275"/>
        <v>33.27500000000001</v>
      </c>
      <c r="DG32" s="51">
        <f t="shared" si="276"/>
        <v>20</v>
      </c>
      <c r="DH32" s="51">
        <f t="shared" si="277"/>
        <v>665.5000000000002</v>
      </c>
      <c r="DI32" s="54"/>
      <c r="DJ32" s="51">
        <f t="shared" si="278"/>
        <v>33.27500000000001</v>
      </c>
      <c r="DK32" s="51">
        <f t="shared" si="279"/>
        <v>20</v>
      </c>
      <c r="DL32" s="51">
        <f t="shared" si="280"/>
        <v>665.5000000000002</v>
      </c>
      <c r="DM32" s="54"/>
      <c r="DN32" s="51">
        <f t="shared" si="281"/>
        <v>33.27500000000001</v>
      </c>
      <c r="DO32" s="51">
        <f t="shared" si="282"/>
        <v>20</v>
      </c>
      <c r="DP32" s="51">
        <f t="shared" si="283"/>
        <v>665.5000000000002</v>
      </c>
      <c r="DQ32" s="54"/>
      <c r="DR32" s="51">
        <f t="shared" si="284"/>
        <v>33.27500000000001</v>
      </c>
      <c r="DS32" s="51">
        <f t="shared" si="285"/>
        <v>20</v>
      </c>
      <c r="DT32" s="51">
        <f t="shared" si="286"/>
        <v>665.5000000000002</v>
      </c>
      <c r="DU32" s="54"/>
      <c r="DV32" s="51">
        <f t="shared" si="287"/>
        <v>33.27500000000001</v>
      </c>
      <c r="DW32" s="51">
        <f t="shared" si="288"/>
        <v>20</v>
      </c>
      <c r="DX32" s="51">
        <f t="shared" si="289"/>
        <v>665.5000000000002</v>
      </c>
      <c r="DY32" s="54"/>
      <c r="DZ32" s="51">
        <f t="shared" si="290"/>
        <v>33.27500000000001</v>
      </c>
      <c r="EA32" s="51">
        <f t="shared" si="291"/>
        <v>20</v>
      </c>
      <c r="EB32" s="51">
        <f t="shared" si="292"/>
        <v>665.5000000000002</v>
      </c>
      <c r="EC32" s="54"/>
      <c r="ED32" s="51">
        <f t="shared" si="293"/>
        <v>33.27500000000001</v>
      </c>
      <c r="EE32" s="51">
        <f t="shared" si="294"/>
        <v>20</v>
      </c>
      <c r="EF32" s="51">
        <f t="shared" si="295"/>
        <v>665.5000000000002</v>
      </c>
      <c r="EG32" s="54"/>
      <c r="EH32" s="51">
        <f t="shared" si="296"/>
        <v>33.27500000000001</v>
      </c>
      <c r="EI32" s="51">
        <f t="shared" si="297"/>
        <v>20</v>
      </c>
      <c r="EJ32" s="51">
        <f t="shared" si="298"/>
        <v>665.5000000000002</v>
      </c>
      <c r="EK32" s="54"/>
      <c r="EL32" s="51">
        <f t="shared" si="299"/>
        <v>33.27500000000001</v>
      </c>
      <c r="EM32" s="51">
        <f t="shared" si="300"/>
        <v>20</v>
      </c>
      <c r="EN32" s="51">
        <f t="shared" si="301"/>
        <v>665.5000000000002</v>
      </c>
      <c r="EO32" s="54"/>
      <c r="EP32" s="51">
        <f t="shared" si="302"/>
        <v>33.27500000000001</v>
      </c>
      <c r="EQ32" s="51">
        <f t="shared" si="303"/>
        <v>20</v>
      </c>
      <c r="ER32" s="51">
        <f t="shared" si="304"/>
        <v>665.5000000000002</v>
      </c>
      <c r="ES32" s="54"/>
      <c r="ET32" s="51">
        <f t="shared" si="305"/>
        <v>33.27500000000001</v>
      </c>
      <c r="EU32" s="51">
        <f t="shared" si="306"/>
        <v>20</v>
      </c>
      <c r="EV32" s="51">
        <f t="shared" si="307"/>
        <v>665.5000000000002</v>
      </c>
      <c r="EW32" s="54"/>
      <c r="EX32" s="51">
        <f t="shared" si="308"/>
        <v>33.27500000000001</v>
      </c>
      <c r="EY32" s="51">
        <f t="shared" si="309"/>
        <v>20</v>
      </c>
      <c r="EZ32" s="51">
        <f t="shared" si="310"/>
        <v>665.5000000000002</v>
      </c>
      <c r="FA32" s="54"/>
      <c r="FB32" s="80">
        <f>DF32+DJ32+DN32+DR32+DV32+DZ32+ED32+EH32+EL32+EP32+ET32+EX32</f>
        <v>399.30000000000024</v>
      </c>
      <c r="FC32" s="80">
        <f>(DG32+DK32+DO32+DS32+DW32+EA32+EE32+EI32+EM32+EQ32+EU32+EY32)/12</f>
        <v>20</v>
      </c>
      <c r="FD32" s="80">
        <f>DH32+DL32+DP32+DT32+DX32+EB32+EF32+EJ32+EN32+ER32+EV32+EZ32</f>
        <v>7986.000000000001</v>
      </c>
      <c r="FF32" s="51">
        <f t="shared" si="311"/>
        <v>36.60250000000002</v>
      </c>
      <c r="FG32" s="51">
        <f t="shared" si="312"/>
        <v>20</v>
      </c>
      <c r="FH32" s="51">
        <f t="shared" si="313"/>
        <v>732.0500000000004</v>
      </c>
      <c r="FI32" s="54"/>
      <c r="FJ32" s="51">
        <f t="shared" si="314"/>
        <v>36.60250000000002</v>
      </c>
      <c r="FK32" s="51">
        <f t="shared" si="315"/>
        <v>20</v>
      </c>
      <c r="FL32" s="51">
        <f t="shared" si="316"/>
        <v>732.0500000000004</v>
      </c>
      <c r="FM32" s="54"/>
      <c r="FN32" s="51">
        <f t="shared" si="317"/>
        <v>36.60250000000002</v>
      </c>
      <c r="FO32" s="51">
        <f t="shared" si="318"/>
        <v>20</v>
      </c>
      <c r="FP32" s="51">
        <f t="shared" si="319"/>
        <v>732.0500000000004</v>
      </c>
      <c r="FQ32" s="54"/>
      <c r="FR32" s="51">
        <f t="shared" si="320"/>
        <v>36.60250000000002</v>
      </c>
      <c r="FS32" s="51">
        <f t="shared" si="321"/>
        <v>20</v>
      </c>
      <c r="FT32" s="51">
        <f t="shared" si="322"/>
        <v>732.0500000000004</v>
      </c>
      <c r="FU32" s="54"/>
      <c r="FV32" s="51">
        <f t="shared" si="420"/>
        <v>36.60250000000002</v>
      </c>
      <c r="FW32" s="51">
        <f t="shared" si="421"/>
        <v>20</v>
      </c>
      <c r="FX32" s="51">
        <f t="shared" si="323"/>
        <v>732.0500000000004</v>
      </c>
      <c r="FY32" s="54"/>
      <c r="FZ32" s="51">
        <f t="shared" si="324"/>
        <v>36.60250000000002</v>
      </c>
      <c r="GA32" s="51">
        <f t="shared" si="325"/>
        <v>20</v>
      </c>
      <c r="GB32" s="51">
        <f t="shared" si="326"/>
        <v>732.0500000000004</v>
      </c>
      <c r="GC32" s="54"/>
      <c r="GD32" s="51">
        <f>FZ32*$GD$26</f>
        <v>36.60250000000002</v>
      </c>
      <c r="GE32" s="51">
        <f>GA32*$GE$26</f>
        <v>20</v>
      </c>
      <c r="GF32" s="51">
        <f t="shared" si="329"/>
        <v>732.0500000000004</v>
      </c>
      <c r="GG32" s="54"/>
      <c r="GH32" s="51">
        <f t="shared" si="330"/>
        <v>36.60250000000002</v>
      </c>
      <c r="GI32" s="51">
        <f t="shared" si="331"/>
        <v>20</v>
      </c>
      <c r="GJ32" s="51">
        <f t="shared" si="332"/>
        <v>732.0500000000004</v>
      </c>
      <c r="GK32" s="54"/>
      <c r="GL32" s="51">
        <f t="shared" si="333"/>
        <v>36.60250000000002</v>
      </c>
      <c r="GM32" s="51">
        <f t="shared" si="334"/>
        <v>20</v>
      </c>
      <c r="GN32" s="51">
        <f t="shared" si="335"/>
        <v>732.0500000000004</v>
      </c>
      <c r="GO32" s="54"/>
      <c r="GP32" s="51">
        <f t="shared" si="336"/>
        <v>36.60250000000002</v>
      </c>
      <c r="GQ32" s="51">
        <f t="shared" si="337"/>
        <v>20</v>
      </c>
      <c r="GR32" s="51">
        <f t="shared" si="338"/>
        <v>732.0500000000004</v>
      </c>
      <c r="GS32" s="54"/>
      <c r="GT32" s="51">
        <f t="shared" si="339"/>
        <v>36.60250000000002</v>
      </c>
      <c r="GU32" s="51">
        <f t="shared" si="340"/>
        <v>20</v>
      </c>
      <c r="GV32" s="51">
        <f t="shared" si="341"/>
        <v>732.0500000000004</v>
      </c>
      <c r="GW32" s="54"/>
      <c r="GX32" s="51">
        <f t="shared" si="342"/>
        <v>36.60250000000002</v>
      </c>
      <c r="GY32" s="51">
        <f t="shared" si="343"/>
        <v>20</v>
      </c>
      <c r="GZ32" s="51">
        <f t="shared" si="344"/>
        <v>732.0500000000004</v>
      </c>
      <c r="HB32" s="80">
        <f>FF32+FJ32+FN32+FR32+FV32+FZ32+GD32+GH32+GL32+GP32+GT32+GX32</f>
        <v>439.23000000000025</v>
      </c>
      <c r="HC32" s="80">
        <f>(FG32+FK32+FO32+FS32+FW32+GA32+GE32+GI32+GM32+GQ32+GU32+GY32)/12</f>
        <v>20</v>
      </c>
      <c r="HD32" s="80">
        <f>FH32+FL32+FP32+FT32+FX32+GB32+GF32+GJ32+GN32+GR32+GV32+GZ32</f>
        <v>8784.600000000004</v>
      </c>
      <c r="HF32" s="51">
        <f t="shared" si="345"/>
        <v>40.262750000000025</v>
      </c>
      <c r="HG32" s="51">
        <f t="shared" si="346"/>
        <v>20</v>
      </c>
      <c r="HH32" s="51">
        <f t="shared" si="347"/>
        <v>805.2550000000006</v>
      </c>
      <c r="HI32" s="54"/>
      <c r="HJ32" s="51">
        <f t="shared" si="422"/>
        <v>40.262750000000025</v>
      </c>
      <c r="HK32" s="51">
        <f>HG32*$HK$26</f>
        <v>20</v>
      </c>
      <c r="HL32" s="51">
        <f t="shared" si="349"/>
        <v>805.2550000000006</v>
      </c>
      <c r="HM32" s="54"/>
      <c r="HN32" s="51">
        <f t="shared" si="350"/>
        <v>40.262750000000025</v>
      </c>
      <c r="HO32" s="51">
        <f t="shared" si="351"/>
        <v>20</v>
      </c>
      <c r="HP32" s="51">
        <f t="shared" si="352"/>
        <v>805.2550000000006</v>
      </c>
      <c r="HQ32" s="54"/>
      <c r="HR32" s="51">
        <f t="shared" si="353"/>
        <v>40.262750000000025</v>
      </c>
      <c r="HS32" s="51">
        <f>HO32*$HS$26</f>
        <v>20</v>
      </c>
      <c r="HT32" s="51">
        <f t="shared" si="355"/>
        <v>805.2550000000006</v>
      </c>
      <c r="HU32" s="54"/>
      <c r="HV32" s="51">
        <f t="shared" si="356"/>
        <v>40.262750000000025</v>
      </c>
      <c r="HW32" s="51">
        <f t="shared" si="357"/>
        <v>20</v>
      </c>
      <c r="HX32" s="51">
        <f t="shared" si="358"/>
        <v>805.2550000000006</v>
      </c>
      <c r="HY32" s="54"/>
      <c r="HZ32" s="51">
        <f t="shared" si="359"/>
        <v>40.262750000000025</v>
      </c>
      <c r="IA32" s="51">
        <f t="shared" si="360"/>
        <v>20</v>
      </c>
      <c r="IB32" s="51">
        <f t="shared" si="361"/>
        <v>805.2550000000006</v>
      </c>
      <c r="IC32" s="54"/>
      <c r="ID32" s="51">
        <f t="shared" si="362"/>
        <v>40.262750000000025</v>
      </c>
      <c r="IE32" s="51">
        <f t="shared" si="363"/>
        <v>20</v>
      </c>
      <c r="IF32" s="51">
        <f t="shared" si="364"/>
        <v>805.2550000000006</v>
      </c>
      <c r="IG32" s="54"/>
      <c r="IH32" s="51">
        <f t="shared" si="365"/>
        <v>40.262750000000025</v>
      </c>
      <c r="II32" s="51">
        <f t="shared" si="366"/>
        <v>20</v>
      </c>
      <c r="IJ32" s="51">
        <f t="shared" si="367"/>
        <v>805.2550000000006</v>
      </c>
      <c r="IK32" s="54"/>
      <c r="IL32" s="51">
        <f t="shared" si="368"/>
        <v>40.262750000000025</v>
      </c>
      <c r="IM32" s="51">
        <f t="shared" si="369"/>
        <v>20</v>
      </c>
      <c r="IN32" s="51">
        <f t="shared" si="370"/>
        <v>805.2550000000006</v>
      </c>
      <c r="IO32" s="54"/>
      <c r="IP32" s="51">
        <f t="shared" si="371"/>
        <v>40.262750000000025</v>
      </c>
      <c r="IQ32" s="51">
        <f t="shared" si="372"/>
        <v>20</v>
      </c>
      <c r="IR32" s="51">
        <f t="shared" si="373"/>
        <v>805.2550000000006</v>
      </c>
      <c r="IS32" s="54"/>
      <c r="IT32" s="51">
        <f t="shared" si="374"/>
        <v>40.262750000000025</v>
      </c>
      <c r="IU32" s="51">
        <f t="shared" si="375"/>
        <v>20</v>
      </c>
      <c r="IV32" s="51">
        <f t="shared" si="376"/>
        <v>805.2550000000006</v>
      </c>
      <c r="IW32" s="54"/>
      <c r="IX32" s="51">
        <f t="shared" si="377"/>
        <v>40.262750000000025</v>
      </c>
      <c r="IY32" s="51">
        <f t="shared" si="378"/>
        <v>20</v>
      </c>
      <c r="IZ32" s="51">
        <f t="shared" si="379"/>
        <v>805.2550000000006</v>
      </c>
      <c r="JB32" s="80">
        <f>HF32+HJ32+HN32+HR32+HV32+HZ32+ID32+IH32+IL32+IP32+IT32+IX32</f>
        <v>483.1530000000004</v>
      </c>
      <c r="JC32" s="80">
        <f>(HG32+HK32+HO32+HS32+HW32+IA32+IE32+II32+IM32+IQ32+IU32+IY32)/12</f>
        <v>20</v>
      </c>
      <c r="JD32" s="80">
        <f>HH32+HL32+HP32+HT32+HX32+IB32+IF32+IJ32+IN32+IR32+IV32+IZ32</f>
        <v>9663.060000000009</v>
      </c>
      <c r="JF32" s="51">
        <f t="shared" si="380"/>
        <v>44.28902500000003</v>
      </c>
      <c r="JG32" s="51">
        <f t="shared" si="381"/>
        <v>20</v>
      </c>
      <c r="JH32" s="51">
        <f t="shared" si="382"/>
        <v>885.7805000000006</v>
      </c>
      <c r="JI32" s="54"/>
      <c r="JJ32" s="51">
        <f t="shared" si="383"/>
        <v>44.28902500000003</v>
      </c>
      <c r="JK32" s="51">
        <f t="shared" si="384"/>
        <v>20</v>
      </c>
      <c r="JL32" s="51">
        <f t="shared" si="385"/>
        <v>885.7805000000006</v>
      </c>
      <c r="JM32" s="54"/>
      <c r="JN32" s="51">
        <f t="shared" si="386"/>
        <v>44.28902500000003</v>
      </c>
      <c r="JO32" s="51">
        <f t="shared" si="387"/>
        <v>20</v>
      </c>
      <c r="JP32" s="51">
        <f t="shared" si="388"/>
        <v>885.7805000000006</v>
      </c>
      <c r="JQ32" s="54"/>
      <c r="JR32" s="51">
        <f t="shared" si="389"/>
        <v>44.28902500000003</v>
      </c>
      <c r="JS32" s="51">
        <f t="shared" si="390"/>
        <v>20</v>
      </c>
      <c r="JT32" s="51">
        <f t="shared" si="391"/>
        <v>885.7805000000006</v>
      </c>
      <c r="JU32" s="54"/>
      <c r="JV32" s="51">
        <f t="shared" si="392"/>
        <v>44.28902500000003</v>
      </c>
      <c r="JW32" s="51">
        <f t="shared" si="393"/>
        <v>20</v>
      </c>
      <c r="JX32" s="51">
        <f t="shared" si="394"/>
        <v>885.7805000000006</v>
      </c>
      <c r="JY32" s="54"/>
      <c r="JZ32" s="51">
        <f t="shared" si="395"/>
        <v>44.28902500000003</v>
      </c>
      <c r="KA32" s="51">
        <f t="shared" si="396"/>
        <v>20</v>
      </c>
      <c r="KB32" s="51">
        <f t="shared" si="397"/>
        <v>885.7805000000006</v>
      </c>
      <c r="KC32" s="54"/>
      <c r="KD32" s="51">
        <f>JZ32*$KD$26</f>
        <v>44.28902500000003</v>
      </c>
      <c r="KE32" s="51">
        <f t="shared" si="398"/>
        <v>20</v>
      </c>
      <c r="KF32" s="51">
        <f t="shared" si="399"/>
        <v>885.7805000000006</v>
      </c>
      <c r="KG32" s="54"/>
      <c r="KH32" s="51">
        <f t="shared" si="400"/>
        <v>44.28902500000003</v>
      </c>
      <c r="KI32" s="51">
        <f t="shared" si="423"/>
        <v>20</v>
      </c>
      <c r="KJ32" s="51">
        <f t="shared" si="401"/>
        <v>885.7805000000006</v>
      </c>
      <c r="KK32" s="54"/>
      <c r="KL32" s="51">
        <f t="shared" si="402"/>
        <v>44.28902500000003</v>
      </c>
      <c r="KM32" s="51">
        <f t="shared" ref="KM32" si="427">KI32*$KM$26</f>
        <v>20</v>
      </c>
      <c r="KN32" s="51">
        <f t="shared" si="404"/>
        <v>885.7805000000006</v>
      </c>
      <c r="KO32" s="54"/>
      <c r="KP32" s="51">
        <f t="shared" si="405"/>
        <v>44.28902500000003</v>
      </c>
      <c r="KQ32" s="51">
        <f>KM32*$KQ$26</f>
        <v>20</v>
      </c>
      <c r="KR32" s="51">
        <f t="shared" si="406"/>
        <v>885.7805000000006</v>
      </c>
      <c r="KS32" s="54"/>
      <c r="KT32" s="51">
        <f t="shared" si="407"/>
        <v>44.28902500000003</v>
      </c>
      <c r="KU32" s="51">
        <f t="shared" si="408"/>
        <v>20</v>
      </c>
      <c r="KV32" s="51">
        <f t="shared" si="409"/>
        <v>885.7805000000006</v>
      </c>
      <c r="KW32" s="54"/>
      <c r="KX32" s="51">
        <f t="shared" si="410"/>
        <v>44.28902500000003</v>
      </c>
      <c r="KY32" s="51">
        <f t="shared" si="411"/>
        <v>20</v>
      </c>
      <c r="KZ32" s="51">
        <f t="shared" si="412"/>
        <v>885.7805000000006</v>
      </c>
      <c r="LB32" s="80">
        <f>JF32+JJ32+JN32+JR32+JV32+JZ32+KD32+KH32+KL32+KP32+KT32+KX32</f>
        <v>531.4683000000003</v>
      </c>
      <c r="LC32" s="80">
        <f>(JG32+JK32+JO32+JS32+JW32+KA32+KE32+KI32+KM32+KQ32+KU32+KY32)/12</f>
        <v>20</v>
      </c>
      <c r="LD32" s="80">
        <f>JH32+JL32+JP32+JT32+JX32+KB32+KF32+KJ32+KN32+KR32+KV32+KZ32</f>
        <v>10629.366000000007</v>
      </c>
    </row>
    <row r="33" ht="18.75" customHeight="1" spans="2:316" x14ac:dyDescent="0.25">
      <c r="B33" s="34" t="s">
        <v>58</v>
      </c>
      <c r="C33" s="34"/>
      <c r="D33" s="34"/>
      <c r="E33" s="30"/>
      <c r="F33" s="81">
        <f>SUM(F28:F32)</f>
        <v>375</v>
      </c>
      <c r="G33" s="81"/>
      <c r="H33" s="81">
        <f>SUM(H28:H32)</f>
        <v>7500</v>
      </c>
      <c r="I33" s="81"/>
      <c r="J33" s="81">
        <f>SUM(J28:J32)</f>
        <v>412.5</v>
      </c>
      <c r="K33" s="81"/>
      <c r="L33" s="81">
        <f>SUM(L28:L32)</f>
        <v>8250</v>
      </c>
      <c r="M33" s="81"/>
      <c r="N33" s="81">
        <f>SUM(N28:N32)</f>
        <v>412.5</v>
      </c>
      <c r="O33" s="81"/>
      <c r="P33" s="81">
        <f>SUM(P28:P32)</f>
        <v>8250</v>
      </c>
      <c r="Q33" s="81"/>
      <c r="R33" s="81">
        <f>SUM(R28:R32)</f>
        <v>412.5</v>
      </c>
      <c r="S33" s="81"/>
      <c r="T33" s="81">
        <f>SUM(T28:T32)</f>
        <v>8250</v>
      </c>
      <c r="U33" s="81"/>
      <c r="V33" s="81">
        <f>SUM(V28:V32)</f>
        <v>412.5</v>
      </c>
      <c r="W33" s="81"/>
      <c r="X33" s="81">
        <f>SUM(X28:X32)</f>
        <v>8250</v>
      </c>
      <c r="Y33" s="81"/>
      <c r="Z33" s="81">
        <f>SUM(Z28:Z32)</f>
        <v>412.5</v>
      </c>
      <c r="AA33" s="81"/>
      <c r="AB33" s="81">
        <f>SUM(AB28:AB32)</f>
        <v>8250</v>
      </c>
      <c r="AC33" s="81"/>
      <c r="AD33" s="81">
        <f>SUM(AD28:AD32)</f>
        <v>412.5</v>
      </c>
      <c r="AE33" s="81"/>
      <c r="AF33" s="81">
        <f>SUM(AF28:AF32)</f>
        <v>8250</v>
      </c>
      <c r="AG33" s="81"/>
      <c r="AH33" s="81">
        <f>SUM(AH28:AH32)</f>
        <v>412.5</v>
      </c>
      <c r="AI33" s="81"/>
      <c r="AJ33" s="81">
        <f>SUM(AJ28:AJ32)</f>
        <v>8250</v>
      </c>
      <c r="AK33" s="81"/>
      <c r="AL33" s="81">
        <f>SUM(AL28:AL32)</f>
        <v>412.5</v>
      </c>
      <c r="AM33" s="81"/>
      <c r="AN33" s="81">
        <f>SUM(AN28:AN32)</f>
        <v>8250</v>
      </c>
      <c r="AO33" s="81"/>
      <c r="AP33" s="81">
        <f>SUM(AP28:AP32)</f>
        <v>412.5</v>
      </c>
      <c r="AQ33" s="81"/>
      <c r="AR33" s="81">
        <f>SUM(AR28:AR32)</f>
        <v>8250</v>
      </c>
      <c r="AS33" s="81"/>
      <c r="AT33" s="81">
        <f>SUM(AT28:AT32)</f>
        <v>412.5</v>
      </c>
      <c r="AU33" s="81"/>
      <c r="AV33" s="81">
        <f>SUM(AV28:AV32)</f>
        <v>8250</v>
      </c>
      <c r="AW33" s="81"/>
      <c r="AX33" s="81">
        <f>SUM(AX28:AX32)</f>
        <v>412.5</v>
      </c>
      <c r="AY33" s="81"/>
      <c r="AZ33" s="81">
        <f>SUM(AZ28:AZ32)</f>
        <v>8250</v>
      </c>
      <c r="BA33" s="81"/>
      <c r="BB33" s="81">
        <f>SUM(BB28:BB32)</f>
        <v>4912.5</v>
      </c>
      <c r="BC33" s="81"/>
      <c r="BD33" s="81">
        <f>SUM(BD28:BD32)</f>
        <v>73500</v>
      </c>
      <c r="BE33" s="9"/>
      <c r="BF33" s="81">
        <f>SUM(BF27:BF32)</f>
        <v>453.75</v>
      </c>
      <c r="BG33" s="81"/>
      <c r="BH33" s="81">
        <f>SUM(BH27:BH32)</f>
        <v>9075</v>
      </c>
      <c r="BI33" s="81"/>
      <c r="BJ33" s="81">
        <f>SUM(BJ27:BJ32)</f>
        <v>453.75</v>
      </c>
      <c r="BK33" s="81"/>
      <c r="BL33" s="81">
        <f>SUM(BL27:BL32)</f>
        <v>9075</v>
      </c>
      <c r="BM33" s="81"/>
      <c r="BN33" s="81">
        <f>SUM(BN27:BN32)</f>
        <v>453.75</v>
      </c>
      <c r="BO33" s="81"/>
      <c r="BP33" s="81">
        <f>SUM(BP27:BP32)</f>
        <v>9075</v>
      </c>
      <c r="BQ33" s="81"/>
      <c r="BR33" s="81">
        <f>SUM(BR27:BR32)</f>
        <v>453.75</v>
      </c>
      <c r="BS33" s="81"/>
      <c r="BT33" s="81">
        <f>SUM(BT27:BT32)</f>
        <v>9075</v>
      </c>
      <c r="BU33" s="81"/>
      <c r="BV33" s="81">
        <f>SUM(BV27:BV32)</f>
        <v>453.75</v>
      </c>
      <c r="BW33" s="81"/>
      <c r="BX33" s="81">
        <f>SUM(BX27:BX32)</f>
        <v>9075</v>
      </c>
      <c r="BY33" s="81"/>
      <c r="BZ33" s="81">
        <f>SUM(BZ27:BZ32)</f>
        <v>453.75</v>
      </c>
      <c r="CA33" s="81"/>
      <c r="CB33" s="81">
        <f>SUM(CB27:CB32)</f>
        <v>9075</v>
      </c>
      <c r="CC33" s="81"/>
      <c r="CD33" s="81">
        <f>SUM(CD27:CD32)</f>
        <v>453.75</v>
      </c>
      <c r="CE33" s="81"/>
      <c r="CF33" s="81">
        <f>SUM(CF27:CF32)</f>
        <v>9075</v>
      </c>
      <c r="CG33" s="81"/>
      <c r="CH33" s="81">
        <f>SUM(CH27:CH32)</f>
        <v>453.75</v>
      </c>
      <c r="CI33" s="81"/>
      <c r="CJ33" s="81">
        <f>SUM(CJ27:CJ32)</f>
        <v>9075</v>
      </c>
      <c r="CK33" s="81"/>
      <c r="CL33" s="81">
        <f>SUM(CL27:CL32)</f>
        <v>453.75</v>
      </c>
      <c r="CM33" s="81"/>
      <c r="CN33" s="81">
        <f>SUM(CN27:CN32)</f>
        <v>9075</v>
      </c>
      <c r="CO33" s="81"/>
      <c r="CP33" s="81">
        <f>SUM(CP27:CP32)</f>
        <v>453.75</v>
      </c>
      <c r="CQ33" s="81"/>
      <c r="CR33" s="81">
        <f>SUM(CR27:CR32)</f>
        <v>9075</v>
      </c>
      <c r="CS33" s="81"/>
      <c r="CT33" s="81">
        <f>SUM(CT27:CT32)</f>
        <v>453.75</v>
      </c>
      <c r="CU33" s="81"/>
      <c r="CV33" s="81">
        <f>SUM(CV27:CV32)</f>
        <v>9075</v>
      </c>
      <c r="CW33" s="81"/>
      <c r="CX33" s="81">
        <f>SUM(CX27:CX32)</f>
        <v>453.75</v>
      </c>
      <c r="CY33" s="81"/>
      <c r="CZ33" s="81">
        <f>SUM(CZ27:CZ32)</f>
        <v>9075</v>
      </c>
      <c r="DA33" s="81"/>
      <c r="DB33" s="81">
        <f>SUM(DB27:DB32)</f>
        <v>5445</v>
      </c>
      <c r="DC33" s="81"/>
      <c r="DD33" s="81">
        <f>SUM(DD27:DD32)</f>
        <v>108900</v>
      </c>
      <c r="DE33" s="9"/>
      <c r="DF33" s="81">
        <f>SUM(DF27:DF32)</f>
        <v>499.1250000000001</v>
      </c>
      <c r="DG33" s="81"/>
      <c r="DH33" s="81">
        <f>SUM(DH27:DH32)</f>
        <v>9982.500000000002</v>
      </c>
      <c r="DI33" s="81"/>
      <c r="DJ33" s="81">
        <f>SUM(DJ27:DJ32)</f>
        <v>499.1250000000001</v>
      </c>
      <c r="DK33" s="81"/>
      <c r="DL33" s="81">
        <f>SUM(DL27:DL32)</f>
        <v>9982.500000000002</v>
      </c>
      <c r="DM33" s="81"/>
      <c r="DN33" s="81">
        <f>SUM(DN27:DN32)</f>
        <v>499.1250000000001</v>
      </c>
      <c r="DO33" s="81"/>
      <c r="DP33" s="81">
        <f>SUM(DP27:DP32)</f>
        <v>9982.500000000002</v>
      </c>
      <c r="DQ33" s="81"/>
      <c r="DR33" s="81">
        <f>SUM(DR27:DR32)</f>
        <v>499.1250000000001</v>
      </c>
      <c r="DS33" s="81"/>
      <c r="DT33" s="81">
        <f>SUM(DT27:DT32)</f>
        <v>9982.500000000002</v>
      </c>
      <c r="DU33" s="81"/>
      <c r="DV33" s="81">
        <f>SUM(DV27:DV32)</f>
        <v>499.1250000000001</v>
      </c>
      <c r="DW33" s="81"/>
      <c r="DX33" s="81">
        <f>SUM(DX27:DX32)</f>
        <v>9982.500000000002</v>
      </c>
      <c r="DY33" s="81"/>
      <c r="DZ33" s="81">
        <f>SUM(DZ27:DZ32)</f>
        <v>499.1250000000001</v>
      </c>
      <c r="EA33" s="81"/>
      <c r="EB33" s="81">
        <f>SUM(EB27:EB32)</f>
        <v>9982.500000000002</v>
      </c>
      <c r="EC33" s="81"/>
      <c r="ED33" s="81">
        <f>SUM(ED27:ED32)</f>
        <v>499.1250000000001</v>
      </c>
      <c r="EE33" s="81"/>
      <c r="EF33" s="81">
        <f>SUM(EF27:EF32)</f>
        <v>9982.500000000002</v>
      </c>
      <c r="EG33" s="81"/>
      <c r="EH33" s="81">
        <f>SUM(EH27:EH32)</f>
        <v>499.1250000000001</v>
      </c>
      <c r="EI33" s="81"/>
      <c r="EJ33" s="81">
        <f>SUM(EJ27:EJ32)</f>
        <v>9982.500000000002</v>
      </c>
      <c r="EK33" s="81"/>
      <c r="EL33" s="81">
        <f>SUM(EL27:EL32)</f>
        <v>499.1250000000001</v>
      </c>
      <c r="EM33" s="81"/>
      <c r="EN33" s="81">
        <f>SUM(EN27:EN32)</f>
        <v>9982.500000000002</v>
      </c>
      <c r="EO33" s="81"/>
      <c r="EP33" s="81">
        <f>SUM(EP27:EP32)</f>
        <v>499.1250000000001</v>
      </c>
      <c r="EQ33" s="81"/>
      <c r="ER33" s="81">
        <f>SUM(ER27:ER32)</f>
        <v>9982.500000000002</v>
      </c>
      <c r="ES33" s="81"/>
      <c r="ET33" s="81">
        <f>SUM(ET27:ET32)</f>
        <v>499.1250000000001</v>
      </c>
      <c r="EU33" s="81"/>
      <c r="EV33" s="81">
        <f>SUM(EV27:EV32)</f>
        <v>9982.500000000002</v>
      </c>
      <c r="EW33" s="81"/>
      <c r="EX33" s="81">
        <f>SUM(EX27:EX32)</f>
        <v>499.1250000000001</v>
      </c>
      <c r="EY33" s="81"/>
      <c r="EZ33" s="81">
        <f>SUM(EZ27:EZ32)</f>
        <v>9982.500000000002</v>
      </c>
      <c r="FA33" s="81"/>
      <c r="FB33" s="81">
        <f>SUM(FB27:FB32)</f>
        <v>5989.500000000002</v>
      </c>
      <c r="FC33" s="81"/>
      <c r="FD33" s="81">
        <f>SUM(FD27:FD32)</f>
        <v>119790</v>
      </c>
      <c r="FE33" s="9"/>
      <c r="FF33" s="81">
        <f>SUM(FF27:FF32)</f>
        <v>549.0375000000001</v>
      </c>
      <c r="FG33" s="81"/>
      <c r="FH33" s="81">
        <f>SUM(FH27:FH32)</f>
        <v>10980.750000000004</v>
      </c>
      <c r="FI33" s="81"/>
      <c r="FJ33" s="81">
        <f>SUM(FJ27:FJ32)</f>
        <v>549.0375000000001</v>
      </c>
      <c r="FK33" s="81"/>
      <c r="FL33" s="81">
        <f>SUM(FL27:FL32)</f>
        <v>10980.750000000004</v>
      </c>
      <c r="FM33" s="81"/>
      <c r="FN33" s="81">
        <f>SUM(FN27:FN32)</f>
        <v>549.0375000000001</v>
      </c>
      <c r="FO33" s="81"/>
      <c r="FP33" s="81">
        <f>SUM(FP27:FP32)</f>
        <v>10980.750000000004</v>
      </c>
      <c r="FQ33" s="81"/>
      <c r="FR33" s="81">
        <f>SUM(FR27:FR32)</f>
        <v>549.0375000000001</v>
      </c>
      <c r="FS33" s="81"/>
      <c r="FT33" s="81">
        <f>SUM(FT27:FT32)</f>
        <v>10980.750000000004</v>
      </c>
      <c r="FU33" s="81"/>
      <c r="FV33" s="81">
        <f>SUM(FV27:FV32)</f>
        <v>549.0375000000001</v>
      </c>
      <c r="FW33" s="81"/>
      <c r="FX33" s="81">
        <f>SUM(FX27:FX32)</f>
        <v>10980.750000000004</v>
      </c>
      <c r="FY33" s="81"/>
      <c r="FZ33" s="81">
        <f>SUM(FZ27:FZ32)</f>
        <v>549.0375000000001</v>
      </c>
      <c r="GA33" s="81"/>
      <c r="GB33" s="81">
        <f>SUM(GB27:GB32)</f>
        <v>10980.750000000004</v>
      </c>
      <c r="GC33" s="81"/>
      <c r="GD33" s="81">
        <f>SUM(GD27:GD32)</f>
        <v>549.0375000000001</v>
      </c>
      <c r="GE33" s="81"/>
      <c r="GF33" s="81">
        <f>SUM(GF27:GF32)</f>
        <v>10980.750000000004</v>
      </c>
      <c r="GG33" s="81"/>
      <c r="GH33" s="81">
        <f>SUM(GH27:GH32)</f>
        <v>549.0375000000001</v>
      </c>
      <c r="GI33" s="81"/>
      <c r="GJ33" s="81">
        <f>SUM(GJ27:GJ32)</f>
        <v>10980.750000000004</v>
      </c>
      <c r="GK33" s="81"/>
      <c r="GL33" s="81">
        <f>SUM(GL27:GL32)</f>
        <v>549.0375000000001</v>
      </c>
      <c r="GM33" s="81"/>
      <c r="GN33" s="81">
        <f>SUM(GN27:GN32)</f>
        <v>10980.750000000004</v>
      </c>
      <c r="GO33" s="81"/>
      <c r="GP33" s="81">
        <f>SUM(GP27:GP32)</f>
        <v>549.0375000000001</v>
      </c>
      <c r="GQ33" s="81"/>
      <c r="GR33" s="81">
        <f>SUM(GR27:GR32)</f>
        <v>10980.750000000004</v>
      </c>
      <c r="GS33" s="81"/>
      <c r="GT33" s="81">
        <f>SUM(GT27:GT32)</f>
        <v>549.0375000000001</v>
      </c>
      <c r="GU33" s="81"/>
      <c r="GV33" s="81">
        <f>SUM(GV27:GV32)</f>
        <v>10980.750000000004</v>
      </c>
      <c r="GW33" s="81"/>
      <c r="GX33" s="81">
        <f>SUM(GX27:GX32)</f>
        <v>549.0375000000001</v>
      </c>
      <c r="GY33" s="81"/>
      <c r="GZ33" s="81">
        <f>SUM(GZ27:GZ32)</f>
        <v>10980.750000000004</v>
      </c>
      <c r="HA33" s="9"/>
      <c r="HB33" s="81">
        <f>SUM(HB27:HB32)</f>
        <v>6588.4500000000035</v>
      </c>
      <c r="HC33" s="81"/>
      <c r="HD33" s="81">
        <f>SUM(HD27:HD32)</f>
        <v>131769.00000000006</v>
      </c>
      <c r="HE33" s="9"/>
      <c r="HF33" s="81">
        <f>SUM(HF27:HF32)</f>
        <v>603.9412500000002</v>
      </c>
      <c r="HG33" s="81"/>
      <c r="HH33" s="81">
        <f>SUM(HH27:HH32)</f>
        <v>12078.825000000004</v>
      </c>
      <c r="HI33" s="81"/>
      <c r="HJ33" s="81">
        <f>SUM(HJ27:HJ32)</f>
        <v>603.9412500000002</v>
      </c>
      <c r="HK33" s="81"/>
      <c r="HL33" s="81">
        <f>SUM(HL27:HL32)</f>
        <v>12078.825000000004</v>
      </c>
      <c r="HM33" s="81"/>
      <c r="HN33" s="81">
        <f>SUM(HN27:HN32)</f>
        <v>603.9412500000002</v>
      </c>
      <c r="HO33" s="81"/>
      <c r="HP33" s="81">
        <f>SUM(HP27:HP32)</f>
        <v>12078.825000000004</v>
      </c>
      <c r="HQ33" s="81"/>
      <c r="HR33" s="81">
        <f>SUM(HR27:HR32)</f>
        <v>603.9412500000002</v>
      </c>
      <c r="HS33" s="81"/>
      <c r="HT33" s="81">
        <f>SUM(HT27:HT32)</f>
        <v>12078.825000000004</v>
      </c>
      <c r="HU33" s="81"/>
      <c r="HV33" s="81">
        <f>SUM(HV27:HV32)</f>
        <v>603.9412500000002</v>
      </c>
      <c r="HW33" s="81"/>
      <c r="HX33" s="81">
        <f>SUM(HX27:HX32)</f>
        <v>12078.825000000004</v>
      </c>
      <c r="HY33" s="81"/>
      <c r="HZ33" s="81">
        <f>SUM(HZ27:HZ32)</f>
        <v>603.9412500000002</v>
      </c>
      <c r="IA33" s="81"/>
      <c r="IB33" s="81">
        <f>SUM(IB27:IB32)</f>
        <v>12078.825000000004</v>
      </c>
      <c r="IC33" s="81"/>
      <c r="ID33" s="81">
        <f>SUM(ID27:ID32)</f>
        <v>603.9412500000002</v>
      </c>
      <c r="IE33" s="81"/>
      <c r="IF33" s="81">
        <f>SUM(IF27:IF32)</f>
        <v>12078.825000000004</v>
      </c>
      <c r="IG33" s="81"/>
      <c r="IH33" s="81">
        <f>SUM(IH27:IH32)</f>
        <v>603.9412500000002</v>
      </c>
      <c r="II33" s="81"/>
      <c r="IJ33" s="81">
        <f>SUM(IJ27:IJ32)</f>
        <v>12078.825000000004</v>
      </c>
      <c r="IK33" s="81"/>
      <c r="IL33" s="81">
        <f>SUM(IL27:IL32)</f>
        <v>603.9412500000002</v>
      </c>
      <c r="IM33" s="81"/>
      <c r="IN33" s="81">
        <f>SUM(IN27:IN32)</f>
        <v>12078.825000000004</v>
      </c>
      <c r="IO33" s="81"/>
      <c r="IP33" s="81">
        <f>SUM(IP27:IP32)</f>
        <v>603.9412500000002</v>
      </c>
      <c r="IQ33" s="81"/>
      <c r="IR33" s="81">
        <f>SUM(IR27:IR32)</f>
        <v>12078.825000000004</v>
      </c>
      <c r="IS33" s="81"/>
      <c r="IT33" s="81">
        <f>SUM(IT27:IT32)</f>
        <v>603.9412500000002</v>
      </c>
      <c r="IU33" s="81"/>
      <c r="IV33" s="81">
        <f>SUM(IV27:IV32)</f>
        <v>12078.825000000004</v>
      </c>
      <c r="IW33" s="81"/>
      <c r="IX33" s="81">
        <f>SUM(IX27:IX32)</f>
        <v>603.9412500000002</v>
      </c>
      <c r="IY33" s="81"/>
      <c r="IZ33" s="81">
        <f>SUM(IZ27:IZ32)</f>
        <v>12078.825000000004</v>
      </c>
      <c r="JA33" s="9"/>
      <c r="JB33" s="81">
        <f>SUM(JB27:JB32)</f>
        <v>7247.295000000004</v>
      </c>
      <c r="JC33" s="81"/>
      <c r="JD33" s="81">
        <f>SUM(JD27:JD32)</f>
        <v>144945.90000000005</v>
      </c>
      <c r="JE33" s="9"/>
      <c r="JF33" s="81">
        <f>SUM(JF27:JF32)</f>
        <v>664.3353750000003</v>
      </c>
      <c r="JG33" s="81"/>
      <c r="JH33" s="81">
        <f>SUM(JH27:JH32)</f>
        <v>13286.707500000008</v>
      </c>
      <c r="JI33" s="81"/>
      <c r="JJ33" s="81">
        <f>SUM(JJ27:JJ32)</f>
        <v>664.3353750000003</v>
      </c>
      <c r="JK33" s="81"/>
      <c r="JL33" s="81">
        <f>SUM(JL27:JL32)</f>
        <v>13286.707500000008</v>
      </c>
      <c r="JM33" s="81"/>
      <c r="JN33" s="81">
        <f>SUM(JN27:JN32)</f>
        <v>664.3353750000003</v>
      </c>
      <c r="JO33" s="81"/>
      <c r="JP33" s="81">
        <f>SUM(JP27:JP32)</f>
        <v>13286.707500000008</v>
      </c>
      <c r="JQ33" s="81"/>
      <c r="JR33" s="81">
        <f>SUM(JR27:JR32)</f>
        <v>664.3353750000003</v>
      </c>
      <c r="JS33" s="81"/>
      <c r="JT33" s="81">
        <f>SUM(JT27:JT32)</f>
        <v>13286.707500000008</v>
      </c>
      <c r="JU33" s="81"/>
      <c r="JV33" s="81">
        <f>SUM(JV27:JV32)</f>
        <v>664.3353750000003</v>
      </c>
      <c r="JW33" s="81"/>
      <c r="JX33" s="81">
        <f>SUM(JX27:JX32)</f>
        <v>13286.707500000008</v>
      </c>
      <c r="JY33" s="81"/>
      <c r="JZ33" s="81">
        <f>SUM(JZ27:JZ32)</f>
        <v>664.3353750000003</v>
      </c>
      <c r="KA33" s="81"/>
      <c r="KB33" s="81">
        <f>SUM(KB27:KB32)</f>
        <v>13286.707500000008</v>
      </c>
      <c r="KC33" s="81"/>
      <c r="KD33" s="81">
        <f>SUM(KD27:KD32)</f>
        <v>664.3353750000003</v>
      </c>
      <c r="KE33" s="81"/>
      <c r="KF33" s="81">
        <f>SUM(KF27:KF32)</f>
        <v>13286.707500000008</v>
      </c>
      <c r="KG33" s="81"/>
      <c r="KH33" s="81">
        <f>SUM(KH27:KH32)</f>
        <v>664.3353750000003</v>
      </c>
      <c r="KI33" s="81"/>
      <c r="KJ33" s="81">
        <f>SUM(KJ27:KJ32)</f>
        <v>13286.707500000008</v>
      </c>
      <c r="KK33" s="81"/>
      <c r="KL33" s="81">
        <f>SUM(KL27:KL32)</f>
        <v>664.3353750000003</v>
      </c>
      <c r="KM33" s="81"/>
      <c r="KN33" s="81">
        <f>SUM(KN27:KN32)</f>
        <v>13286.707500000008</v>
      </c>
      <c r="KO33" s="81"/>
      <c r="KP33" s="81">
        <f>SUM(KP27:KP32)</f>
        <v>664.3353750000003</v>
      </c>
      <c r="KQ33" s="81"/>
      <c r="KR33" s="81">
        <f>SUM(KR27:KR32)</f>
        <v>13286.707500000008</v>
      </c>
      <c r="KS33" s="81"/>
      <c r="KT33" s="81">
        <f>SUM(KT27:KT32)</f>
        <v>664.3353750000003</v>
      </c>
      <c r="KU33" s="81"/>
      <c r="KV33" s="81">
        <f>SUM(KV27:KV32)</f>
        <v>13286.707500000008</v>
      </c>
      <c r="KW33" s="81"/>
      <c r="KX33" s="81">
        <f>SUM(KX27:KX32)</f>
        <v>664.3353750000003</v>
      </c>
      <c r="KY33" s="81"/>
      <c r="KZ33" s="81">
        <f>SUM(KZ27:KZ32)</f>
        <v>13286.707500000008</v>
      </c>
      <c r="LA33" s="9"/>
      <c r="LB33" s="81">
        <f>SUM(LB27:LB32)</f>
        <v>7972.024500000005</v>
      </c>
      <c r="LC33" s="81"/>
      <c r="LD33" s="81">
        <f>SUM(LD27:LD32)</f>
        <v>159440.4900000001</v>
      </c>
    </row>
    <row r="34" ht="9.75" customHeight="1" spans="2:316" x14ac:dyDescent="0.25">
      <c r="B34" s="9"/>
      <c r="C34" s="30"/>
      <c r="D34" s="30"/>
      <c r="E34" s="30"/>
      <c r="F34" s="54"/>
      <c r="G34" s="54"/>
      <c r="H34" s="54"/>
      <c r="I34" s="54"/>
      <c r="J34" s="54"/>
      <c r="K34" s="54"/>
      <c r="L34" s="54"/>
      <c r="M34" s="54"/>
      <c r="N34" s="54"/>
      <c r="O34" s="54"/>
      <c r="P34" s="54"/>
      <c r="Q34" s="54"/>
      <c r="R34" s="54"/>
      <c r="S34" s="54"/>
      <c r="T34" s="54"/>
      <c r="U34" s="54"/>
      <c r="V34" s="54"/>
      <c r="W34" s="54"/>
      <c r="X34" s="54"/>
      <c r="Y34" s="54"/>
      <c r="Z34" s="54"/>
      <c r="AA34" s="54"/>
      <c r="AB34" s="54"/>
      <c r="AC34" s="54"/>
      <c r="AD34" s="54"/>
      <c r="AE34" s="54"/>
      <c r="AF34" s="54"/>
      <c r="AG34" s="54"/>
      <c r="AH34" s="54"/>
      <c r="AI34" s="54"/>
      <c r="AJ34" s="54"/>
      <c r="AK34" s="54"/>
      <c r="AL34" s="54"/>
      <c r="AM34" s="54"/>
      <c r="AN34" s="54"/>
      <c r="AO34" s="54"/>
      <c r="AP34" s="54"/>
      <c r="AQ34" s="54"/>
      <c r="AR34" s="54"/>
      <c r="AS34" s="54"/>
      <c r="AT34" s="54"/>
      <c r="AU34" s="54"/>
      <c r="AV34" s="54"/>
      <c r="AW34" s="54"/>
      <c r="AX34" s="54"/>
      <c r="AY34" s="54"/>
      <c r="AZ34" s="54"/>
      <c r="BA34" s="54"/>
      <c r="BB34" s="54"/>
      <c r="BC34" s="54"/>
      <c r="BD34" s="54"/>
      <c r="BF34" s="54"/>
      <c r="BG34" s="54"/>
      <c r="BH34" s="54"/>
      <c r="BI34" s="54"/>
      <c r="BJ34" s="54"/>
      <c r="BK34" s="54"/>
      <c r="BL34" s="54"/>
      <c r="BM34" s="54"/>
      <c r="BN34" s="54"/>
      <c r="BO34" s="54"/>
      <c r="BP34" s="54"/>
      <c r="BQ34" s="54"/>
      <c r="BR34" s="54"/>
      <c r="BS34" s="54"/>
      <c r="BT34" s="54"/>
      <c r="BU34" s="54"/>
      <c r="BV34" s="54"/>
      <c r="BW34" s="54"/>
      <c r="BX34" s="54"/>
      <c r="BY34" s="54"/>
      <c r="BZ34" s="54"/>
      <c r="CA34" s="54"/>
      <c r="CB34" s="54"/>
      <c r="CC34" s="54"/>
      <c r="CD34" s="54"/>
      <c r="CE34" s="54"/>
      <c r="CF34" s="54"/>
      <c r="CG34" s="54"/>
      <c r="CH34" s="54"/>
      <c r="CI34" s="54"/>
      <c r="CJ34" s="54"/>
      <c r="CK34" s="54"/>
      <c r="CL34" s="54"/>
      <c r="CM34" s="54"/>
      <c r="CN34" s="54"/>
      <c r="CO34" s="54"/>
      <c r="CP34" s="54"/>
      <c r="CQ34" s="54"/>
      <c r="CR34" s="54"/>
      <c r="CS34" s="54"/>
      <c r="CT34" s="54"/>
      <c r="CU34" s="54"/>
      <c r="CV34" s="54"/>
      <c r="CW34" s="54"/>
      <c r="CX34" s="54"/>
      <c r="CY34" s="54"/>
      <c r="CZ34" s="54"/>
      <c r="DA34" s="54"/>
      <c r="DB34" s="54"/>
      <c r="DC34" s="54"/>
      <c r="DD34" s="54"/>
      <c r="DF34" s="54"/>
      <c r="DG34" s="54"/>
      <c r="DH34" s="54"/>
      <c r="DI34" s="54"/>
      <c r="DJ34" s="54"/>
      <c r="DK34" s="54"/>
      <c r="DL34" s="54"/>
      <c r="DM34" s="54"/>
      <c r="DN34" s="54"/>
      <c r="DO34" s="54"/>
      <c r="DP34" s="54"/>
      <c r="DQ34" s="54"/>
      <c r="DR34" s="54"/>
      <c r="DS34" s="54"/>
      <c r="DT34" s="54"/>
      <c r="DU34" s="54"/>
      <c r="DV34" s="54"/>
      <c r="DW34" s="54"/>
      <c r="DX34" s="54"/>
      <c r="DY34" s="54"/>
      <c r="DZ34" s="54"/>
      <c r="EA34" s="54"/>
      <c r="EB34" s="54"/>
      <c r="EC34" s="54"/>
      <c r="ED34" s="54"/>
      <c r="EE34" s="54"/>
      <c r="EF34" s="54"/>
      <c r="EG34" s="54"/>
      <c r="EH34" s="54"/>
      <c r="EI34" s="54"/>
      <c r="EJ34" s="54"/>
      <c r="EK34" s="54"/>
      <c r="EL34" s="54"/>
      <c r="EM34" s="54"/>
      <c r="EN34" s="54"/>
      <c r="EO34" s="54"/>
      <c r="EP34" s="54"/>
      <c r="EQ34" s="54"/>
      <c r="ER34" s="54"/>
      <c r="ES34" s="54"/>
      <c r="ET34" s="54"/>
      <c r="EU34" s="54"/>
      <c r="EV34" s="54"/>
      <c r="EW34" s="54"/>
      <c r="EX34" s="54"/>
      <c r="EY34" s="54"/>
      <c r="EZ34" s="54"/>
      <c r="FA34" s="54"/>
      <c r="FB34" s="54"/>
      <c r="FC34" s="54"/>
      <c r="FD34" s="54"/>
      <c r="FF34" s="54"/>
      <c r="FG34" s="54"/>
      <c r="FH34" s="54"/>
      <c r="FI34" s="54"/>
      <c r="FJ34" s="54"/>
      <c r="FK34" s="54"/>
      <c r="FL34" s="54"/>
      <c r="FM34" s="54"/>
      <c r="FN34" s="54"/>
      <c r="FO34" s="54"/>
      <c r="FP34" s="54"/>
      <c r="FQ34" s="54"/>
      <c r="FR34" s="54"/>
      <c r="FS34" s="54"/>
      <c r="FT34" s="54"/>
      <c r="FU34" s="54"/>
      <c r="FV34" s="54"/>
      <c r="FW34" s="54"/>
      <c r="FX34" s="54"/>
      <c r="FY34" s="54"/>
      <c r="FZ34" s="54"/>
      <c r="GA34" s="54"/>
      <c r="GB34" s="54"/>
      <c r="GC34" s="54"/>
      <c r="GD34" s="54"/>
      <c r="GE34" s="54"/>
      <c r="GF34" s="54"/>
      <c r="GG34" s="54"/>
      <c r="GH34" s="54"/>
      <c r="GI34" s="54"/>
      <c r="GJ34" s="54"/>
      <c r="GK34" s="54"/>
      <c r="GL34" s="54"/>
      <c r="GM34" s="54"/>
      <c r="GN34" s="54"/>
      <c r="GO34" s="54"/>
      <c r="GP34" s="54"/>
      <c r="GQ34" s="54"/>
      <c r="GR34" s="54"/>
      <c r="GS34" s="54"/>
      <c r="GT34" s="54"/>
      <c r="GU34" s="54"/>
      <c r="GV34" s="54"/>
      <c r="GW34" s="54"/>
      <c r="GX34" s="54"/>
      <c r="GY34" s="54"/>
      <c r="GZ34" s="54"/>
      <c r="HB34" s="54"/>
      <c r="HC34" s="54"/>
      <c r="HD34" s="54"/>
      <c r="HF34" s="54"/>
      <c r="HG34" s="54"/>
      <c r="HH34" s="54"/>
      <c r="HI34" s="54"/>
      <c r="HJ34" s="54"/>
      <c r="HK34" s="54"/>
      <c r="HL34" s="54"/>
      <c r="HM34" s="54"/>
      <c r="HN34" s="54"/>
      <c r="HO34" s="54"/>
      <c r="HP34" s="54"/>
      <c r="HQ34" s="54"/>
      <c r="HR34" s="54"/>
      <c r="HS34" s="54"/>
      <c r="HT34" s="54"/>
      <c r="HU34" s="54"/>
      <c r="HV34" s="54"/>
      <c r="HW34" s="54"/>
      <c r="HX34" s="54"/>
      <c r="HY34" s="54"/>
      <c r="HZ34" s="54"/>
      <c r="IA34" s="54"/>
      <c r="IB34" s="54"/>
      <c r="IC34" s="54"/>
      <c r="ID34" s="54"/>
      <c r="IE34" s="54"/>
      <c r="IF34" s="54"/>
      <c r="IG34" s="54"/>
      <c r="IH34" s="54"/>
      <c r="II34" s="54"/>
      <c r="IJ34" s="54"/>
      <c r="IK34" s="54"/>
      <c r="IL34" s="54"/>
      <c r="IM34" s="54"/>
      <c r="IN34" s="54"/>
      <c r="IO34" s="54"/>
      <c r="IP34" s="54"/>
      <c r="IQ34" s="54"/>
      <c r="IR34" s="54"/>
      <c r="IS34" s="54"/>
      <c r="IT34" s="54"/>
      <c r="IU34" s="54"/>
      <c r="IV34" s="54"/>
      <c r="IW34" s="54"/>
      <c r="IX34" s="54"/>
      <c r="IY34" s="54"/>
      <c r="IZ34" s="54"/>
      <c r="JB34" s="54"/>
      <c r="JC34" s="54"/>
      <c r="JD34" s="54"/>
      <c r="JF34" s="54"/>
      <c r="JG34" s="54"/>
      <c r="JH34" s="54"/>
      <c r="JI34" s="54"/>
      <c r="JJ34" s="54"/>
      <c r="JK34" s="54"/>
      <c r="JL34" s="54"/>
      <c r="JM34" s="54"/>
      <c r="JN34" s="54"/>
      <c r="JO34" s="54"/>
      <c r="JP34" s="54"/>
      <c r="JQ34" s="54"/>
      <c r="JR34" s="54"/>
      <c r="JS34" s="54"/>
      <c r="JT34" s="54"/>
      <c r="JU34" s="54"/>
      <c r="JV34" s="54"/>
      <c r="JW34" s="54"/>
      <c r="JX34" s="54"/>
      <c r="JY34" s="54"/>
      <c r="JZ34" s="54"/>
      <c r="KA34" s="54"/>
      <c r="KB34" s="54"/>
      <c r="KC34" s="54"/>
      <c r="KD34" s="54"/>
      <c r="KE34" s="54"/>
      <c r="KF34" s="54"/>
      <c r="KG34" s="54"/>
      <c r="KH34" s="54"/>
      <c r="KI34" s="54"/>
      <c r="KJ34" s="54"/>
      <c r="KK34" s="54"/>
      <c r="KL34" s="54"/>
      <c r="KM34" s="54"/>
      <c r="KN34" s="54"/>
      <c r="KO34" s="54"/>
      <c r="KP34" s="54"/>
      <c r="KQ34" s="54"/>
      <c r="KR34" s="54"/>
      <c r="KS34" s="54"/>
      <c r="KT34" s="54"/>
      <c r="KU34" s="54"/>
      <c r="KV34" s="54"/>
      <c r="KW34" s="54"/>
      <c r="KX34" s="54"/>
      <c r="KY34" s="54"/>
      <c r="KZ34" s="54"/>
      <c r="LB34" s="54"/>
      <c r="LC34" s="54"/>
      <c r="LD34" s="54"/>
    </row>
    <row r="35" ht="18.75" customHeight="1" spans="2:316" x14ac:dyDescent="0.25">
      <c r="B35" s="9"/>
      <c r="C35" s="30"/>
      <c r="D35" s="28"/>
      <c r="E35" s="28"/>
      <c r="F35" s="28"/>
      <c r="G35" s="54"/>
      <c r="H35" s="82"/>
      <c r="I35" s="54"/>
      <c r="J35" s="78">
        <f>'A.I Revenue Streams - P2'!K37+100%</f>
        <v>1.1</v>
      </c>
      <c r="K35" s="78">
        <f>$K$8</f>
        <v>1</v>
      </c>
      <c r="L35" s="82"/>
      <c r="M35" s="77"/>
      <c r="N35" s="78">
        <v>1</v>
      </c>
      <c r="O35" s="78">
        <v>1</v>
      </c>
      <c r="P35" s="77"/>
      <c r="Q35" s="77"/>
      <c r="R35" s="78">
        <f>N35</f>
        <v>1</v>
      </c>
      <c r="S35" s="78">
        <v>1</v>
      </c>
      <c r="T35" s="77"/>
      <c r="U35" s="77"/>
      <c r="V35" s="78">
        <f>R35</f>
        <v>1</v>
      </c>
      <c r="W35" s="78">
        <v>1</v>
      </c>
      <c r="X35" s="77"/>
      <c r="Y35" s="77"/>
      <c r="Z35" s="78">
        <f>V35</f>
        <v>1</v>
      </c>
      <c r="AA35" s="78">
        <v>1</v>
      </c>
      <c r="AB35" s="77"/>
      <c r="AC35" s="77"/>
      <c r="AD35" s="78">
        <f>Z35</f>
        <v>1</v>
      </c>
      <c r="AE35" s="78">
        <v>1</v>
      </c>
      <c r="AF35" s="77"/>
      <c r="AG35" s="77"/>
      <c r="AH35" s="78">
        <f>AD35</f>
        <v>1</v>
      </c>
      <c r="AI35" s="78">
        <v>1</v>
      </c>
      <c r="AJ35" s="77"/>
      <c r="AK35" s="77"/>
      <c r="AL35" s="78">
        <f>AH35</f>
        <v>1</v>
      </c>
      <c r="AM35" s="78">
        <v>1</v>
      </c>
      <c r="AN35" s="77"/>
      <c r="AO35" s="54"/>
      <c r="AP35" s="78">
        <f>AL35</f>
        <v>1</v>
      </c>
      <c r="AQ35" s="78">
        <v>1</v>
      </c>
      <c r="AR35" s="77"/>
      <c r="AS35" s="77"/>
      <c r="AT35" s="78">
        <f>AP35</f>
        <v>1</v>
      </c>
      <c r="AU35" s="78">
        <v>1</v>
      </c>
      <c r="AV35" s="77"/>
      <c r="AW35" s="77"/>
      <c r="AX35" s="78">
        <f>AT35</f>
        <v>1</v>
      </c>
      <c r="AY35" s="78">
        <v>1</v>
      </c>
      <c r="AZ35" s="77"/>
      <c r="BA35" s="54"/>
      <c r="BB35" s="54"/>
      <c r="BC35" s="54"/>
      <c r="BD35" s="54"/>
      <c r="BF35" s="78">
        <f>'A.I Revenue Streams - P2'!M37+100%</f>
        <v>1.1</v>
      </c>
      <c r="BG35" s="78">
        <v>1</v>
      </c>
      <c r="BH35" s="82"/>
      <c r="BI35" s="54"/>
      <c r="BJ35" s="78">
        <v>1</v>
      </c>
      <c r="BK35" s="78">
        <v>1</v>
      </c>
      <c r="BL35" s="77"/>
      <c r="BM35" s="77"/>
      <c r="BN35" s="78">
        <f>BJ35</f>
        <v>1</v>
      </c>
      <c r="BO35" s="78">
        <v>1</v>
      </c>
      <c r="BP35" s="77"/>
      <c r="BQ35" s="77"/>
      <c r="BR35" s="79">
        <f>BN35</f>
        <v>1</v>
      </c>
      <c r="BS35" s="79">
        <v>1</v>
      </c>
      <c r="BT35" s="77"/>
      <c r="BU35" s="77"/>
      <c r="BV35" s="78">
        <f>BR35</f>
        <v>1</v>
      </c>
      <c r="BW35" s="78">
        <v>1</v>
      </c>
      <c r="BX35" s="77"/>
      <c r="BY35" s="77"/>
      <c r="BZ35" s="78">
        <f>BV35</f>
        <v>1</v>
      </c>
      <c r="CA35" s="78">
        <v>1</v>
      </c>
      <c r="CB35" s="77"/>
      <c r="CC35" s="77"/>
      <c r="CD35" s="79">
        <f>BZ35</f>
        <v>1</v>
      </c>
      <c r="CE35" s="79">
        <v>1</v>
      </c>
      <c r="CF35" s="77"/>
      <c r="CG35" s="77"/>
      <c r="CH35" s="78">
        <f>CD35</f>
        <v>1</v>
      </c>
      <c r="CI35" s="78">
        <v>1</v>
      </c>
      <c r="CJ35" s="77"/>
      <c r="CK35" s="77"/>
      <c r="CL35" s="78">
        <f>CH35</f>
        <v>1</v>
      </c>
      <c r="CM35" s="78">
        <v>1</v>
      </c>
      <c r="CN35" s="77"/>
      <c r="CO35" s="77"/>
      <c r="CP35" s="78">
        <f>CL35</f>
        <v>1</v>
      </c>
      <c r="CQ35" s="78">
        <v>1</v>
      </c>
      <c r="CR35" s="77"/>
      <c r="CS35" s="77"/>
      <c r="CT35" s="78">
        <f>CP35</f>
        <v>1</v>
      </c>
      <c r="CU35" s="78">
        <v>1</v>
      </c>
      <c r="CV35" s="77"/>
      <c r="CW35" s="77"/>
      <c r="CX35" s="79">
        <f>CT35</f>
        <v>1</v>
      </c>
      <c r="CY35" s="79">
        <v>1</v>
      </c>
      <c r="CZ35" s="82"/>
      <c r="DA35" s="82"/>
      <c r="DB35" s="78">
        <f>'A.I Revenue Streams - P2'!M37+100%</f>
        <v>1.1</v>
      </c>
      <c r="DC35" s="78">
        <f>$DC$8</f>
        <v>1</v>
      </c>
      <c r="DD35" s="82"/>
      <c r="DF35" s="78">
        <f>'A.I Revenue Streams - P2'!O37+100%</f>
        <v>1.1</v>
      </c>
      <c r="DG35" s="78">
        <v>1</v>
      </c>
      <c r="DH35" s="82"/>
      <c r="DI35" s="54"/>
      <c r="DJ35" s="78">
        <v>1</v>
      </c>
      <c r="DK35" s="78">
        <v>1</v>
      </c>
      <c r="DL35" s="77"/>
      <c r="DM35" s="77"/>
      <c r="DN35" s="78">
        <f>DJ35</f>
        <v>1</v>
      </c>
      <c r="DO35" s="78">
        <v>1</v>
      </c>
      <c r="DP35" s="77"/>
      <c r="DQ35" s="77"/>
      <c r="DR35" s="79">
        <f>DN35</f>
        <v>1</v>
      </c>
      <c r="DS35" s="79">
        <v>1</v>
      </c>
      <c r="DT35" s="77"/>
      <c r="DU35" s="77"/>
      <c r="DV35" s="78">
        <f>DR35</f>
        <v>1</v>
      </c>
      <c r="DW35" s="78">
        <v>1</v>
      </c>
      <c r="DX35" s="77"/>
      <c r="DY35" s="77"/>
      <c r="DZ35" s="78">
        <f>DV35</f>
        <v>1</v>
      </c>
      <c r="EA35" s="78">
        <v>1</v>
      </c>
      <c r="EB35" s="77"/>
      <c r="EC35" s="77"/>
      <c r="ED35" s="79">
        <f>DZ35</f>
        <v>1</v>
      </c>
      <c r="EE35" s="79">
        <v>1</v>
      </c>
      <c r="EF35" s="77"/>
      <c r="EG35" s="77"/>
      <c r="EH35" s="78">
        <f>ED35</f>
        <v>1</v>
      </c>
      <c r="EI35" s="78">
        <v>1</v>
      </c>
      <c r="EJ35" s="77"/>
      <c r="EK35" s="77"/>
      <c r="EL35" s="78">
        <f>EH35</f>
        <v>1</v>
      </c>
      <c r="EM35" s="78">
        <v>1</v>
      </c>
      <c r="EN35" s="77"/>
      <c r="EO35" s="77"/>
      <c r="EP35" s="78">
        <f>EL35</f>
        <v>1</v>
      </c>
      <c r="EQ35" s="78">
        <v>1</v>
      </c>
      <c r="ER35" s="77"/>
      <c r="ES35" s="77"/>
      <c r="ET35" s="78">
        <f>EP35</f>
        <v>1</v>
      </c>
      <c r="EU35" s="78">
        <v>1</v>
      </c>
      <c r="EV35" s="77"/>
      <c r="EW35" s="77"/>
      <c r="EX35" s="79">
        <f>ET35</f>
        <v>1</v>
      </c>
      <c r="EY35" s="79">
        <v>1</v>
      </c>
      <c r="EZ35" s="82"/>
      <c r="FA35" s="82"/>
      <c r="FB35" s="78">
        <f>'A.I Revenue Streams - P2'!O37+100%</f>
        <v>1.1</v>
      </c>
      <c r="FC35" s="78">
        <v>1</v>
      </c>
      <c r="FD35" s="82"/>
      <c r="FE35" s="28"/>
      <c r="FF35" s="78">
        <f>'A.I Revenue Streams - P2'!Q37+100%</f>
        <v>1.1</v>
      </c>
      <c r="FG35" s="78">
        <v>1</v>
      </c>
      <c r="FH35" s="82"/>
      <c r="FI35" s="54"/>
      <c r="FJ35" s="78">
        <v>1</v>
      </c>
      <c r="FK35" s="78">
        <v>1</v>
      </c>
      <c r="FL35" s="77"/>
      <c r="FM35" s="77"/>
      <c r="FN35" s="78">
        <f>FJ35</f>
        <v>1</v>
      </c>
      <c r="FO35" s="78">
        <v>1</v>
      </c>
      <c r="FP35" s="77"/>
      <c r="FQ35" s="77"/>
      <c r="FR35" s="79">
        <f>FN35</f>
        <v>1</v>
      </c>
      <c r="FS35" s="79">
        <v>1</v>
      </c>
      <c r="FT35" s="77"/>
      <c r="FU35" s="77"/>
      <c r="FV35" s="78">
        <f>FR35</f>
        <v>1</v>
      </c>
      <c r="FW35" s="78">
        <v>1</v>
      </c>
      <c r="FX35" s="77"/>
      <c r="FY35" s="77"/>
      <c r="FZ35" s="78">
        <f>FV35</f>
        <v>1</v>
      </c>
      <c r="GA35" s="78">
        <v>1</v>
      </c>
      <c r="GB35" s="77"/>
      <c r="GC35" s="77"/>
      <c r="GD35" s="79">
        <f>FZ35</f>
        <v>1</v>
      </c>
      <c r="GE35" s="79">
        <v>1</v>
      </c>
      <c r="GF35" s="77"/>
      <c r="GG35" s="77"/>
      <c r="GH35" s="78">
        <f>GD35</f>
        <v>1</v>
      </c>
      <c r="GI35" s="78">
        <v>1</v>
      </c>
      <c r="GJ35" s="77"/>
      <c r="GK35" s="77"/>
      <c r="GL35" s="78">
        <f>GH35</f>
        <v>1</v>
      </c>
      <c r="GM35" s="78">
        <v>1</v>
      </c>
      <c r="GN35" s="77"/>
      <c r="GO35" s="77"/>
      <c r="GP35" s="78">
        <f>GL35</f>
        <v>1</v>
      </c>
      <c r="GQ35" s="78">
        <v>1</v>
      </c>
      <c r="GR35" s="77"/>
      <c r="GS35" s="77"/>
      <c r="GT35" s="78">
        <f>GP35</f>
        <v>1</v>
      </c>
      <c r="GU35" s="78">
        <v>1</v>
      </c>
      <c r="GV35" s="77"/>
      <c r="GW35" s="77"/>
      <c r="GX35" s="79">
        <f>GT35</f>
        <v>1</v>
      </c>
      <c r="GY35" s="79">
        <v>1</v>
      </c>
      <c r="GZ35" s="77"/>
      <c r="HA35" s="28"/>
      <c r="HB35" s="78">
        <f>'A.I Revenue Streams - P2'!Q37+100%</f>
        <v>1.1</v>
      </c>
      <c r="HC35" s="78">
        <v>1</v>
      </c>
      <c r="HD35" s="82"/>
      <c r="HE35" s="28"/>
      <c r="HF35" s="78">
        <f>'A.I Revenue Streams - P2'!S37+100%</f>
        <v>1.1</v>
      </c>
      <c r="HG35" s="78">
        <v>1</v>
      </c>
      <c r="HH35" s="82"/>
      <c r="HI35" s="54"/>
      <c r="HJ35" s="78">
        <v>1</v>
      </c>
      <c r="HK35" s="78">
        <v>1</v>
      </c>
      <c r="HL35" s="77"/>
      <c r="HM35" s="77"/>
      <c r="HN35" s="78">
        <f>HJ35</f>
        <v>1</v>
      </c>
      <c r="HO35" s="78">
        <v>1</v>
      </c>
      <c r="HP35" s="77"/>
      <c r="HQ35" s="77"/>
      <c r="HR35" s="79">
        <f>HN35</f>
        <v>1</v>
      </c>
      <c r="HS35" s="79">
        <v>1</v>
      </c>
      <c r="HT35" s="77"/>
      <c r="HU35" s="77"/>
      <c r="HV35" s="78">
        <f>HR35</f>
        <v>1</v>
      </c>
      <c r="HW35" s="78">
        <v>1</v>
      </c>
      <c r="HX35" s="77"/>
      <c r="HY35" s="77"/>
      <c r="HZ35" s="78">
        <f>HV35</f>
        <v>1</v>
      </c>
      <c r="IA35" s="78">
        <v>1</v>
      </c>
      <c r="IB35" s="77"/>
      <c r="IC35" s="77"/>
      <c r="ID35" s="79">
        <f>HZ35</f>
        <v>1</v>
      </c>
      <c r="IE35" s="79">
        <v>1</v>
      </c>
      <c r="IF35" s="77"/>
      <c r="IG35" s="77"/>
      <c r="IH35" s="78">
        <f>ID35</f>
        <v>1</v>
      </c>
      <c r="II35" s="78">
        <v>1</v>
      </c>
      <c r="IJ35" s="77"/>
      <c r="IK35" s="77"/>
      <c r="IL35" s="78">
        <f>IH35</f>
        <v>1</v>
      </c>
      <c r="IM35" s="78">
        <v>1</v>
      </c>
      <c r="IN35" s="77"/>
      <c r="IO35" s="77"/>
      <c r="IP35" s="78">
        <f>IL35</f>
        <v>1</v>
      </c>
      <c r="IQ35" s="78">
        <v>1</v>
      </c>
      <c r="IR35" s="77"/>
      <c r="IS35" s="77"/>
      <c r="IT35" s="78">
        <f>IP35</f>
        <v>1</v>
      </c>
      <c r="IU35" s="78">
        <v>1</v>
      </c>
      <c r="IV35" s="77"/>
      <c r="IW35" s="77"/>
      <c r="IX35" s="79">
        <f>IT35</f>
        <v>1</v>
      </c>
      <c r="IY35" s="79">
        <v>1</v>
      </c>
      <c r="IZ35" s="82"/>
      <c r="JA35" s="28"/>
      <c r="JB35" s="78">
        <f>'A.I Revenue Streams - P2'!S37+100%</f>
        <v>1.1</v>
      </c>
      <c r="JC35" s="78">
        <v>1</v>
      </c>
      <c r="JD35" s="82"/>
      <c r="JE35" s="28"/>
      <c r="JF35" s="78">
        <f>'A.I Revenue Streams - P2'!U37+100%</f>
        <v>1.1</v>
      </c>
      <c r="JG35" s="78">
        <v>1</v>
      </c>
      <c r="JH35" s="82"/>
      <c r="JI35" s="54"/>
      <c r="JJ35" s="78">
        <v>1</v>
      </c>
      <c r="JK35" s="78">
        <v>1</v>
      </c>
      <c r="JL35" s="77"/>
      <c r="JM35" s="77"/>
      <c r="JN35" s="78">
        <f>JJ35</f>
        <v>1</v>
      </c>
      <c r="JO35" s="78">
        <v>1</v>
      </c>
      <c r="JP35" s="77"/>
      <c r="JQ35" s="77"/>
      <c r="JR35" s="79">
        <f>JN35</f>
        <v>1</v>
      </c>
      <c r="JS35" s="79">
        <v>1</v>
      </c>
      <c r="JT35" s="77"/>
      <c r="JU35" s="77"/>
      <c r="JV35" s="78">
        <f>JR35</f>
        <v>1</v>
      </c>
      <c r="JW35" s="78">
        <v>1</v>
      </c>
      <c r="JX35" s="77"/>
      <c r="JY35" s="77"/>
      <c r="JZ35" s="78">
        <f>JV35</f>
        <v>1</v>
      </c>
      <c r="KA35" s="78">
        <v>1</v>
      </c>
      <c r="KB35" s="77"/>
      <c r="KC35" s="77"/>
      <c r="KD35" s="79">
        <f>JZ35</f>
        <v>1</v>
      </c>
      <c r="KE35" s="79">
        <v>1</v>
      </c>
      <c r="KF35" s="77"/>
      <c r="KG35" s="77"/>
      <c r="KH35" s="78">
        <f>KD35</f>
        <v>1</v>
      </c>
      <c r="KI35" s="78">
        <v>1</v>
      </c>
      <c r="KJ35" s="77"/>
      <c r="KK35" s="77"/>
      <c r="KL35" s="78">
        <f>KH35</f>
        <v>1</v>
      </c>
      <c r="KM35" s="78">
        <v>1</v>
      </c>
      <c r="KN35" s="77"/>
      <c r="KO35" s="77"/>
      <c r="KP35" s="78">
        <f>KL35</f>
        <v>1</v>
      </c>
      <c r="KQ35" s="78">
        <v>1</v>
      </c>
      <c r="KR35" s="77"/>
      <c r="KS35" s="77"/>
      <c r="KT35" s="78">
        <f>KP35</f>
        <v>1</v>
      </c>
      <c r="KU35" s="78">
        <v>1</v>
      </c>
      <c r="KV35" s="77"/>
      <c r="KW35" s="77"/>
      <c r="KX35" s="79">
        <f>KT35</f>
        <v>1</v>
      </c>
      <c r="KY35" s="79">
        <v>1</v>
      </c>
      <c r="KZ35" s="82"/>
      <c r="LA35" s="28"/>
      <c r="LB35" s="78">
        <f>'A.I Revenue Streams - P2'!U37+100%</f>
        <v>1.1</v>
      </c>
      <c r="LC35" s="78">
        <v>1</v>
      </c>
      <c r="LD35" s="82"/>
    </row>
    <row r="36" ht="18.75" customHeight="1" spans="2:316" x14ac:dyDescent="0.25">
      <c r="B36" s="5">
        <v>4</v>
      </c>
      <c r="C36" s="29">
        <f>'A.I Revenue Streams - P1'!D36</f>
        <v>0</v>
      </c>
      <c r="D36" s="27"/>
      <c r="E36" s="28"/>
      <c r="F36" s="51"/>
      <c r="G36" s="51"/>
      <c r="H36" s="51"/>
      <c r="I36" s="54"/>
      <c r="J36" s="51"/>
      <c r="K36" s="51"/>
      <c r="L36" s="51"/>
      <c r="M36" s="54"/>
      <c r="N36" s="51"/>
      <c r="O36" s="51"/>
      <c r="P36" s="51"/>
      <c r="Q36" s="54"/>
      <c r="R36" s="51"/>
      <c r="S36" s="51"/>
      <c r="T36" s="51"/>
      <c r="U36" s="54"/>
      <c r="V36" s="51"/>
      <c r="W36" s="51"/>
      <c r="X36" s="51"/>
      <c r="Y36" s="54"/>
      <c r="Z36" s="51"/>
      <c r="AA36" s="51"/>
      <c r="AB36" s="51"/>
      <c r="AC36" s="54"/>
      <c r="AD36" s="51"/>
      <c r="AE36" s="51"/>
      <c r="AF36" s="51"/>
      <c r="AG36" s="54"/>
      <c r="AH36" s="51"/>
      <c r="AI36" s="51"/>
      <c r="AJ36" s="51"/>
      <c r="AK36" s="54"/>
      <c r="AL36" s="51"/>
      <c r="AM36" s="51"/>
      <c r="AN36" s="51"/>
      <c r="AO36" s="54"/>
      <c r="AP36" s="51"/>
      <c r="AQ36" s="51"/>
      <c r="AR36" s="51"/>
      <c r="AS36" s="54"/>
      <c r="AT36" s="51"/>
      <c r="AU36" s="51"/>
      <c r="AV36" s="51"/>
      <c r="AW36" s="54"/>
      <c r="AX36" s="51"/>
      <c r="AY36" s="51"/>
      <c r="AZ36" s="51"/>
      <c r="BA36" s="54"/>
      <c r="BB36" s="80"/>
      <c r="BC36" s="80"/>
      <c r="BD36" s="80"/>
      <c r="BF36" s="51"/>
      <c r="BG36" s="51"/>
      <c r="BH36" s="51"/>
      <c r="BI36" s="54"/>
      <c r="BJ36" s="51"/>
      <c r="BK36" s="51"/>
      <c r="BL36" s="51"/>
      <c r="BM36" s="54"/>
      <c r="BN36" s="51"/>
      <c r="BO36" s="51"/>
      <c r="BP36" s="51"/>
      <c r="BQ36" s="54"/>
      <c r="BR36" s="51"/>
      <c r="BS36" s="51"/>
      <c r="BT36" s="51"/>
      <c r="BU36" s="54"/>
      <c r="BV36" s="51"/>
      <c r="BW36" s="51"/>
      <c r="BX36" s="51"/>
      <c r="BY36" s="54"/>
      <c r="BZ36" s="51"/>
      <c r="CA36" s="51"/>
      <c r="CB36" s="51"/>
      <c r="CC36" s="54"/>
      <c r="CD36" s="51"/>
      <c r="CE36" s="51"/>
      <c r="CF36" s="51"/>
      <c r="CG36" s="54"/>
      <c r="CH36" s="51"/>
      <c r="CI36" s="51"/>
      <c r="CJ36" s="51"/>
      <c r="CK36" s="54"/>
      <c r="CL36" s="51"/>
      <c r="CM36" s="51"/>
      <c r="CN36" s="51"/>
      <c r="CO36" s="54"/>
      <c r="CP36" s="51"/>
      <c r="CQ36" s="51"/>
      <c r="CR36" s="51"/>
      <c r="CS36" s="54"/>
      <c r="CT36" s="51"/>
      <c r="CU36" s="51"/>
      <c r="CV36" s="51"/>
      <c r="CW36" s="54"/>
      <c r="CX36" s="51"/>
      <c r="CY36" s="51"/>
      <c r="CZ36" s="51"/>
      <c r="DA36" s="54"/>
      <c r="DB36" s="80"/>
      <c r="DC36" s="80"/>
      <c r="DD36" s="80"/>
      <c r="DF36" s="51"/>
      <c r="DG36" s="51"/>
      <c r="DH36" s="51"/>
      <c r="DI36" s="54"/>
      <c r="DJ36" s="51"/>
      <c r="DK36" s="51"/>
      <c r="DL36" s="51"/>
      <c r="DM36" s="54"/>
      <c r="DN36" s="51"/>
      <c r="DO36" s="51"/>
      <c r="DP36" s="51"/>
      <c r="DQ36" s="54"/>
      <c r="DR36" s="51"/>
      <c r="DS36" s="51"/>
      <c r="DT36" s="51"/>
      <c r="DU36" s="54"/>
      <c r="DV36" s="51"/>
      <c r="DW36" s="51"/>
      <c r="DX36" s="51"/>
      <c r="DY36" s="54"/>
      <c r="DZ36" s="51"/>
      <c r="EA36" s="51"/>
      <c r="EB36" s="51"/>
      <c r="EC36" s="54"/>
      <c r="ED36" s="51"/>
      <c r="EE36" s="51"/>
      <c r="EF36" s="51"/>
      <c r="EG36" s="54"/>
      <c r="EH36" s="51"/>
      <c r="EI36" s="51"/>
      <c r="EJ36" s="51"/>
      <c r="EK36" s="54"/>
      <c r="EL36" s="51"/>
      <c r="EM36" s="51"/>
      <c r="EN36" s="51"/>
      <c r="EO36" s="54"/>
      <c r="EP36" s="51"/>
      <c r="EQ36" s="51"/>
      <c r="ER36" s="51"/>
      <c r="ES36" s="54"/>
      <c r="ET36" s="51"/>
      <c r="EU36" s="51"/>
      <c r="EV36" s="51"/>
      <c r="EW36" s="54"/>
      <c r="EX36" s="51"/>
      <c r="EY36" s="51"/>
      <c r="EZ36" s="51"/>
      <c r="FA36" s="54"/>
      <c r="FB36" s="80"/>
      <c r="FC36" s="80"/>
      <c r="FD36" s="80"/>
      <c r="FF36" s="51"/>
      <c r="FG36" s="51"/>
      <c r="FH36" s="51"/>
      <c r="FI36" s="54"/>
      <c r="FJ36" s="51"/>
      <c r="FK36" s="51"/>
      <c r="FL36" s="51"/>
      <c r="FM36" s="54"/>
      <c r="FN36" s="51"/>
      <c r="FO36" s="51"/>
      <c r="FP36" s="51"/>
      <c r="FQ36" s="54"/>
      <c r="FR36" s="51"/>
      <c r="FS36" s="51"/>
      <c r="FT36" s="51"/>
      <c r="FU36" s="54"/>
      <c r="FV36" s="51"/>
      <c r="FW36" s="51"/>
      <c r="FX36" s="51"/>
      <c r="FY36" s="54"/>
      <c r="FZ36" s="51"/>
      <c r="GA36" s="51"/>
      <c r="GB36" s="51"/>
      <c r="GC36" s="54"/>
      <c r="GD36" s="51"/>
      <c r="GE36" s="51"/>
      <c r="GF36" s="51"/>
      <c r="GG36" s="54"/>
      <c r="GH36" s="51"/>
      <c r="GI36" s="51"/>
      <c r="GJ36" s="51"/>
      <c r="GK36" s="54"/>
      <c r="GL36" s="51"/>
      <c r="GM36" s="51"/>
      <c r="GN36" s="51"/>
      <c r="GO36" s="54"/>
      <c r="GP36" s="51"/>
      <c r="GQ36" s="51"/>
      <c r="GR36" s="51"/>
      <c r="GS36" s="54"/>
      <c r="GT36" s="51"/>
      <c r="GU36" s="51"/>
      <c r="GV36" s="51"/>
      <c r="GW36" s="54"/>
      <c r="GX36" s="51"/>
      <c r="GY36" s="51"/>
      <c r="GZ36" s="51"/>
      <c r="HB36" s="80"/>
      <c r="HC36" s="80"/>
      <c r="HD36" s="80"/>
      <c r="HF36" s="51"/>
      <c r="HG36" s="51"/>
      <c r="HH36" s="51"/>
      <c r="HI36" s="54"/>
      <c r="HJ36" s="51"/>
      <c r="HK36" s="51"/>
      <c r="HL36" s="51"/>
      <c r="HM36" s="54"/>
      <c r="HN36" s="51"/>
      <c r="HO36" s="51"/>
      <c r="HP36" s="51"/>
      <c r="HQ36" s="54"/>
      <c r="HR36" s="51"/>
      <c r="HS36" s="51"/>
      <c r="HT36" s="51"/>
      <c r="HU36" s="54"/>
      <c r="HV36" s="51"/>
      <c r="HW36" s="51"/>
      <c r="HX36" s="51"/>
      <c r="HY36" s="54"/>
      <c r="HZ36" s="51"/>
      <c r="IA36" s="51"/>
      <c r="IB36" s="51"/>
      <c r="IC36" s="54"/>
      <c r="ID36" s="51"/>
      <c r="IE36" s="51"/>
      <c r="IF36" s="51"/>
      <c r="IG36" s="54"/>
      <c r="IH36" s="51"/>
      <c r="II36" s="51"/>
      <c r="IJ36" s="51"/>
      <c r="IK36" s="54"/>
      <c r="IL36" s="51"/>
      <c r="IM36" s="51"/>
      <c r="IN36" s="51"/>
      <c r="IO36" s="54"/>
      <c r="IP36" s="51"/>
      <c r="IQ36" s="51"/>
      <c r="IR36" s="51"/>
      <c r="IS36" s="54"/>
      <c r="IT36" s="51"/>
      <c r="IU36" s="51"/>
      <c r="IV36" s="51"/>
      <c r="IW36" s="54"/>
      <c r="IX36" s="51"/>
      <c r="IY36" s="51"/>
      <c r="IZ36" s="51"/>
      <c r="JB36" s="80"/>
      <c r="JC36" s="80"/>
      <c r="JD36" s="80"/>
      <c r="JF36" s="51"/>
      <c r="JG36" s="51"/>
      <c r="JH36" s="51"/>
      <c r="JI36" s="54"/>
      <c r="JJ36" s="51"/>
      <c r="JK36" s="51"/>
      <c r="JL36" s="51"/>
      <c r="JM36" s="54"/>
      <c r="JN36" s="51"/>
      <c r="JO36" s="51"/>
      <c r="JP36" s="51"/>
      <c r="JQ36" s="54"/>
      <c r="JR36" s="51"/>
      <c r="JS36" s="51"/>
      <c r="JT36" s="51"/>
      <c r="JU36" s="54"/>
      <c r="JV36" s="51"/>
      <c r="JW36" s="51"/>
      <c r="JX36" s="51"/>
      <c r="JY36" s="54"/>
      <c r="JZ36" s="51"/>
      <c r="KA36" s="51"/>
      <c r="KB36" s="51"/>
      <c r="KC36" s="54"/>
      <c r="KD36" s="51"/>
      <c r="KE36" s="51"/>
      <c r="KF36" s="51"/>
      <c r="KG36" s="54"/>
      <c r="KH36" s="51"/>
      <c r="KI36" s="51"/>
      <c r="KJ36" s="51"/>
      <c r="KK36" s="54"/>
      <c r="KL36" s="51"/>
      <c r="KM36" s="51"/>
      <c r="KN36" s="51"/>
      <c r="KO36" s="54"/>
      <c r="KP36" s="51"/>
      <c r="KQ36" s="51"/>
      <c r="KR36" s="51"/>
      <c r="KS36" s="54"/>
      <c r="KT36" s="51"/>
      <c r="KU36" s="51"/>
      <c r="KV36" s="51"/>
      <c r="KW36" s="54"/>
      <c r="KX36" s="51"/>
      <c r="KY36" s="51"/>
      <c r="KZ36" s="51"/>
      <c r="LB36" s="80"/>
      <c r="LC36" s="80"/>
      <c r="LD36" s="80"/>
    </row>
    <row r="37" ht="18.75" customHeight="1" spans="2:316" x14ac:dyDescent="0.25">
      <c r="B37" s="5" t="s">
        <v>70</v>
      </c>
      <c r="C37" s="27"/>
      <c r="D37" s="29">
        <f>'A.I Revenue Streams - P1'!E37</f>
        <v>0</v>
      </c>
      <c r="E37" s="30"/>
      <c r="F37" s="51">
        <f>'A.I Revenue Streams - P2'!G37*25</f>
        <v>125</v>
      </c>
      <c r="G37" s="51">
        <f>'A.I Revenue Streams - P2'!I37</f>
        <v>20</v>
      </c>
      <c r="H37" s="51">
        <f>F37*G37</f>
        <v>2500</v>
      </c>
      <c r="I37" s="54"/>
      <c r="J37" s="51">
        <f>F37*$J$35</f>
        <v>137.5</v>
      </c>
      <c r="K37" s="51">
        <f>G37*$K$35</f>
        <v>20</v>
      </c>
      <c r="L37" s="51">
        <f>J37*K37</f>
        <v>2750</v>
      </c>
      <c r="M37" s="54"/>
      <c r="N37" s="51">
        <f>J37*$N$35</f>
        <v>137.5</v>
      </c>
      <c r="O37" s="51">
        <f>K37*$O$35</f>
        <v>20</v>
      </c>
      <c r="P37" s="51">
        <f>N37*O37</f>
        <v>2750</v>
      </c>
      <c r="Q37" s="54"/>
      <c r="R37" s="51">
        <f>N37*$R$35</f>
        <v>137.5</v>
      </c>
      <c r="S37" s="51">
        <f>O37*$S$35</f>
        <v>20</v>
      </c>
      <c r="T37" s="51">
        <f>R37*S37</f>
        <v>2750</v>
      </c>
      <c r="U37" s="54"/>
      <c r="V37" s="51">
        <f>R37*$V$35</f>
        <v>137.5</v>
      </c>
      <c r="W37" s="51">
        <f>S37*$W$35</f>
        <v>20</v>
      </c>
      <c r="X37" s="51">
        <f>V37*W37</f>
        <v>2750</v>
      </c>
      <c r="Y37" s="54"/>
      <c r="Z37" s="51">
        <f>V37*$Z$35</f>
        <v>137.5</v>
      </c>
      <c r="AA37" s="51">
        <f>W37*$AA$35</f>
        <v>20</v>
      </c>
      <c r="AB37" s="51">
        <f>Z37*AA37</f>
        <v>2750</v>
      </c>
      <c r="AC37" s="54"/>
      <c r="AD37" s="51">
        <f>Z37*$AD$35</f>
        <v>137.5</v>
      </c>
      <c r="AE37" s="51">
        <f>AA37*$AE$35</f>
        <v>20</v>
      </c>
      <c r="AF37" s="51">
        <f>AD37*AE37</f>
        <v>2750</v>
      </c>
      <c r="AG37" s="54"/>
      <c r="AH37" s="51">
        <f>AD37*$AH$35</f>
        <v>137.5</v>
      </c>
      <c r="AI37" s="51">
        <f>AE37*$AI$35</f>
        <v>20</v>
      </c>
      <c r="AJ37" s="51">
        <f>AH37*AI37</f>
        <v>2750</v>
      </c>
      <c r="AK37" s="54"/>
      <c r="AL37" s="51">
        <f>AH37*$AL$35</f>
        <v>137.5</v>
      </c>
      <c r="AM37" s="51">
        <f>AI37*$AM$35</f>
        <v>20</v>
      </c>
      <c r="AN37" s="51">
        <f>AL37*AM37</f>
        <v>2750</v>
      </c>
      <c r="AO37" s="54"/>
      <c r="AP37" s="51">
        <f>AL37*$AP$35</f>
        <v>137.5</v>
      </c>
      <c r="AQ37" s="51">
        <f>AM37*$AQ$35</f>
        <v>20</v>
      </c>
      <c r="AR37" s="51">
        <f>AP37*AQ37</f>
        <v>2750</v>
      </c>
      <c r="AS37" s="54"/>
      <c r="AT37" s="51">
        <f>AP37*$AT$35</f>
        <v>137.5</v>
      </c>
      <c r="AU37" s="51">
        <f>AQ37*$AU$35</f>
        <v>20</v>
      </c>
      <c r="AV37" s="51">
        <f>AT37*AU37</f>
        <v>2750</v>
      </c>
      <c r="AW37" s="54"/>
      <c r="AX37" s="51">
        <f>AT37*$AX$35</f>
        <v>137.5</v>
      </c>
      <c r="AY37" s="51">
        <f>AU37*$AY$35</f>
        <v>20</v>
      </c>
      <c r="AZ37" s="51">
        <f>AX37*AY37</f>
        <v>2750</v>
      </c>
      <c r="BA37" s="54"/>
      <c r="BB37" s="85">
        <f>SUMIF($F$6:$AZ$6,$BB$6,F37:AZ37)</f>
        <v>1637.5</v>
      </c>
      <c r="BC37" s="85">
        <f>SUMIF($F$6:$AZ$6,$BC$6,F37:AZ37)/12</f>
        <v>20</v>
      </c>
      <c r="BD37" s="80">
        <f>H37+L37+P37+T37+X37+AB37+AF37+AJ37+AN37</f>
        <v>24500</v>
      </c>
      <c r="BE37" t="b">
        <f>(BB37*BC37)=BD37</f>
        <v>0</v>
      </c>
      <c r="BF37" s="51">
        <f>AX37*$BF$35</f>
        <v>151.25</v>
      </c>
      <c r="BG37" s="51">
        <f>AY37*$BG$35</f>
        <v>20</v>
      </c>
      <c r="BH37" s="51">
        <f>BF37*BG37</f>
        <v>3025</v>
      </c>
      <c r="BI37" s="54"/>
      <c r="BJ37" s="51">
        <f>BF37*$BJ$35</f>
        <v>151.25</v>
      </c>
      <c r="BK37" s="51">
        <f>BG37*$BK$35</f>
        <v>20</v>
      </c>
      <c r="BL37" s="51">
        <f>BJ37*BK37</f>
        <v>3025</v>
      </c>
      <c r="BM37" s="54"/>
      <c r="BN37" s="51">
        <f>BJ37*$BN$35</f>
        <v>151.25</v>
      </c>
      <c r="BO37" s="51">
        <f>BK37*$BO$35</f>
        <v>20</v>
      </c>
      <c r="BP37" s="51">
        <f>BN37*BO37</f>
        <v>3025</v>
      </c>
      <c r="BQ37" s="54"/>
      <c r="BR37" s="51">
        <f>BN37*$BR$35</f>
        <v>151.25</v>
      </c>
      <c r="BS37" s="51">
        <f>BO37*$BS$35</f>
        <v>20</v>
      </c>
      <c r="BT37" s="51">
        <f>BR37*BS37</f>
        <v>3025</v>
      </c>
      <c r="BU37" s="54"/>
      <c r="BV37" s="51">
        <f>BR37*$BV$35</f>
        <v>151.25</v>
      </c>
      <c r="BW37" s="51">
        <f>BS37*$BW$35</f>
        <v>20</v>
      </c>
      <c r="BX37" s="51">
        <f>BV37*BW37</f>
        <v>3025</v>
      </c>
      <c r="BY37" s="54"/>
      <c r="BZ37" s="51">
        <f>BV37*$BZ$35</f>
        <v>151.25</v>
      </c>
      <c r="CA37" s="51">
        <f>BW37*$CA$35</f>
        <v>20</v>
      </c>
      <c r="CB37" s="51">
        <f>BZ37*CA37</f>
        <v>3025</v>
      </c>
      <c r="CC37" s="54"/>
      <c r="CD37" s="51">
        <f>BZ37*$CD$35</f>
        <v>151.25</v>
      </c>
      <c r="CE37" s="51">
        <f>CA37*$CE$35</f>
        <v>20</v>
      </c>
      <c r="CF37" s="51">
        <f>CD37*CE37</f>
        <v>3025</v>
      </c>
      <c r="CG37" s="54"/>
      <c r="CH37" s="51">
        <f>CD37*$CH$35</f>
        <v>151.25</v>
      </c>
      <c r="CI37" s="51">
        <f>CE37*$CI$35</f>
        <v>20</v>
      </c>
      <c r="CJ37" s="51">
        <f>CH37*CI37</f>
        <v>3025</v>
      </c>
      <c r="CK37" s="54"/>
      <c r="CL37" s="51">
        <f>CH37*$CL$35</f>
        <v>151.25</v>
      </c>
      <c r="CM37" s="51">
        <f>CI37*$CM$35</f>
        <v>20</v>
      </c>
      <c r="CN37" s="51">
        <f>CL37*CM37</f>
        <v>3025</v>
      </c>
      <c r="CO37" s="54"/>
      <c r="CP37" s="51">
        <f>CL37*$CP$35</f>
        <v>151.25</v>
      </c>
      <c r="CQ37" s="51">
        <f>CM37*$CQ$35</f>
        <v>20</v>
      </c>
      <c r="CR37" s="51">
        <f>CP37*CQ37</f>
        <v>3025</v>
      </c>
      <c r="CS37" s="54"/>
      <c r="CT37" s="51">
        <f>CP37*$CT$35</f>
        <v>151.25</v>
      </c>
      <c r="CU37" s="51">
        <f>CQ37*$CU$35</f>
        <v>20</v>
      </c>
      <c r="CV37" s="51">
        <f>CT37*CU37</f>
        <v>3025</v>
      </c>
      <c r="CW37" s="54"/>
      <c r="CX37" s="51">
        <f>CT37*$CX$35</f>
        <v>151.25</v>
      </c>
      <c r="CY37" s="51">
        <f>CU37*$CY$35</f>
        <v>20</v>
      </c>
      <c r="CZ37" s="51">
        <f>CX37*CY37</f>
        <v>3025</v>
      </c>
      <c r="DA37" s="54"/>
      <c r="DB37" s="80">
        <f>BF37+BJ37+BN37+BR37+BV37+BZ37+CD37+CH37+CL37+CP37+CT37+CX37</f>
        <v>1815</v>
      </c>
      <c r="DC37" s="80">
        <f>(BG37+BK37+BO37+BS37+BW37+CA37+CE37+CI37+CM37+CQ37+CU37+CY37)/12</f>
        <v>20</v>
      </c>
      <c r="DD37" s="80">
        <f>BH37+BL37+BP37+BT37+BX37+CB37+CF37+CJ37+CN37+CR37+CV37+CZ37</f>
        <v>36300</v>
      </c>
      <c r="DF37" s="51">
        <f>CX37*$DF$35</f>
        <v>166.375</v>
      </c>
      <c r="DG37" s="51">
        <f>CY37*$DG$35</f>
        <v>20</v>
      </c>
      <c r="DH37" s="51">
        <f>DF37*DG37</f>
        <v>3327.5</v>
      </c>
      <c r="DI37" s="54"/>
      <c r="DJ37" s="51">
        <f>DF37*$DJ$35</f>
        <v>166.375</v>
      </c>
      <c r="DK37" s="51">
        <f>DG37*$DK$35</f>
        <v>20</v>
      </c>
      <c r="DL37" s="51">
        <f>DJ37*DK37</f>
        <v>3327.5</v>
      </c>
      <c r="DM37" s="54"/>
      <c r="DN37" s="51">
        <f>DJ37*$DN$35</f>
        <v>166.375</v>
      </c>
      <c r="DO37" s="51">
        <f>DK37*$DO$35</f>
        <v>20</v>
      </c>
      <c r="DP37" s="51">
        <f>DN37*DO37</f>
        <v>3327.5</v>
      </c>
      <c r="DQ37" s="54"/>
      <c r="DR37" s="51">
        <f>DN37*$DR$35</f>
        <v>166.375</v>
      </c>
      <c r="DS37" s="51">
        <f>DO37*$DS$35</f>
        <v>20</v>
      </c>
      <c r="DT37" s="51">
        <f>DR37*DS37</f>
        <v>3327.5</v>
      </c>
      <c r="DU37" s="54"/>
      <c r="DV37" s="51">
        <f>DR37*$DV$35</f>
        <v>166.375</v>
      </c>
      <c r="DW37" s="51">
        <f>DS37*$DW$35</f>
        <v>20</v>
      </c>
      <c r="DX37" s="51">
        <f>DV37*DW37</f>
        <v>3327.5</v>
      </c>
      <c r="DY37" s="54"/>
      <c r="DZ37" s="51">
        <f>DV37*$DZ$35</f>
        <v>166.375</v>
      </c>
      <c r="EA37" s="51">
        <f>DW37*$EA$35</f>
        <v>20</v>
      </c>
      <c r="EB37" s="51">
        <f>DZ37*EA37</f>
        <v>3327.5</v>
      </c>
      <c r="EC37" s="54"/>
      <c r="ED37" s="51">
        <f>DZ37*$ED$35</f>
        <v>166.375</v>
      </c>
      <c r="EE37" s="51">
        <f>EA37*$EE$35</f>
        <v>20</v>
      </c>
      <c r="EF37" s="51">
        <f>ED37*EE37</f>
        <v>3327.5</v>
      </c>
      <c r="EG37" s="54"/>
      <c r="EH37" s="51">
        <f>ED37*$EH$35</f>
        <v>166.375</v>
      </c>
      <c r="EI37" s="51">
        <f>EE37*$EI$35</f>
        <v>20</v>
      </c>
      <c r="EJ37" s="51">
        <f>EH37*EI37</f>
        <v>3327.5</v>
      </c>
      <c r="EK37" s="54"/>
      <c r="EL37" s="51">
        <f>EH37*$EL$35</f>
        <v>166.375</v>
      </c>
      <c r="EM37" s="51">
        <f>EI37*$EM$35</f>
        <v>20</v>
      </c>
      <c r="EN37" s="51">
        <f>EL37*EM37</f>
        <v>3327.5</v>
      </c>
      <c r="EO37" s="54"/>
      <c r="EP37" s="51">
        <f>EL37*$EP$35</f>
        <v>166.375</v>
      </c>
      <c r="EQ37" s="51">
        <f>EM37*$EQ$35</f>
        <v>20</v>
      </c>
      <c r="ER37" s="51">
        <f>EP37*EQ37</f>
        <v>3327.5</v>
      </c>
      <c r="ES37" s="54"/>
      <c r="ET37" s="51">
        <f>EP37*$ET$35</f>
        <v>166.375</v>
      </c>
      <c r="EU37" s="51">
        <f>EQ37*$EU$35</f>
        <v>20</v>
      </c>
      <c r="EV37" s="51">
        <f>ET37*EU37</f>
        <v>3327.5</v>
      </c>
      <c r="EW37" s="54"/>
      <c r="EX37" s="51">
        <f>ET37*$EX$35</f>
        <v>166.375</v>
      </c>
      <c r="EY37" s="51">
        <f>EU37*$EY$35</f>
        <v>20</v>
      </c>
      <c r="EZ37" s="51">
        <f>EX37*EY37</f>
        <v>3327.5</v>
      </c>
      <c r="FA37" s="54"/>
      <c r="FB37" s="80">
        <f>DF37+DJ37+DN37+DR37+DV37+DZ37+ED37+EH37+EL37+EP37+ET37+EX37</f>
        <v>1996.5</v>
      </c>
      <c r="FC37" s="80">
        <f>(DG37+DK37+DO37+DS37+DW37+EA37+EE37+EI37+EM37+EQ37+EU37+EY37)/12</f>
        <v>20</v>
      </c>
      <c r="FD37" s="80">
        <f>DH37+DL37+DP37+DT37+DX37+EB37+EF37+EJ37+EN37+ER37+EV37+EZ37</f>
        <v>39930</v>
      </c>
      <c r="FF37" s="51">
        <f>EX37*$FF$35</f>
        <v>183.01250000000002</v>
      </c>
      <c r="FG37" s="51">
        <f>EY37*$FG$35</f>
        <v>20</v>
      </c>
      <c r="FH37" s="51">
        <f>FF37*FG37</f>
        <v>3660.2500000000005</v>
      </c>
      <c r="FI37" s="54"/>
      <c r="FJ37" s="51">
        <f>FF37*$FJ$35</f>
        <v>183.01250000000002</v>
      </c>
      <c r="FK37" s="51">
        <f>FG37*$FK$35</f>
        <v>20</v>
      </c>
      <c r="FL37" s="51">
        <f>FJ37*FK37</f>
        <v>3660.2500000000005</v>
      </c>
      <c r="FM37" s="54"/>
      <c r="FN37" s="51">
        <f>FJ37*$FN$35</f>
        <v>183.01250000000002</v>
      </c>
      <c r="FO37" s="51">
        <f>FK37*$FO$35</f>
        <v>20</v>
      </c>
      <c r="FP37" s="51">
        <f>FN37*FO37</f>
        <v>3660.2500000000005</v>
      </c>
      <c r="FQ37" s="54"/>
      <c r="FR37" s="51">
        <f>FN37*$FR$35</f>
        <v>183.01250000000002</v>
      </c>
      <c r="FS37" s="51">
        <f>FO37*$FS$35</f>
        <v>20</v>
      </c>
      <c r="FT37" s="51">
        <f>FR37*FS37</f>
        <v>3660.2500000000005</v>
      </c>
      <c r="FU37" s="54"/>
      <c r="FV37" s="51">
        <f>FR37*$FV$35</f>
        <v>183.01250000000002</v>
      </c>
      <c r="FW37" s="51">
        <f>FS37*$FW$35</f>
        <v>20</v>
      </c>
      <c r="FX37" s="51">
        <f>FV37*FW37</f>
        <v>3660.2500000000005</v>
      </c>
      <c r="FY37" s="54"/>
      <c r="FZ37" s="51">
        <f>FV37*$FZ$35</f>
        <v>183.01250000000002</v>
      </c>
      <c r="GA37" s="51">
        <f>FW37*$GA$35</f>
        <v>20</v>
      </c>
      <c r="GB37" s="51">
        <f>FZ37*GA37</f>
        <v>3660.2500000000005</v>
      </c>
      <c r="GC37" s="54"/>
      <c r="GD37" s="51">
        <f>FZ37*$GD$35</f>
        <v>183.01250000000002</v>
      </c>
      <c r="GE37" s="51">
        <f>GA37*$GE$35</f>
        <v>20</v>
      </c>
      <c r="GF37" s="51">
        <f>GD37*GE37</f>
        <v>3660.2500000000005</v>
      </c>
      <c r="GG37" s="54"/>
      <c r="GH37" s="51">
        <f>GD37*$GH$35</f>
        <v>183.01250000000002</v>
      </c>
      <c r="GI37" s="51">
        <f>GE37*$GI$35</f>
        <v>20</v>
      </c>
      <c r="GJ37" s="51">
        <f>GH37*GI37</f>
        <v>3660.2500000000005</v>
      </c>
      <c r="GK37" s="54"/>
      <c r="GL37" s="51">
        <f>GH37*$GL$35</f>
        <v>183.01250000000002</v>
      </c>
      <c r="GM37" s="51">
        <f>GI37*$GM$35</f>
        <v>20</v>
      </c>
      <c r="GN37" s="51">
        <f>GL37*GM37</f>
        <v>3660.2500000000005</v>
      </c>
      <c r="GO37" s="54"/>
      <c r="GP37" s="51">
        <f>GL37*$GP$35</f>
        <v>183.01250000000002</v>
      </c>
      <c r="GQ37" s="51">
        <f>GM37*$GQ$35</f>
        <v>20</v>
      </c>
      <c r="GR37" s="51">
        <f>GP37*GQ37</f>
        <v>3660.2500000000005</v>
      </c>
      <c r="GS37" s="54"/>
      <c r="GT37" s="51">
        <f>GP37*$GT$35</f>
        <v>183.01250000000002</v>
      </c>
      <c r="GU37" s="51">
        <f>GQ37*$GU$35</f>
        <v>20</v>
      </c>
      <c r="GV37" s="51">
        <f>GT37*GU37</f>
        <v>3660.2500000000005</v>
      </c>
      <c r="GW37" s="54"/>
      <c r="GX37" s="51">
        <f>GT37*$GX$35</f>
        <v>183.01250000000002</v>
      </c>
      <c r="GY37" s="51">
        <f>GU37*$GY$35</f>
        <v>20</v>
      </c>
      <c r="GZ37" s="51">
        <f>GX37*GY37</f>
        <v>3660.2500000000005</v>
      </c>
      <c r="HB37" s="80">
        <f>FF37+FJ37+FN37+FR37+FV37+FZ37+GD37+GH37+GL37+GP37+GT37+GX37</f>
        <v>2196.15</v>
      </c>
      <c r="HC37" s="80">
        <f>(FG37+FK37+FO37+FS37+FW37+GA37+GE37+GI37+GM37+GQ37+GU37+GY37)/12</f>
        <v>20</v>
      </c>
      <c r="HD37" s="80">
        <f>FH37+FL37+FP37+FT37+FX37+GB37+GF37+GJ37+GN37+GR37+GV37+GZ37</f>
        <v>43923.00000000001</v>
      </c>
      <c r="HF37" s="51">
        <f>GX37*$HF$35</f>
        <v>201.31375000000003</v>
      </c>
      <c r="HG37" s="51">
        <f>GY37*$HG$35</f>
        <v>20</v>
      </c>
      <c r="HH37" s="51">
        <f>HF37*HG37</f>
        <v>4026.2750000000005</v>
      </c>
      <c r="HI37" s="54"/>
      <c r="HJ37" s="51">
        <f>HF37*$HJ$35</f>
        <v>201.31375000000003</v>
      </c>
      <c r="HK37" s="51">
        <f>HG37*$HK$35</f>
        <v>20</v>
      </c>
      <c r="HL37" s="51">
        <f>HJ37*HK37</f>
        <v>4026.2750000000005</v>
      </c>
      <c r="HM37" s="54"/>
      <c r="HN37" s="51">
        <f>HJ37*$HN$35</f>
        <v>201.31375000000003</v>
      </c>
      <c r="HO37" s="51">
        <f>HK37*$HO$35</f>
        <v>20</v>
      </c>
      <c r="HP37" s="51">
        <f>HN37*HO37</f>
        <v>4026.2750000000005</v>
      </c>
      <c r="HQ37" s="54"/>
      <c r="HR37" s="51">
        <f>HN37*$HR$35</f>
        <v>201.31375000000003</v>
      </c>
      <c r="HS37" s="51">
        <f>HO37*$HS$35</f>
        <v>20</v>
      </c>
      <c r="HT37" s="51">
        <f>HR37*HS37</f>
        <v>4026.2750000000005</v>
      </c>
      <c r="HU37" s="54"/>
      <c r="HV37" s="51">
        <f>HR37*$HV$35</f>
        <v>201.31375000000003</v>
      </c>
      <c r="HW37" s="51">
        <f>HS37*$HW$35</f>
        <v>20</v>
      </c>
      <c r="HX37" s="51">
        <f>HV37*HW37</f>
        <v>4026.2750000000005</v>
      </c>
      <c r="HY37" s="54"/>
      <c r="HZ37" s="51">
        <f>HV37*$HZ$35</f>
        <v>201.31375000000003</v>
      </c>
      <c r="IA37" s="51">
        <f>HW37*$IA$35</f>
        <v>20</v>
      </c>
      <c r="IB37" s="51">
        <f>HZ37*IA37</f>
        <v>4026.2750000000005</v>
      </c>
      <c r="IC37" s="54"/>
      <c r="ID37" s="51">
        <f>HZ37*$ID$35</f>
        <v>201.31375000000003</v>
      </c>
      <c r="IE37" s="51">
        <f>IA37*$IE$35</f>
        <v>20</v>
      </c>
      <c r="IF37" s="51">
        <f>ID37*IE37</f>
        <v>4026.2750000000005</v>
      </c>
      <c r="IG37" s="54"/>
      <c r="IH37" s="51">
        <f>ID37*$IH$35</f>
        <v>201.31375000000003</v>
      </c>
      <c r="II37" s="51">
        <f>IE37*$II$35</f>
        <v>20</v>
      </c>
      <c r="IJ37" s="51">
        <f>IH37*II37</f>
        <v>4026.2750000000005</v>
      </c>
      <c r="IK37" s="54"/>
      <c r="IL37" s="51">
        <f>IH37*$IL$35</f>
        <v>201.31375000000003</v>
      </c>
      <c r="IM37" s="51">
        <f>II37*$IM$35</f>
        <v>20</v>
      </c>
      <c r="IN37" s="51">
        <f>IL37*IM37</f>
        <v>4026.2750000000005</v>
      </c>
      <c r="IO37" s="54"/>
      <c r="IP37" s="51">
        <f>IL37*$IP$35</f>
        <v>201.31375000000003</v>
      </c>
      <c r="IQ37" s="51">
        <f>IM37*$IQ$35</f>
        <v>20</v>
      </c>
      <c r="IR37" s="51">
        <f>IP37*IQ37</f>
        <v>4026.2750000000005</v>
      </c>
      <c r="IS37" s="54"/>
      <c r="IT37" s="51">
        <f>IP37*$IT$35</f>
        <v>201.31375000000003</v>
      </c>
      <c r="IU37" s="51">
        <f>IQ37*$IU$35</f>
        <v>20</v>
      </c>
      <c r="IV37" s="51">
        <f>IT37*IU37</f>
        <v>4026.2750000000005</v>
      </c>
      <c r="IW37" s="54"/>
      <c r="IX37" s="51">
        <f>IT37*$IX$35</f>
        <v>201.31375000000003</v>
      </c>
      <c r="IY37" s="51">
        <f>IU37*$IY$35</f>
        <v>20</v>
      </c>
      <c r="IZ37" s="51">
        <f>IX37*IY37</f>
        <v>4026.2750000000005</v>
      </c>
      <c r="JB37" s="80">
        <f>HF37+HJ37+HN37+HR37+HV37+HZ37+ID37+IH37+IL37+IP37+IT37+IX37</f>
        <v>2415.7650000000003</v>
      </c>
      <c r="JC37" s="80">
        <f>(HG37+HK37+HO37+HS37+HW37+IA37+IE37+II37+IM37+IQ37+IU37+IY37)/12</f>
        <v>20</v>
      </c>
      <c r="JD37" s="80">
        <f>HH37+HL37+HP37+HT37+HX37+IB37+IF37+IJ37+IN37+IR37+IV37+IZ37</f>
        <v>48315.30000000001</v>
      </c>
      <c r="JF37" s="51">
        <f>IX37*$JF$35</f>
        <v>221.44512500000005</v>
      </c>
      <c r="JG37" s="51">
        <f>IY37*$JG$35</f>
        <v>20</v>
      </c>
      <c r="JH37" s="51">
        <f>JF37*JG37</f>
        <v>4428.902500000001</v>
      </c>
      <c r="JI37" s="54"/>
      <c r="JJ37" s="51">
        <f>JF37*$JJ$35</f>
        <v>221.44512500000005</v>
      </c>
      <c r="JK37" s="51">
        <f>JG37*$JK$35</f>
        <v>20</v>
      </c>
      <c r="JL37" s="51">
        <f>JJ37*JK37</f>
        <v>4428.902500000001</v>
      </c>
      <c r="JM37" s="54"/>
      <c r="JN37" s="51">
        <f>JJ37*$JN$35</f>
        <v>221.44512500000005</v>
      </c>
      <c r="JO37" s="51">
        <f>JK37*$JO$35</f>
        <v>20</v>
      </c>
      <c r="JP37" s="51">
        <f>JN37*JO37</f>
        <v>4428.902500000001</v>
      </c>
      <c r="JQ37" s="54"/>
      <c r="JR37" s="51">
        <f>JN37*$JR$35</f>
        <v>221.44512500000005</v>
      </c>
      <c r="JS37" s="51">
        <f>JO37*$JS$35</f>
        <v>20</v>
      </c>
      <c r="JT37" s="51">
        <f>JR37*JS37</f>
        <v>4428.902500000001</v>
      </c>
      <c r="JU37" s="54"/>
      <c r="JV37" s="51">
        <f>JR37*$JV$35</f>
        <v>221.44512500000005</v>
      </c>
      <c r="JW37" s="51">
        <f>JS37*$JW$35</f>
        <v>20</v>
      </c>
      <c r="JX37" s="51">
        <f>JV37*JW37</f>
        <v>4428.902500000001</v>
      </c>
      <c r="JY37" s="54"/>
      <c r="JZ37" s="51">
        <f>JV37*$JZ$35</f>
        <v>221.44512500000005</v>
      </c>
      <c r="KA37" s="51">
        <f>JW37*$KA$35</f>
        <v>20</v>
      </c>
      <c r="KB37" s="51">
        <f>JZ37*KA37</f>
        <v>4428.902500000001</v>
      </c>
      <c r="KC37" s="54"/>
      <c r="KD37" s="51">
        <f>JZ37*$KD$35</f>
        <v>221.44512500000005</v>
      </c>
      <c r="KE37" s="51">
        <f>KA37*$KE$35</f>
        <v>20</v>
      </c>
      <c r="KF37" s="51">
        <f>KD37*KE37</f>
        <v>4428.902500000001</v>
      </c>
      <c r="KG37" s="54"/>
      <c r="KH37" s="51">
        <f>KD37*$KH$35</f>
        <v>221.44512500000005</v>
      </c>
      <c r="KI37" s="51">
        <f>KE37*$KI$35</f>
        <v>20</v>
      </c>
      <c r="KJ37" s="51">
        <f>KH37*KI37</f>
        <v>4428.902500000001</v>
      </c>
      <c r="KK37" s="54"/>
      <c r="KL37" s="51">
        <f>KH37*$KL$35</f>
        <v>221.44512500000005</v>
      </c>
      <c r="KM37" s="51">
        <f>KI37*$KM$35</f>
        <v>20</v>
      </c>
      <c r="KN37" s="51">
        <f>KL37*KM37</f>
        <v>4428.902500000001</v>
      </c>
      <c r="KO37" s="54"/>
      <c r="KP37" s="51">
        <f>KL37*$KP$35</f>
        <v>221.44512500000005</v>
      </c>
      <c r="KQ37" s="51">
        <f>KM37*$KQ$35</f>
        <v>20</v>
      </c>
      <c r="KR37" s="51">
        <f>KP37*KQ37</f>
        <v>4428.902500000001</v>
      </c>
      <c r="KS37" s="54"/>
      <c r="KT37" s="51">
        <f>KP37*$KT$35</f>
        <v>221.44512500000005</v>
      </c>
      <c r="KU37" s="51">
        <f>KQ37*$KU$35</f>
        <v>20</v>
      </c>
      <c r="KV37" s="51">
        <f>KT37*KU37</f>
        <v>4428.902500000001</v>
      </c>
      <c r="KW37" s="54"/>
      <c r="KX37" s="51">
        <f>KT37*$KX$35</f>
        <v>221.44512500000005</v>
      </c>
      <c r="KY37" s="51">
        <f>KU37*$KY$35</f>
        <v>20</v>
      </c>
      <c r="KZ37" s="51">
        <f>KX37*KY37</f>
        <v>4428.902500000001</v>
      </c>
      <c r="LB37" s="80">
        <f>JF37+JJ37+JN37+JR37+JV37+JZ37+KD37+KH37+KL37+KP37+KT37+KX37</f>
        <v>2657.3415000000005</v>
      </c>
      <c r="LC37" s="80">
        <f>(JG37+JK37+JO37+JS37+JW37+KA37+KE37+KI37+KM37+KQ37+KU37+KY37)/12</f>
        <v>20</v>
      </c>
      <c r="LD37" s="80">
        <f>JH37+JL37+JP37+JT37+JX37+KB37+KF37+KJ37+KN37+KR37+KV37+KZ37</f>
        <v>53146.83000000002</v>
      </c>
    </row>
    <row r="38" ht="18.75" customHeight="1" spans="2:316" x14ac:dyDescent="0.25">
      <c r="B38" s="5" t="s">
        <v>71</v>
      </c>
      <c r="C38" s="27"/>
      <c r="D38" s="29">
        <f>'A.I Revenue Streams - P1'!E38</f>
        <v>0</v>
      </c>
      <c r="E38" s="30"/>
      <c r="F38" s="51">
        <f>'A.I Revenue Streams - P2'!G38*25</f>
        <v>100</v>
      </c>
      <c r="G38" s="51">
        <f>'A.I Revenue Streams - P2'!I38</f>
        <v>20</v>
      </c>
      <c r="H38" s="51">
        <f>F38*G38</f>
        <v>2000</v>
      </c>
      <c r="I38" s="54"/>
      <c r="J38" s="51">
        <f>F38*$J$35</f>
        <v>110.00000000000001</v>
      </c>
      <c r="K38" s="51">
        <f>G38*$K$35</f>
        <v>20</v>
      </c>
      <c r="L38" s="51">
        <f>J38*K38</f>
        <v>2200.0000000000005</v>
      </c>
      <c r="M38" s="54"/>
      <c r="N38" s="51">
        <f>J38*$N$35</f>
        <v>110.00000000000001</v>
      </c>
      <c r="O38" s="51">
        <f>K38*$O$35</f>
        <v>20</v>
      </c>
      <c r="P38" s="51">
        <f>N38*O38</f>
        <v>2200.0000000000005</v>
      </c>
      <c r="Q38" s="54"/>
      <c r="R38" s="51">
        <f>N38*$R$35</f>
        <v>110.00000000000001</v>
      </c>
      <c r="S38" s="51">
        <f>O38*$S$35</f>
        <v>20</v>
      </c>
      <c r="T38" s="51">
        <f>R38*S38</f>
        <v>2200.0000000000005</v>
      </c>
      <c r="U38" s="54"/>
      <c r="V38" s="51">
        <f>R38*$V$35</f>
        <v>110.00000000000001</v>
      </c>
      <c r="W38" s="51">
        <f>S38*$W$35</f>
        <v>20</v>
      </c>
      <c r="X38" s="51">
        <f>V38*W38</f>
        <v>2200.0000000000005</v>
      </c>
      <c r="Y38" s="54"/>
      <c r="Z38" s="51">
        <f>V38*$Z$35</f>
        <v>110.00000000000001</v>
      </c>
      <c r="AA38" s="51">
        <f>W38*$AA$35</f>
        <v>20</v>
      </c>
      <c r="AB38" s="51">
        <f>Z38*AA38</f>
        <v>2200.0000000000005</v>
      </c>
      <c r="AC38" s="54"/>
      <c r="AD38" s="51">
        <f>Z38*$AD$35</f>
        <v>110.00000000000001</v>
      </c>
      <c r="AE38" s="51">
        <f>AA38*$AE$35</f>
        <v>20</v>
      </c>
      <c r="AF38" s="51">
        <f>AD38*AE38</f>
        <v>2200.0000000000005</v>
      </c>
      <c r="AG38" s="54"/>
      <c r="AH38" s="51">
        <f>AD38*$AH$35</f>
        <v>110.00000000000001</v>
      </c>
      <c r="AI38" s="51">
        <f>AE38*$AI$35</f>
        <v>20</v>
      </c>
      <c r="AJ38" s="51">
        <f>AH38*AI38</f>
        <v>2200.0000000000005</v>
      </c>
      <c r="AK38" s="54"/>
      <c r="AL38" s="51">
        <f>AH38*$AL$35</f>
        <v>110.00000000000001</v>
      </c>
      <c r="AM38" s="51">
        <f>AI38*$AM$35</f>
        <v>20</v>
      </c>
      <c r="AN38" s="51">
        <f>AL38*AM38</f>
        <v>2200.0000000000005</v>
      </c>
      <c r="AO38" s="54"/>
      <c r="AP38" s="51">
        <f t="shared" ref="AP38:AP41" si="428">AL38*$AP$35</f>
        <v>110.00000000000001</v>
      </c>
      <c r="AQ38" s="51">
        <f t="shared" ref="AQ38:AQ41" si="429">AM38*$AQ$35</f>
        <v>20</v>
      </c>
      <c r="AR38" s="51">
        <f t="shared" ref="AR38:AR41" si="430">AP38*AQ38</f>
        <v>2200.0000000000005</v>
      </c>
      <c r="AS38" s="54"/>
      <c r="AT38" s="51">
        <f>AP38*$AT$35</f>
        <v>110.00000000000001</v>
      </c>
      <c r="AU38" s="51">
        <f t="shared" ref="AU38:AU41" si="431">AQ38*$AU$35</f>
        <v>20</v>
      </c>
      <c r="AV38" s="51">
        <f t="shared" ref="AV38:AV41" si="432">AT38*AU38</f>
        <v>2200.0000000000005</v>
      </c>
      <c r="AW38" s="54"/>
      <c r="AX38" s="51">
        <f t="shared" ref="AX38:AX41" si="433">AT38*$AX$35</f>
        <v>110.00000000000001</v>
      </c>
      <c r="AY38" s="51">
        <f t="shared" ref="AY38:AY41" si="434">AU38*$AY$35</f>
        <v>20</v>
      </c>
      <c r="AZ38" s="51">
        <f t="shared" ref="AZ38:AZ41" si="435">AX38*AY38</f>
        <v>2200.0000000000005</v>
      </c>
      <c r="BA38" s="54"/>
      <c r="BB38" s="85">
        <f>SUMIF($F$6:$AZ$6,$BB$6,F38:AZ38)</f>
        <v>1310</v>
      </c>
      <c r="BC38" s="85">
        <f>SUMIF($F$6:$AZ$6,$BC$6,F38:AZ38)/12</f>
        <v>20</v>
      </c>
      <c r="BD38" s="80">
        <f>H38+L38+P38+T38+X38+AB38+AF38+AJ38+AN38</f>
        <v>19600</v>
      </c>
      <c r="BE38" t="b">
        <f>(BB38*BC38)=BD38</f>
        <v>0</v>
      </c>
      <c r="BF38" s="51">
        <f>AX38*$BF$35</f>
        <v>121.00000000000003</v>
      </c>
      <c r="BG38" s="51">
        <f>AY38*$BG$35</f>
        <v>20</v>
      </c>
      <c r="BH38" s="51">
        <f>BF38*BG38</f>
        <v>2420.0000000000005</v>
      </c>
      <c r="BI38" s="54"/>
      <c r="BJ38" s="51">
        <f>BF38*$BJ$35</f>
        <v>121.00000000000003</v>
      </c>
      <c r="BK38" s="51">
        <f>BG38*$BK$35</f>
        <v>20</v>
      </c>
      <c r="BL38" s="51">
        <f>BJ38*BK38</f>
        <v>2420.0000000000005</v>
      </c>
      <c r="BM38" s="54"/>
      <c r="BN38" s="51">
        <f>BJ38*$BN$35</f>
        <v>121.00000000000003</v>
      </c>
      <c r="BO38" s="51">
        <f>BK38*$BO$35</f>
        <v>20</v>
      </c>
      <c r="BP38" s="51">
        <f>BN38*BO38</f>
        <v>2420.0000000000005</v>
      </c>
      <c r="BQ38" s="54"/>
      <c r="BR38" s="51">
        <f>BN38*$BR$35</f>
        <v>121.00000000000003</v>
      </c>
      <c r="BS38" s="51">
        <f>BO38*$BS$35</f>
        <v>20</v>
      </c>
      <c r="BT38" s="51">
        <f>BR38*BS38</f>
        <v>2420.0000000000005</v>
      </c>
      <c r="BU38" s="54"/>
      <c r="BV38" s="51">
        <f>BR38*$BV$35</f>
        <v>121.00000000000003</v>
      </c>
      <c r="BW38" s="51">
        <f>BS38*$BW$35</f>
        <v>20</v>
      </c>
      <c r="BX38" s="51">
        <f>BV38*BW38</f>
        <v>2420.0000000000005</v>
      </c>
      <c r="BY38" s="54"/>
      <c r="BZ38" s="51">
        <f>BV38*$BZ$35</f>
        <v>121.00000000000003</v>
      </c>
      <c r="CA38" s="51">
        <f>BW38*$CA$35</f>
        <v>20</v>
      </c>
      <c r="CB38" s="51">
        <f>BZ38*CA38</f>
        <v>2420.0000000000005</v>
      </c>
      <c r="CC38" s="54"/>
      <c r="CD38" s="51">
        <f>BZ38*$CD$35</f>
        <v>121.00000000000003</v>
      </c>
      <c r="CE38" s="51">
        <f>CA38*$CE$35</f>
        <v>20</v>
      </c>
      <c r="CF38" s="51">
        <f>CD38*CE38</f>
        <v>2420.0000000000005</v>
      </c>
      <c r="CG38" s="54"/>
      <c r="CH38" s="51">
        <f>CD38*$CH$35</f>
        <v>121.00000000000003</v>
      </c>
      <c r="CI38" s="51">
        <f>CE38*$CI$35</f>
        <v>20</v>
      </c>
      <c r="CJ38" s="51">
        <f>CH38*CI38</f>
        <v>2420.0000000000005</v>
      </c>
      <c r="CK38" s="54"/>
      <c r="CL38" s="51">
        <f>CH38*$CL$35</f>
        <v>121.00000000000003</v>
      </c>
      <c r="CM38" s="51">
        <f>CI38*$CM$35</f>
        <v>20</v>
      </c>
      <c r="CN38" s="51">
        <f>CL38*CM38</f>
        <v>2420.0000000000005</v>
      </c>
      <c r="CO38" s="54"/>
      <c r="CP38" s="51">
        <f>CL38*$CP$35</f>
        <v>121.00000000000003</v>
      </c>
      <c r="CQ38" s="51">
        <f>CM38*$CQ$35</f>
        <v>20</v>
      </c>
      <c r="CR38" s="51">
        <f>CP38*CQ38</f>
        <v>2420.0000000000005</v>
      </c>
      <c r="CS38" s="54"/>
      <c r="CT38" s="51">
        <f>CP38*$CT$35</f>
        <v>121.00000000000003</v>
      </c>
      <c r="CU38" s="51">
        <f>CQ38*$CU$35</f>
        <v>20</v>
      </c>
      <c r="CV38" s="51">
        <f>CT38*CU38</f>
        <v>2420.0000000000005</v>
      </c>
      <c r="CW38" s="54"/>
      <c r="CX38" s="51">
        <f>CT38*$CX$35</f>
        <v>121.00000000000003</v>
      </c>
      <c r="CY38" s="51">
        <f>CU38*$CY$35</f>
        <v>20</v>
      </c>
      <c r="CZ38" s="51">
        <f>CX38*CY38</f>
        <v>2420.0000000000005</v>
      </c>
      <c r="DA38" s="54"/>
      <c r="DB38" s="80">
        <f>BF38+BJ38+BN38+BR38+BV38+BZ38+CD38+CH38+CL38+CP38+CT38+CX38</f>
        <v>1452.0000000000002</v>
      </c>
      <c r="DC38" s="80">
        <f>(BG38+BK38+BO38+BS38+BW38+CA38+CE38+CI38+CM38+CQ38+CU38+CY38)/12</f>
        <v>20</v>
      </c>
      <c r="DD38" s="80">
        <f>BH38+BL38+BP38+BT38+BX38+CB38+CF38+CJ38+CN38+CR38+CV38+CZ38</f>
        <v>29040.000000000004</v>
      </c>
      <c r="DF38" s="51">
        <f>CX38*$DF$35</f>
        <v>133.10000000000005</v>
      </c>
      <c r="DG38" s="51">
        <f>CY38*$DG$35</f>
        <v>20</v>
      </c>
      <c r="DH38" s="51">
        <f>DF38*DG38</f>
        <v>2662.000000000001</v>
      </c>
      <c r="DI38" s="54"/>
      <c r="DJ38" s="51">
        <f>DF38*$DJ$35</f>
        <v>133.10000000000005</v>
      </c>
      <c r="DK38" s="51">
        <f>DG38*$DK$35</f>
        <v>20</v>
      </c>
      <c r="DL38" s="51">
        <f>DJ38*DK38</f>
        <v>2662.000000000001</v>
      </c>
      <c r="DM38" s="54"/>
      <c r="DN38" s="51">
        <f>DJ38*$DN$35</f>
        <v>133.10000000000005</v>
      </c>
      <c r="DO38" s="51">
        <f>DK38*$DO$35</f>
        <v>20</v>
      </c>
      <c r="DP38" s="51">
        <f>DN38*DO38</f>
        <v>2662.000000000001</v>
      </c>
      <c r="DQ38" s="54"/>
      <c r="DR38" s="51">
        <f>DN38*$DR$35</f>
        <v>133.10000000000005</v>
      </c>
      <c r="DS38" s="51">
        <f>DO38*$DS$35</f>
        <v>20</v>
      </c>
      <c r="DT38" s="51">
        <f>DR38*DS38</f>
        <v>2662.000000000001</v>
      </c>
      <c r="DU38" s="54"/>
      <c r="DV38" s="51">
        <f>DR38*$DV$35</f>
        <v>133.10000000000005</v>
      </c>
      <c r="DW38" s="51">
        <f>DS38*$DW$35</f>
        <v>20</v>
      </c>
      <c r="DX38" s="51">
        <f>DV38*DW38</f>
        <v>2662.000000000001</v>
      </c>
      <c r="DY38" s="54"/>
      <c r="DZ38" s="51">
        <f>DV38*$DZ$35</f>
        <v>133.10000000000005</v>
      </c>
      <c r="EA38" s="51">
        <f>DW38*$EA$35</f>
        <v>20</v>
      </c>
      <c r="EB38" s="51">
        <f>DZ38*EA38</f>
        <v>2662.000000000001</v>
      </c>
      <c r="EC38" s="54"/>
      <c r="ED38" s="51">
        <f>DZ38*$ED$35</f>
        <v>133.10000000000005</v>
      </c>
      <c r="EE38" s="51">
        <f>EA38*$EE$35</f>
        <v>20</v>
      </c>
      <c r="EF38" s="51">
        <f>ED38*EE38</f>
        <v>2662.000000000001</v>
      </c>
      <c r="EG38" s="54"/>
      <c r="EH38" s="51">
        <f>ED38*$EH$35</f>
        <v>133.10000000000005</v>
      </c>
      <c r="EI38" s="51">
        <f>EE38*$EI$35</f>
        <v>20</v>
      </c>
      <c r="EJ38" s="51">
        <f>EH38*EI38</f>
        <v>2662.000000000001</v>
      </c>
      <c r="EK38" s="54"/>
      <c r="EL38" s="51">
        <f>EH38*$EL$35</f>
        <v>133.10000000000005</v>
      </c>
      <c r="EM38" s="51">
        <f>EI38*$EM$35</f>
        <v>20</v>
      </c>
      <c r="EN38" s="51">
        <f>EL38*EM38</f>
        <v>2662.000000000001</v>
      </c>
      <c r="EO38" s="54"/>
      <c r="EP38" s="51">
        <f>EL38*$EP$35</f>
        <v>133.10000000000005</v>
      </c>
      <c r="EQ38" s="51">
        <f>EM38*$EQ$35</f>
        <v>20</v>
      </c>
      <c r="ER38" s="51">
        <f>EP38*EQ38</f>
        <v>2662.000000000001</v>
      </c>
      <c r="ES38" s="54"/>
      <c r="ET38" s="51">
        <f>EP38*$ET$35</f>
        <v>133.10000000000005</v>
      </c>
      <c r="EU38" s="51">
        <f>EQ38*$EU$35</f>
        <v>20</v>
      </c>
      <c r="EV38" s="51">
        <f>ET38*EU38</f>
        <v>2662.000000000001</v>
      </c>
      <c r="EW38" s="54"/>
      <c r="EX38" s="51">
        <f>ET38*$EX$35</f>
        <v>133.10000000000005</v>
      </c>
      <c r="EY38" s="51">
        <f>EU38*$EY$35</f>
        <v>20</v>
      </c>
      <c r="EZ38" s="51">
        <f>EX38*EY38</f>
        <v>2662.000000000001</v>
      </c>
      <c r="FA38" s="54"/>
      <c r="FB38" s="80">
        <f>DF38+DJ38+DN38+DR38+DV38+DZ38+ED38+EH38+EL38+EP38+ET38+EX38</f>
        <v>1597.200000000001</v>
      </c>
      <c r="FC38" s="80">
        <f>(DG38+DK38+DO38+DS38+DW38+EA38+EE38+EI38+EM38+EQ38+EU38+EY38)/12</f>
        <v>20</v>
      </c>
      <c r="FD38" s="80">
        <f>DH38+DL38+DP38+DT38+DX38+EB38+EF38+EJ38+EN38+ER38+EV38+EZ38</f>
        <v>31944.000000000004</v>
      </c>
      <c r="FF38" s="51">
        <f>EX38*$FF$35</f>
        <v>146.41000000000008</v>
      </c>
      <c r="FG38" s="51">
        <f>EY38*$FG$35</f>
        <v>20</v>
      </c>
      <c r="FH38" s="51">
        <f>FF38*FG38</f>
        <v>2928.2000000000016</v>
      </c>
      <c r="FI38" s="54"/>
      <c r="FJ38" s="51">
        <f>FF38*$FJ$35</f>
        <v>146.41000000000008</v>
      </c>
      <c r="FK38" s="51">
        <f>FG38*$FK$35</f>
        <v>20</v>
      </c>
      <c r="FL38" s="51">
        <f>FJ38*FK38</f>
        <v>2928.2000000000016</v>
      </c>
      <c r="FM38" s="54"/>
      <c r="FN38" s="51">
        <f>FJ38*$FN$35</f>
        <v>146.41000000000008</v>
      </c>
      <c r="FO38" s="51">
        <f>FK38*$FO$35</f>
        <v>20</v>
      </c>
      <c r="FP38" s="51">
        <f>FN38*FO38</f>
        <v>2928.2000000000016</v>
      </c>
      <c r="FQ38" s="54"/>
      <c r="FR38" s="51">
        <f>FN38*$FR$35</f>
        <v>146.41000000000008</v>
      </c>
      <c r="FS38" s="51">
        <f>FO38*$FS$35</f>
        <v>20</v>
      </c>
      <c r="FT38" s="51">
        <f>FR38*FS38</f>
        <v>2928.2000000000016</v>
      </c>
      <c r="FU38" s="54"/>
      <c r="FV38" s="51">
        <f>FR38*$FV$35</f>
        <v>146.41000000000008</v>
      </c>
      <c r="FW38" s="51">
        <f>FS38*$FW$35</f>
        <v>20</v>
      </c>
      <c r="FX38" s="51">
        <f>FV38*FW38</f>
        <v>2928.2000000000016</v>
      </c>
      <c r="FY38" s="54"/>
      <c r="FZ38" s="51">
        <f>FV38*$FZ$35</f>
        <v>146.41000000000008</v>
      </c>
      <c r="GA38" s="51">
        <f>FW38*$GA$35</f>
        <v>20</v>
      </c>
      <c r="GB38" s="51">
        <f>FZ38*GA38</f>
        <v>2928.2000000000016</v>
      </c>
      <c r="GC38" s="54"/>
      <c r="GD38" s="51">
        <f>FZ38*$GD$35</f>
        <v>146.41000000000008</v>
      </c>
      <c r="GE38" s="51">
        <f>GA38*$GE$35</f>
        <v>20</v>
      </c>
      <c r="GF38" s="51">
        <f>GD38*GE38</f>
        <v>2928.2000000000016</v>
      </c>
      <c r="GG38" s="54"/>
      <c r="GH38" s="51">
        <f>GD38*$GH$35</f>
        <v>146.41000000000008</v>
      </c>
      <c r="GI38" s="51">
        <f>GE38*$GI$35</f>
        <v>20</v>
      </c>
      <c r="GJ38" s="51">
        <f>GH38*GI38</f>
        <v>2928.2000000000016</v>
      </c>
      <c r="GK38" s="54"/>
      <c r="GL38" s="51">
        <f>GH38*$GL$35</f>
        <v>146.41000000000008</v>
      </c>
      <c r="GM38" s="51">
        <f>GI38*$GM$35</f>
        <v>20</v>
      </c>
      <c r="GN38" s="51">
        <f>GL38*GM38</f>
        <v>2928.2000000000016</v>
      </c>
      <c r="GO38" s="54"/>
      <c r="GP38" s="51">
        <f>GL38*$GP$35</f>
        <v>146.41000000000008</v>
      </c>
      <c r="GQ38" s="51">
        <f>GM38*$GQ$35</f>
        <v>20</v>
      </c>
      <c r="GR38" s="51">
        <f>GP38*GQ38</f>
        <v>2928.2000000000016</v>
      </c>
      <c r="GS38" s="54"/>
      <c r="GT38" s="51">
        <f>GP38*$GT$35</f>
        <v>146.41000000000008</v>
      </c>
      <c r="GU38" s="51">
        <f>GQ38*$GU$35</f>
        <v>20</v>
      </c>
      <c r="GV38" s="51">
        <f>GT38*GU38</f>
        <v>2928.2000000000016</v>
      </c>
      <c r="GW38" s="54"/>
      <c r="GX38" s="51">
        <f>GT38*$GX$35</f>
        <v>146.41000000000008</v>
      </c>
      <c r="GY38" s="51">
        <f>GU38*$GY$35</f>
        <v>20</v>
      </c>
      <c r="GZ38" s="51">
        <f>GX38*GY38</f>
        <v>2928.2000000000016</v>
      </c>
      <c r="HB38" s="80">
        <f>FF38+FJ38+FN38+FR38+FV38+FZ38+GD38+GH38+GL38+GP38+GT38+GX38</f>
        <v>1756.920000000001</v>
      </c>
      <c r="HC38" s="80">
        <f>(FG38+FK38+FO38+FS38+FW38+GA38+GE38+GI38+GM38+GQ38+GU38+GY38)/12</f>
        <v>20</v>
      </c>
      <c r="HD38" s="80">
        <f>FH38+FL38+FP38+FT38+FX38+GB38+GF38+GJ38+GN38+GR38+GV38+GZ38</f>
        <v>35138.400000000016</v>
      </c>
      <c r="HF38" s="51">
        <f>GX38*$HF$35</f>
        <v>161.0510000000001</v>
      </c>
      <c r="HG38" s="51">
        <f>GY38*$HG$35</f>
        <v>20</v>
      </c>
      <c r="HH38" s="51">
        <f>HF38*HG38</f>
        <v>3221.0200000000023</v>
      </c>
      <c r="HI38" s="54"/>
      <c r="HJ38" s="51">
        <f>HF38*$HJ$35</f>
        <v>161.0510000000001</v>
      </c>
      <c r="HK38" s="51">
        <f>HG38*$HK$35</f>
        <v>20</v>
      </c>
      <c r="HL38" s="51">
        <f>HJ38*HK38</f>
        <v>3221.0200000000023</v>
      </c>
      <c r="HM38" s="54"/>
      <c r="HN38" s="51">
        <f>HJ38*$HN$35</f>
        <v>161.0510000000001</v>
      </c>
      <c r="HO38" s="51">
        <f>HK38*$HO$35</f>
        <v>20</v>
      </c>
      <c r="HP38" s="51">
        <f>HN38*HO38</f>
        <v>3221.0200000000023</v>
      </c>
      <c r="HQ38" s="54"/>
      <c r="HR38" s="51">
        <f>HN38*$HR$35</f>
        <v>161.0510000000001</v>
      </c>
      <c r="HS38" s="51">
        <f>HO38*$HS$35</f>
        <v>20</v>
      </c>
      <c r="HT38" s="51">
        <f>HR38*HS38</f>
        <v>3221.0200000000023</v>
      </c>
      <c r="HU38" s="54"/>
      <c r="HV38" s="51">
        <f>HR38*$HV$35</f>
        <v>161.0510000000001</v>
      </c>
      <c r="HW38" s="51">
        <f>HS38*$HW$35</f>
        <v>20</v>
      </c>
      <c r="HX38" s="51">
        <f>HV38*HW38</f>
        <v>3221.0200000000023</v>
      </c>
      <c r="HY38" s="54"/>
      <c r="HZ38" s="51">
        <f>HV38*$HZ$35</f>
        <v>161.0510000000001</v>
      </c>
      <c r="IA38" s="51">
        <f>HW38*$IA$35</f>
        <v>20</v>
      </c>
      <c r="IB38" s="51">
        <f>HZ38*IA38</f>
        <v>3221.0200000000023</v>
      </c>
      <c r="IC38" s="54"/>
      <c r="ID38" s="51">
        <f>HZ38*$ID$35</f>
        <v>161.0510000000001</v>
      </c>
      <c r="IE38" s="51">
        <f>IA38*$IE$35</f>
        <v>20</v>
      </c>
      <c r="IF38" s="51">
        <f>ID38*IE38</f>
        <v>3221.0200000000023</v>
      </c>
      <c r="IG38" s="54"/>
      <c r="IH38" s="51">
        <f>ID38*$IH$35</f>
        <v>161.0510000000001</v>
      </c>
      <c r="II38" s="51">
        <f>IE38*$II$35</f>
        <v>20</v>
      </c>
      <c r="IJ38" s="51">
        <f>IH38*II38</f>
        <v>3221.0200000000023</v>
      </c>
      <c r="IK38" s="54"/>
      <c r="IL38" s="51">
        <f>IH38*$IL$35</f>
        <v>161.0510000000001</v>
      </c>
      <c r="IM38" s="51">
        <f>II38*$IM$35</f>
        <v>20</v>
      </c>
      <c r="IN38" s="51">
        <f>IL38*IM38</f>
        <v>3221.0200000000023</v>
      </c>
      <c r="IO38" s="54"/>
      <c r="IP38" s="51">
        <f>IL38*$IP$35</f>
        <v>161.0510000000001</v>
      </c>
      <c r="IQ38" s="51">
        <f>IM38*$IQ$35</f>
        <v>20</v>
      </c>
      <c r="IR38" s="51">
        <f>IP38*IQ38</f>
        <v>3221.0200000000023</v>
      </c>
      <c r="IS38" s="54"/>
      <c r="IT38" s="51">
        <f>IP38*$IT$35</f>
        <v>161.0510000000001</v>
      </c>
      <c r="IU38" s="51">
        <f>IQ38*$IU$35</f>
        <v>20</v>
      </c>
      <c r="IV38" s="51">
        <f>IT38*IU38</f>
        <v>3221.0200000000023</v>
      </c>
      <c r="IW38" s="54"/>
      <c r="IX38" s="51">
        <f>IT38*$IX$35</f>
        <v>161.0510000000001</v>
      </c>
      <c r="IY38" s="51">
        <f>IU38*$IY$35</f>
        <v>20</v>
      </c>
      <c r="IZ38" s="51">
        <f>IX38*IY38</f>
        <v>3221.0200000000023</v>
      </c>
      <c r="JB38" s="80">
        <f>HF38+HJ38+HN38+HR38+HV38+HZ38+ID38+IH38+IL38+IP38+IT38+IX38</f>
        <v>1932.6120000000017</v>
      </c>
      <c r="JC38" s="80">
        <f>(HG38+HK38+HO38+HS38+HW38+IA38+IE38+II38+IM38+IQ38+IU38+IY38)/12</f>
        <v>20</v>
      </c>
      <c r="JD38" s="80">
        <f>HH38+HL38+HP38+HT38+HX38+IB38+IF38+IJ38+IN38+IR38+IV38+IZ38</f>
        <v>38652.240000000034</v>
      </c>
      <c r="JF38" s="51">
        <f>IX38*$JF$35</f>
        <v>177.15610000000012</v>
      </c>
      <c r="JG38" s="51">
        <f>IY38*$JG$35</f>
        <v>20</v>
      </c>
      <c r="JH38" s="51">
        <f>JF38*JG38</f>
        <v>3543.1220000000026</v>
      </c>
      <c r="JI38" s="54"/>
      <c r="JJ38" s="51">
        <f>JF38*$JJ$35</f>
        <v>177.15610000000012</v>
      </c>
      <c r="JK38" s="51">
        <f>JG38*$JK$35</f>
        <v>20</v>
      </c>
      <c r="JL38" s="51">
        <f>JJ38*JK38</f>
        <v>3543.1220000000026</v>
      </c>
      <c r="JM38" s="54"/>
      <c r="JN38" s="51">
        <f>JJ38*$JN$35</f>
        <v>177.15610000000012</v>
      </c>
      <c r="JO38" s="51">
        <f>JK38*$JO$35</f>
        <v>20</v>
      </c>
      <c r="JP38" s="51">
        <f>JN38*JO38</f>
        <v>3543.1220000000026</v>
      </c>
      <c r="JQ38" s="54"/>
      <c r="JR38" s="51">
        <f>JN38*$JR$35</f>
        <v>177.15610000000012</v>
      </c>
      <c r="JS38" s="51">
        <f>JO38*$JS$35</f>
        <v>20</v>
      </c>
      <c r="JT38" s="51">
        <f>JR38*JS38</f>
        <v>3543.1220000000026</v>
      </c>
      <c r="JU38" s="54"/>
      <c r="JV38" s="51">
        <f>JR38*$JV$35</f>
        <v>177.15610000000012</v>
      </c>
      <c r="JW38" s="51">
        <f>JS38*$JW$35</f>
        <v>20</v>
      </c>
      <c r="JX38" s="51">
        <f>JV38*JW38</f>
        <v>3543.1220000000026</v>
      </c>
      <c r="JY38" s="54"/>
      <c r="JZ38" s="51">
        <f>JV38*$JZ$35</f>
        <v>177.15610000000012</v>
      </c>
      <c r="KA38" s="51">
        <f>JW38*$KA$35</f>
        <v>20</v>
      </c>
      <c r="KB38" s="51">
        <f>JZ38*KA38</f>
        <v>3543.1220000000026</v>
      </c>
      <c r="KC38" s="54"/>
      <c r="KD38" s="51">
        <f>JZ38*$KD$35</f>
        <v>177.15610000000012</v>
      </c>
      <c r="KE38" s="51">
        <f>KA38*$KE$35</f>
        <v>20</v>
      </c>
      <c r="KF38" s="51">
        <f>KD38*KE38</f>
        <v>3543.1220000000026</v>
      </c>
      <c r="KG38" s="54"/>
      <c r="KH38" s="51">
        <f>KD38*$KH$35</f>
        <v>177.15610000000012</v>
      </c>
      <c r="KI38" s="51">
        <f>KE38*$KI$35</f>
        <v>20</v>
      </c>
      <c r="KJ38" s="51">
        <f>KH38*KI38</f>
        <v>3543.1220000000026</v>
      </c>
      <c r="KK38" s="54"/>
      <c r="KL38" s="51">
        <f>KH38*$KL$35</f>
        <v>177.15610000000012</v>
      </c>
      <c r="KM38" s="51">
        <f>KI38*$KM$35</f>
        <v>20</v>
      </c>
      <c r="KN38" s="51">
        <f>KL38*KM38</f>
        <v>3543.1220000000026</v>
      </c>
      <c r="KO38" s="54"/>
      <c r="KP38" s="51">
        <f>KL38*$KP$35</f>
        <v>177.15610000000012</v>
      </c>
      <c r="KQ38" s="51">
        <f>KM38*$KQ$35</f>
        <v>20</v>
      </c>
      <c r="KR38" s="51">
        <f>KP38*KQ38</f>
        <v>3543.1220000000026</v>
      </c>
      <c r="KS38" s="54"/>
      <c r="KT38" s="51">
        <f>KP38*$KT$35</f>
        <v>177.15610000000012</v>
      </c>
      <c r="KU38" s="51">
        <f>KQ38*$KU$35</f>
        <v>20</v>
      </c>
      <c r="KV38" s="51">
        <f>KT38*KU38</f>
        <v>3543.1220000000026</v>
      </c>
      <c r="KW38" s="54"/>
      <c r="KX38" s="51">
        <f>KT38*$KX$35</f>
        <v>177.15610000000012</v>
      </c>
      <c r="KY38" s="51">
        <f>KU38*$KY$35</f>
        <v>20</v>
      </c>
      <c r="KZ38" s="51">
        <f>KX38*KY38</f>
        <v>3543.1220000000026</v>
      </c>
      <c r="LB38" s="80">
        <f>JF38+JJ38+JN38+JR38+JV38+JZ38+KD38+KH38+KL38+KP38+KT38+KX38</f>
        <v>2125.8732000000014</v>
      </c>
      <c r="LC38" s="80">
        <f>(JG38+JK38+JO38+JS38+JW38+KA38+KE38+KI38+KM38+KQ38+KU38+KY38)/12</f>
        <v>20</v>
      </c>
      <c r="LD38" s="80">
        <f>JH38+JL38+JP38+JT38+JX38+KB38+KF38+KJ38+KN38+KR38+KV38+KZ38</f>
        <v>42517.46400000003</v>
      </c>
    </row>
    <row r="39" ht="18.75" customHeight="1" spans="2:316" x14ac:dyDescent="0.25">
      <c r="B39" s="5" t="s">
        <v>72</v>
      </c>
      <c r="C39" s="27"/>
      <c r="D39" s="29">
        <f>'A.I Revenue Streams - P1'!E39</f>
        <v>0</v>
      </c>
      <c r="E39" s="30"/>
      <c r="F39" s="51">
        <f>'A.I Revenue Streams - P2'!G39*25</f>
        <v>75</v>
      </c>
      <c r="G39" s="51">
        <f>'A.I Revenue Streams - P2'!I39</f>
        <v>20</v>
      </c>
      <c r="H39" s="51">
        <f>F39*G39</f>
        <v>1500</v>
      </c>
      <c r="I39" s="54"/>
      <c r="J39" s="51">
        <f>F39*$J$35</f>
        <v>82.5</v>
      </c>
      <c r="K39" s="51">
        <f>G39*$K$35</f>
        <v>20</v>
      </c>
      <c r="L39" s="51">
        <f>J39*K39</f>
        <v>1650</v>
      </c>
      <c r="M39" s="54"/>
      <c r="N39" s="51">
        <f>J39*$N$35</f>
        <v>82.5</v>
      </c>
      <c r="O39" s="51">
        <f>K39*$O$35</f>
        <v>20</v>
      </c>
      <c r="P39" s="51">
        <f>N39*O39</f>
        <v>1650</v>
      </c>
      <c r="Q39" s="54"/>
      <c r="R39" s="51">
        <f>N39*$R$35</f>
        <v>82.5</v>
      </c>
      <c r="S39" s="51">
        <f>O39*$S$35</f>
        <v>20</v>
      </c>
      <c r="T39" s="51">
        <f>R39*S39</f>
        <v>1650</v>
      </c>
      <c r="U39" s="54"/>
      <c r="V39" s="51">
        <f>R39*$V$35</f>
        <v>82.5</v>
      </c>
      <c r="W39" s="51">
        <f>S39*$W$35</f>
        <v>20</v>
      </c>
      <c r="X39" s="51">
        <f>V39*W39</f>
        <v>1650</v>
      </c>
      <c r="Y39" s="54"/>
      <c r="Z39" s="51">
        <f>V39*$Z$35</f>
        <v>82.5</v>
      </c>
      <c r="AA39" s="51">
        <f>W39*$AA$35</f>
        <v>20</v>
      </c>
      <c r="AB39" s="51">
        <f>Z39*AA39</f>
        <v>1650</v>
      </c>
      <c r="AC39" s="54"/>
      <c r="AD39" s="51">
        <f>Z39*$AD$35</f>
        <v>82.5</v>
      </c>
      <c r="AE39" s="51">
        <f>AA39*$AE$35</f>
        <v>20</v>
      </c>
      <c r="AF39" s="51">
        <f>AD39*AE39</f>
        <v>1650</v>
      </c>
      <c r="AG39" s="54"/>
      <c r="AH39" s="51">
        <f>AD39*$AH$35</f>
        <v>82.5</v>
      </c>
      <c r="AI39" s="51">
        <f>AE39*$AI$35</f>
        <v>20</v>
      </c>
      <c r="AJ39" s="51">
        <f>AH39*AI39</f>
        <v>1650</v>
      </c>
      <c r="AK39" s="54"/>
      <c r="AL39" s="51">
        <f>AH39*$AL$35</f>
        <v>82.5</v>
      </c>
      <c r="AM39" s="51">
        <f>AI39*$AM$35</f>
        <v>20</v>
      </c>
      <c r="AN39" s="51">
        <f>AL39*AM39</f>
        <v>1650</v>
      </c>
      <c r="AO39" s="54"/>
      <c r="AP39" s="51">
        <f>AL39*$AP$35</f>
        <v>82.5</v>
      </c>
      <c r="AQ39" s="51">
        <f t="shared" si="429"/>
        <v>20</v>
      </c>
      <c r="AR39" s="51">
        <f t="shared" si="430"/>
        <v>1650</v>
      </c>
      <c r="AS39" s="54"/>
      <c r="AT39" s="51">
        <f t="shared" ref="AT39:AT41" si="436">AP39*$AT$35</f>
        <v>82.5</v>
      </c>
      <c r="AU39" s="51">
        <f>AQ39*$AU$35</f>
        <v>20</v>
      </c>
      <c r="AV39" s="51">
        <f t="shared" si="432"/>
        <v>1650</v>
      </c>
      <c r="AW39" s="54"/>
      <c r="AX39" s="51">
        <f>AT39*$AX$35</f>
        <v>82.5</v>
      </c>
      <c r="AY39" s="51">
        <f t="shared" si="434"/>
        <v>20</v>
      </c>
      <c r="AZ39" s="51">
        <f t="shared" si="435"/>
        <v>1650</v>
      </c>
      <c r="BA39" s="54"/>
      <c r="BB39" s="85">
        <f>SUMIF($F$6:$AZ$6,$BB$6,F39:AZ39)</f>
        <v>982.5</v>
      </c>
      <c r="BC39" s="85">
        <f>SUMIF($F$6:$AZ$6,$BC$6,F39:AZ39)/12</f>
        <v>20</v>
      </c>
      <c r="BD39" s="80">
        <f>H39+L39+P39+T39+X39+AB39+AF39+AJ39+AN39</f>
        <v>14700</v>
      </c>
      <c r="BE39" t="b">
        <f>(BB39*BC39)=BD39</f>
        <v>0</v>
      </c>
      <c r="BF39" s="51">
        <f>AX39*$BF$35</f>
        <v>90.75000000000001</v>
      </c>
      <c r="BG39" s="51">
        <f>AY39*$BG$35</f>
        <v>20</v>
      </c>
      <c r="BH39" s="51">
        <f>BF39*BG39</f>
        <v>1815.0000000000002</v>
      </c>
      <c r="BI39" s="54"/>
      <c r="BJ39" s="51">
        <f>BF39*$BJ$35</f>
        <v>90.75000000000001</v>
      </c>
      <c r="BK39" s="51">
        <f>BG39*$BK$35</f>
        <v>20</v>
      </c>
      <c r="BL39" s="51">
        <f>BJ39*BK39</f>
        <v>1815.0000000000002</v>
      </c>
      <c r="BM39" s="54"/>
      <c r="BN39" s="51">
        <f>BJ39*$BN$35</f>
        <v>90.75000000000001</v>
      </c>
      <c r="BO39" s="51">
        <f>BK39*$BO$35</f>
        <v>20</v>
      </c>
      <c r="BP39" s="51">
        <f>BN39*BO39</f>
        <v>1815.0000000000002</v>
      </c>
      <c r="BQ39" s="54"/>
      <c r="BR39" s="51">
        <f>BN39*$BR$35</f>
        <v>90.75000000000001</v>
      </c>
      <c r="BS39" s="51">
        <f>BO39*$BS$35</f>
        <v>20</v>
      </c>
      <c r="BT39" s="51">
        <f>BR39*BS39</f>
        <v>1815.0000000000002</v>
      </c>
      <c r="BU39" s="54"/>
      <c r="BV39" s="51">
        <f>BR39*$BV$35</f>
        <v>90.75000000000001</v>
      </c>
      <c r="BW39" s="51">
        <f>BS39*$BW$35</f>
        <v>20</v>
      </c>
      <c r="BX39" s="51">
        <f>BV39*BW39</f>
        <v>1815.0000000000002</v>
      </c>
      <c r="BY39" s="54"/>
      <c r="BZ39" s="51">
        <f>BV39*$BZ$35</f>
        <v>90.75000000000001</v>
      </c>
      <c r="CA39" s="51">
        <f>BW39*$CA$35</f>
        <v>20</v>
      </c>
      <c r="CB39" s="51">
        <f>BZ39*CA39</f>
        <v>1815.0000000000002</v>
      </c>
      <c r="CC39" s="54"/>
      <c r="CD39" s="51">
        <f>BZ39*$CD$35</f>
        <v>90.75000000000001</v>
      </c>
      <c r="CE39" s="51">
        <f>CA39*$CE$35</f>
        <v>20</v>
      </c>
      <c r="CF39" s="51">
        <f>CD39*CE39</f>
        <v>1815.0000000000002</v>
      </c>
      <c r="CG39" s="54"/>
      <c r="CH39" s="51">
        <f>CD39*$CH$35</f>
        <v>90.75000000000001</v>
      </c>
      <c r="CI39" s="51">
        <f>CE39*$CI$35</f>
        <v>20</v>
      </c>
      <c r="CJ39" s="51">
        <f>CH39*CI39</f>
        <v>1815.0000000000002</v>
      </c>
      <c r="CK39" s="54"/>
      <c r="CL39" s="51">
        <f>CH39*$CL$35</f>
        <v>90.75000000000001</v>
      </c>
      <c r="CM39" s="51">
        <f>CI39*$CM$35</f>
        <v>20</v>
      </c>
      <c r="CN39" s="51">
        <f>CL39*CM39</f>
        <v>1815.0000000000002</v>
      </c>
      <c r="CO39" s="54"/>
      <c r="CP39" s="51">
        <f>CL39*$CP$35</f>
        <v>90.75000000000001</v>
      </c>
      <c r="CQ39" s="51">
        <f>CM39*$CQ$35</f>
        <v>20</v>
      </c>
      <c r="CR39" s="51">
        <f>CP39*CQ39</f>
        <v>1815.0000000000002</v>
      </c>
      <c r="CS39" s="54"/>
      <c r="CT39" s="51">
        <f>CP39*$CT$35</f>
        <v>90.75000000000001</v>
      </c>
      <c r="CU39" s="51">
        <f>CQ39*$CU$35</f>
        <v>20</v>
      </c>
      <c r="CV39" s="51">
        <f>CT39*CU39</f>
        <v>1815.0000000000002</v>
      </c>
      <c r="CW39" s="54"/>
      <c r="CX39" s="51">
        <f>CT39*$CX$35</f>
        <v>90.75000000000001</v>
      </c>
      <c r="CY39" s="51">
        <f>CU39*$CY$35</f>
        <v>20</v>
      </c>
      <c r="CZ39" s="51">
        <f>CX39*CY39</f>
        <v>1815.0000000000002</v>
      </c>
      <c r="DA39" s="54"/>
      <c r="DB39" s="80">
        <f>BF39+BJ39+BN39+BR39+BV39+BZ39+CD39+CH39+CL39+CP39+CT39+CX39</f>
        <v>1089.0000000000002</v>
      </c>
      <c r="DC39" s="80">
        <f>(BG39+BK39+BO39+BS39+BW39+CA39+CE39+CI39+CM39+CQ39+CU39+CY39)/12</f>
        <v>20</v>
      </c>
      <c r="DD39" s="80">
        <f>BH39+BL39+BP39+BT39+BX39+CB39+CF39+CJ39+CN39+CR39+CV39+CZ39</f>
        <v>21780.000000000004</v>
      </c>
      <c r="DF39" s="51">
        <f>CX39*$DF$35</f>
        <v>99.82500000000002</v>
      </c>
      <c r="DG39" s="51">
        <f>CY39*$DG$35</f>
        <v>20</v>
      </c>
      <c r="DH39" s="51">
        <f>DF39*DG39</f>
        <v>1996.5000000000005</v>
      </c>
      <c r="DI39" s="54"/>
      <c r="DJ39" s="51">
        <f>DF39*$DJ$35</f>
        <v>99.82500000000002</v>
      </c>
      <c r="DK39" s="51">
        <f>DG39*$DK$35</f>
        <v>20</v>
      </c>
      <c r="DL39" s="51">
        <f>DJ39*DK39</f>
        <v>1996.5000000000005</v>
      </c>
      <c r="DM39" s="54"/>
      <c r="DN39" s="51">
        <f>DJ39*$DN$35</f>
        <v>99.82500000000002</v>
      </c>
      <c r="DO39" s="51">
        <f>DK39*$DO$35</f>
        <v>20</v>
      </c>
      <c r="DP39" s="51">
        <f>DN39*DO39</f>
        <v>1996.5000000000005</v>
      </c>
      <c r="DQ39" s="54"/>
      <c r="DR39" s="51">
        <f>DN39*$DR$35</f>
        <v>99.82500000000002</v>
      </c>
      <c r="DS39" s="51">
        <f>DO39*$DS$35</f>
        <v>20</v>
      </c>
      <c r="DT39" s="51">
        <f>DR39*DS39</f>
        <v>1996.5000000000005</v>
      </c>
      <c r="DU39" s="54"/>
      <c r="DV39" s="51">
        <f>DR39*$DV$35</f>
        <v>99.82500000000002</v>
      </c>
      <c r="DW39" s="51">
        <f>DS39*$DW$35</f>
        <v>20</v>
      </c>
      <c r="DX39" s="51">
        <f>DV39*DW39</f>
        <v>1996.5000000000005</v>
      </c>
      <c r="DY39" s="54"/>
      <c r="DZ39" s="51">
        <f>DV39*$DZ$35</f>
        <v>99.82500000000002</v>
      </c>
      <c r="EA39" s="51">
        <f>DW39*$EA$35</f>
        <v>20</v>
      </c>
      <c r="EB39" s="51">
        <f>DZ39*EA39</f>
        <v>1996.5000000000005</v>
      </c>
      <c r="EC39" s="54"/>
      <c r="ED39" s="51">
        <f>DZ39*$ED$35</f>
        <v>99.82500000000002</v>
      </c>
      <c r="EE39" s="51">
        <f>EA39*$EE$35</f>
        <v>20</v>
      </c>
      <c r="EF39" s="51">
        <f>ED39*EE39</f>
        <v>1996.5000000000005</v>
      </c>
      <c r="EG39" s="54"/>
      <c r="EH39" s="51">
        <f>ED39*$EH$35</f>
        <v>99.82500000000002</v>
      </c>
      <c r="EI39" s="51">
        <f>EE39*$EI$35</f>
        <v>20</v>
      </c>
      <c r="EJ39" s="51">
        <f>EH39*EI39</f>
        <v>1996.5000000000005</v>
      </c>
      <c r="EK39" s="54"/>
      <c r="EL39" s="51">
        <f>EH39*$EL$35</f>
        <v>99.82500000000002</v>
      </c>
      <c r="EM39" s="51">
        <f>EI39*$EM$35</f>
        <v>20</v>
      </c>
      <c r="EN39" s="51">
        <f>EL39*EM39</f>
        <v>1996.5000000000005</v>
      </c>
      <c r="EO39" s="54"/>
      <c r="EP39" s="51">
        <f>EL39*$EP$35</f>
        <v>99.82500000000002</v>
      </c>
      <c r="EQ39" s="51">
        <f>EM39*$EQ$35</f>
        <v>20</v>
      </c>
      <c r="ER39" s="51">
        <f>EP39*EQ39</f>
        <v>1996.5000000000005</v>
      </c>
      <c r="ES39" s="54"/>
      <c r="ET39" s="51">
        <f>EP39*$ET$35</f>
        <v>99.82500000000002</v>
      </c>
      <c r="EU39" s="51">
        <f>EQ39*$EU$35</f>
        <v>20</v>
      </c>
      <c r="EV39" s="51">
        <f>ET39*EU39</f>
        <v>1996.5000000000005</v>
      </c>
      <c r="EW39" s="54"/>
      <c r="EX39" s="51">
        <f>ET39*$EX$35</f>
        <v>99.82500000000002</v>
      </c>
      <c r="EY39" s="51">
        <f>EU39*$EY$35</f>
        <v>20</v>
      </c>
      <c r="EZ39" s="51">
        <f>EX39*EY39</f>
        <v>1996.5000000000005</v>
      </c>
      <c r="FA39" s="54"/>
      <c r="FB39" s="80">
        <f>DF39+DJ39+DN39+DR39+DV39+DZ39+ED39+EH39+EL39+EP39+ET39+EX39</f>
        <v>1197.9000000000003</v>
      </c>
      <c r="FC39" s="80">
        <f>(DG39+DK39+DO39+DS39+DW39+EA39+EE39+EI39+EM39+EQ39+EU39+EY39)/12</f>
        <v>20</v>
      </c>
      <c r="FD39" s="80">
        <f>DH39+DL39+DP39+DT39+DX39+EB39+EF39+EJ39+EN39+ER39+EV39+EZ39</f>
        <v>23958.000000000004</v>
      </c>
      <c r="FF39" s="51">
        <f>EX39*$FF$35</f>
        <v>109.80750000000003</v>
      </c>
      <c r="FG39" s="51">
        <f>EY39*$FG$35</f>
        <v>20</v>
      </c>
      <c r="FH39" s="51">
        <f>FF39*FG39</f>
        <v>2196.1500000000005</v>
      </c>
      <c r="FI39" s="54"/>
      <c r="FJ39" s="51">
        <f>FF39*$FJ$35</f>
        <v>109.80750000000003</v>
      </c>
      <c r="FK39" s="51">
        <f>FG39*$FK$35</f>
        <v>20</v>
      </c>
      <c r="FL39" s="51">
        <f>FJ39*FK39</f>
        <v>2196.1500000000005</v>
      </c>
      <c r="FM39" s="54"/>
      <c r="FN39" s="51">
        <f>FJ39*$FN$35</f>
        <v>109.80750000000003</v>
      </c>
      <c r="FO39" s="51">
        <f>FK39*$FO$35</f>
        <v>20</v>
      </c>
      <c r="FP39" s="51">
        <f>FN39*FO39</f>
        <v>2196.1500000000005</v>
      </c>
      <c r="FQ39" s="54"/>
      <c r="FR39" s="51">
        <f>FN39*$FR$35</f>
        <v>109.80750000000003</v>
      </c>
      <c r="FS39" s="51">
        <f>FO39*$FS$35</f>
        <v>20</v>
      </c>
      <c r="FT39" s="51">
        <f>FR39*FS39</f>
        <v>2196.1500000000005</v>
      </c>
      <c r="FU39" s="54"/>
      <c r="FV39" s="51">
        <f>FR39*$FV$35</f>
        <v>109.80750000000003</v>
      </c>
      <c r="FW39" s="51">
        <f>FS39*$FW$35</f>
        <v>20</v>
      </c>
      <c r="FX39" s="51">
        <f>FV39*FW39</f>
        <v>2196.1500000000005</v>
      </c>
      <c r="FY39" s="54"/>
      <c r="FZ39" s="51">
        <f>FV39*$FZ$35</f>
        <v>109.80750000000003</v>
      </c>
      <c r="GA39" s="51">
        <f>FW39*$GA$35</f>
        <v>20</v>
      </c>
      <c r="GB39" s="51">
        <f>FZ39*GA39</f>
        <v>2196.1500000000005</v>
      </c>
      <c r="GC39" s="54"/>
      <c r="GD39" s="51">
        <f>FZ39*$GD$35</f>
        <v>109.80750000000003</v>
      </c>
      <c r="GE39" s="51">
        <f>GA39*$GE$35</f>
        <v>20</v>
      </c>
      <c r="GF39" s="51">
        <f>GD39*GE39</f>
        <v>2196.1500000000005</v>
      </c>
      <c r="GG39" s="54"/>
      <c r="GH39" s="51">
        <f>GD39*$GH$35</f>
        <v>109.80750000000003</v>
      </c>
      <c r="GI39" s="51">
        <f>GE39*$GI$35</f>
        <v>20</v>
      </c>
      <c r="GJ39" s="51">
        <f>GH39*GI39</f>
        <v>2196.1500000000005</v>
      </c>
      <c r="GK39" s="54"/>
      <c r="GL39" s="51">
        <f>GH39*$GL$35</f>
        <v>109.80750000000003</v>
      </c>
      <c r="GM39" s="51">
        <f>GI39*$GM$35</f>
        <v>20</v>
      </c>
      <c r="GN39" s="51">
        <f>GL39*GM39</f>
        <v>2196.1500000000005</v>
      </c>
      <c r="GO39" s="54"/>
      <c r="GP39" s="51">
        <f>GL39*$GP$35</f>
        <v>109.80750000000003</v>
      </c>
      <c r="GQ39" s="51">
        <f>GM39*$GQ$35</f>
        <v>20</v>
      </c>
      <c r="GR39" s="51">
        <f>GP39*GQ39</f>
        <v>2196.1500000000005</v>
      </c>
      <c r="GS39" s="54"/>
      <c r="GT39" s="51">
        <f>GP39*$GT$35</f>
        <v>109.80750000000003</v>
      </c>
      <c r="GU39" s="51">
        <f>GQ39*$GU$35</f>
        <v>20</v>
      </c>
      <c r="GV39" s="51">
        <f>GT39*GU39</f>
        <v>2196.1500000000005</v>
      </c>
      <c r="GW39" s="54"/>
      <c r="GX39" s="51">
        <f>GT39*$GX$35</f>
        <v>109.80750000000003</v>
      </c>
      <c r="GY39" s="51">
        <f>GU39*$GY$35</f>
        <v>20</v>
      </c>
      <c r="GZ39" s="51">
        <f>GX39*GY39</f>
        <v>2196.1500000000005</v>
      </c>
      <c r="HB39" s="80">
        <f>FF39+FJ39+FN39+FR39+FV39+FZ39+GD39+GH39+GL39+GP39+GT39+GX39</f>
        <v>1317.6900000000005</v>
      </c>
      <c r="HC39" s="80">
        <f>(FG39+FK39+FO39+FS39+FW39+GA39+GE39+GI39+GM39+GQ39+GU39+GY39)/12</f>
        <v>20</v>
      </c>
      <c r="HD39" s="80">
        <f>FH39+FL39+FP39+FT39+FX39+GB39+GF39+GJ39+GN39+GR39+GV39+GZ39</f>
        <v>26353.800000000014</v>
      </c>
      <c r="HF39" s="51">
        <f>GX39*$HF$35</f>
        <v>120.78825000000005</v>
      </c>
      <c r="HG39" s="51">
        <f>GY39*$HG$35</f>
        <v>20</v>
      </c>
      <c r="HH39" s="51">
        <f>HF39*HG39</f>
        <v>2415.765000000001</v>
      </c>
      <c r="HI39" s="54"/>
      <c r="HJ39" s="51">
        <f>HF39*$HJ$35</f>
        <v>120.78825000000005</v>
      </c>
      <c r="HK39" s="51">
        <f>HG39*$HK$35</f>
        <v>20</v>
      </c>
      <c r="HL39" s="51">
        <f>HJ39*HK39</f>
        <v>2415.765000000001</v>
      </c>
      <c r="HM39" s="54"/>
      <c r="HN39" s="51">
        <f>HJ39*$HN$35</f>
        <v>120.78825000000005</v>
      </c>
      <c r="HO39" s="51">
        <f>HK39*$HO$35</f>
        <v>20</v>
      </c>
      <c r="HP39" s="51">
        <f>HN39*HO39</f>
        <v>2415.765000000001</v>
      </c>
      <c r="HQ39" s="54"/>
      <c r="HR39" s="51">
        <f>HN39*$HR$35</f>
        <v>120.78825000000005</v>
      </c>
      <c r="HS39" s="51">
        <f>HO39*$HS$35</f>
        <v>20</v>
      </c>
      <c r="HT39" s="51">
        <f>HR39*HS39</f>
        <v>2415.765000000001</v>
      </c>
      <c r="HU39" s="54"/>
      <c r="HV39" s="51">
        <f>HR39*$HV$35</f>
        <v>120.78825000000005</v>
      </c>
      <c r="HW39" s="51">
        <f>HS39*$HW$35</f>
        <v>20</v>
      </c>
      <c r="HX39" s="51">
        <f>HV39*HW39</f>
        <v>2415.765000000001</v>
      </c>
      <c r="HY39" s="54"/>
      <c r="HZ39" s="51">
        <f>HV39*$HZ$35</f>
        <v>120.78825000000005</v>
      </c>
      <c r="IA39" s="51">
        <f>HW39*$IA$35</f>
        <v>20</v>
      </c>
      <c r="IB39" s="51">
        <f>HZ39*IA39</f>
        <v>2415.765000000001</v>
      </c>
      <c r="IC39" s="54"/>
      <c r="ID39" s="51">
        <f>HZ39*$ID$35</f>
        <v>120.78825000000005</v>
      </c>
      <c r="IE39" s="51">
        <f>IA39*$IE$35</f>
        <v>20</v>
      </c>
      <c r="IF39" s="51">
        <f>ID39*IE39</f>
        <v>2415.765000000001</v>
      </c>
      <c r="IG39" s="54"/>
      <c r="IH39" s="51">
        <f>ID39*$IH$35</f>
        <v>120.78825000000005</v>
      </c>
      <c r="II39" s="51">
        <f>IE39*$II$35</f>
        <v>20</v>
      </c>
      <c r="IJ39" s="51">
        <f>IH39*II39</f>
        <v>2415.765000000001</v>
      </c>
      <c r="IK39" s="54"/>
      <c r="IL39" s="51">
        <f>IH39*$IL$35</f>
        <v>120.78825000000005</v>
      </c>
      <c r="IM39" s="51">
        <f>II39*$IM$35</f>
        <v>20</v>
      </c>
      <c r="IN39" s="51">
        <f>IL39*IM39</f>
        <v>2415.765000000001</v>
      </c>
      <c r="IO39" s="54"/>
      <c r="IP39" s="51">
        <f>IL39*$IP$35</f>
        <v>120.78825000000005</v>
      </c>
      <c r="IQ39" s="51">
        <f>IM39*$IQ$35</f>
        <v>20</v>
      </c>
      <c r="IR39" s="51">
        <f>IP39*IQ39</f>
        <v>2415.765000000001</v>
      </c>
      <c r="IS39" s="54"/>
      <c r="IT39" s="51">
        <f>IP39*$IT$35</f>
        <v>120.78825000000005</v>
      </c>
      <c r="IU39" s="51">
        <f>IQ39*$IU$35</f>
        <v>20</v>
      </c>
      <c r="IV39" s="51">
        <f>IT39*IU39</f>
        <v>2415.765000000001</v>
      </c>
      <c r="IW39" s="54"/>
      <c r="IX39" s="51">
        <f>IT39*$IX$35</f>
        <v>120.78825000000005</v>
      </c>
      <c r="IY39" s="51">
        <f>IU39*$IY$35</f>
        <v>20</v>
      </c>
      <c r="IZ39" s="51">
        <f>IX39*IY39</f>
        <v>2415.765000000001</v>
      </c>
      <c r="JB39" s="80">
        <f>HF39+HJ39+HN39+HR39+HV39+HZ39+ID39+IH39+IL39+IP39+IT39+IX39</f>
        <v>1449.4590000000005</v>
      </c>
      <c r="JC39" s="80">
        <f>(HG39+HK39+HO39+HS39+HW39+IA39+IE39+II39+IM39+IQ39+IU39+IY39)/12</f>
        <v>20</v>
      </c>
      <c r="JD39" s="80">
        <f>HH39+HL39+HP39+HT39+HX39+IB39+IF39+IJ39+IN39+IR39+IV39+IZ39</f>
        <v>28989.180000000004</v>
      </c>
      <c r="JF39" s="51">
        <f>IX39*$JF$35</f>
        <v>132.86707500000006</v>
      </c>
      <c r="JG39" s="51">
        <f>IY39*$JG$35</f>
        <v>20</v>
      </c>
      <c r="JH39" s="51">
        <f>JF39*JG39</f>
        <v>2657.3415000000014</v>
      </c>
      <c r="JI39" s="54"/>
      <c r="JJ39" s="51">
        <f>JF39*$JJ$35</f>
        <v>132.86707500000006</v>
      </c>
      <c r="JK39" s="51">
        <f>JG39*$JK$35</f>
        <v>20</v>
      </c>
      <c r="JL39" s="51">
        <f>JJ39*JK39</f>
        <v>2657.3415000000014</v>
      </c>
      <c r="JM39" s="54"/>
      <c r="JN39" s="51">
        <f>JJ39*$JN$35</f>
        <v>132.86707500000006</v>
      </c>
      <c r="JO39" s="51">
        <f>JK39*$JO$35</f>
        <v>20</v>
      </c>
      <c r="JP39" s="51">
        <f>JN39*JO39</f>
        <v>2657.3415000000014</v>
      </c>
      <c r="JQ39" s="54"/>
      <c r="JR39" s="51">
        <f>JN39*$JR$35</f>
        <v>132.86707500000006</v>
      </c>
      <c r="JS39" s="51">
        <f>JO39*$JS$35</f>
        <v>20</v>
      </c>
      <c r="JT39" s="51">
        <f>JR39*JS39</f>
        <v>2657.3415000000014</v>
      </c>
      <c r="JU39" s="54"/>
      <c r="JV39" s="51">
        <f>JR39*$JV$35</f>
        <v>132.86707500000006</v>
      </c>
      <c r="JW39" s="51">
        <f>JS39*$JW$35</f>
        <v>20</v>
      </c>
      <c r="JX39" s="51">
        <f>JV39*JW39</f>
        <v>2657.3415000000014</v>
      </c>
      <c r="JY39" s="54"/>
      <c r="JZ39" s="51">
        <f>JV39*$JZ$35</f>
        <v>132.86707500000006</v>
      </c>
      <c r="KA39" s="51">
        <f>JW39*$KA$35</f>
        <v>20</v>
      </c>
      <c r="KB39" s="51">
        <f>JZ39*KA39</f>
        <v>2657.3415000000014</v>
      </c>
      <c r="KC39" s="54"/>
      <c r="KD39" s="51">
        <f>JZ39*$KD$35</f>
        <v>132.86707500000006</v>
      </c>
      <c r="KE39" s="51">
        <f>KA39*$KE$35</f>
        <v>20</v>
      </c>
      <c r="KF39" s="51">
        <f>KD39*KE39</f>
        <v>2657.3415000000014</v>
      </c>
      <c r="KG39" s="54"/>
      <c r="KH39" s="51">
        <f>KD39*$KH$35</f>
        <v>132.86707500000006</v>
      </c>
      <c r="KI39" s="51">
        <f>KE39*$KI$35</f>
        <v>20</v>
      </c>
      <c r="KJ39" s="51">
        <f>KH39*KI39</f>
        <v>2657.3415000000014</v>
      </c>
      <c r="KK39" s="54"/>
      <c r="KL39" s="51">
        <f>KH39*$KL$35</f>
        <v>132.86707500000006</v>
      </c>
      <c r="KM39" s="51">
        <f>KI39*$KM$35</f>
        <v>20</v>
      </c>
      <c r="KN39" s="51">
        <f>KL39*KM39</f>
        <v>2657.3415000000014</v>
      </c>
      <c r="KO39" s="54"/>
      <c r="KP39" s="51">
        <f>KL39*$KP$35</f>
        <v>132.86707500000006</v>
      </c>
      <c r="KQ39" s="51">
        <f>KM39*$KQ$35</f>
        <v>20</v>
      </c>
      <c r="KR39" s="51">
        <f>KP39*KQ39</f>
        <v>2657.3415000000014</v>
      </c>
      <c r="KS39" s="54"/>
      <c r="KT39" s="51">
        <f>KP39*$KT$35</f>
        <v>132.86707500000006</v>
      </c>
      <c r="KU39" s="51">
        <f>KQ39*$KU$35</f>
        <v>20</v>
      </c>
      <c r="KV39" s="51">
        <f>KT39*KU39</f>
        <v>2657.3415000000014</v>
      </c>
      <c r="KW39" s="54"/>
      <c r="KX39" s="51">
        <f>KT39*$KX$35</f>
        <v>132.86707500000006</v>
      </c>
      <c r="KY39" s="51">
        <f>KU39*$KY$35</f>
        <v>20</v>
      </c>
      <c r="KZ39" s="51">
        <f>KX39*KY39</f>
        <v>2657.3415000000014</v>
      </c>
      <c r="LB39" s="80">
        <f>JF39+JJ39+JN39+JR39+JV39+JZ39+KD39+KH39+KL39+KP39+KT39+KX39</f>
        <v>1594.4049000000011</v>
      </c>
      <c r="LC39" s="80">
        <f>(JG39+JK39+JO39+JS39+JW39+KA39+KE39+KI39+KM39+KQ39+KU39+KY39)/12</f>
        <v>20</v>
      </c>
      <c r="LD39" s="80">
        <f>JH39+JL39+JP39+JT39+JX39+KB39+KF39+KJ39+KN39+KR39+KV39+KZ39</f>
        <v>31888.098000000024</v>
      </c>
    </row>
    <row r="40" ht="18.75" customHeight="1" spans="2:316" x14ac:dyDescent="0.25">
      <c r="B40" s="5" t="s">
        <v>73</v>
      </c>
      <c r="C40" s="27"/>
      <c r="D40" s="29">
        <f>'A.I Revenue Streams - P1'!E40</f>
        <v>0</v>
      </c>
      <c r="E40" s="30"/>
      <c r="F40" s="51">
        <f>'A.I Revenue Streams - P2'!G40*25</f>
        <v>50</v>
      </c>
      <c r="G40" s="51">
        <f>'A.I Revenue Streams - P2'!I40</f>
        <v>20</v>
      </c>
      <c r="H40" s="51">
        <f>F40*G40</f>
        <v>1000</v>
      </c>
      <c r="I40" s="54"/>
      <c r="J40" s="51">
        <f>F40*$J$35</f>
        <v>55.00000000000001</v>
      </c>
      <c r="K40" s="51">
        <f>G40*$K$35</f>
        <v>20</v>
      </c>
      <c r="L40" s="51">
        <f>J40*K40</f>
        <v>1100.0000000000002</v>
      </c>
      <c r="M40" s="54"/>
      <c r="N40" s="51">
        <f>J40*$N$35</f>
        <v>55.00000000000001</v>
      </c>
      <c r="O40" s="51">
        <f>K40*$O$35</f>
        <v>20</v>
      </c>
      <c r="P40" s="51">
        <f>N40*O40</f>
        <v>1100.0000000000002</v>
      </c>
      <c r="Q40" s="54"/>
      <c r="R40" s="51">
        <f>N40*$R$35</f>
        <v>55.00000000000001</v>
      </c>
      <c r="S40" s="51">
        <f>O40*$S$35</f>
        <v>20</v>
      </c>
      <c r="T40" s="51">
        <f>R40*S40</f>
        <v>1100.0000000000002</v>
      </c>
      <c r="U40" s="54"/>
      <c r="V40" s="51">
        <f>R40*$V$35</f>
        <v>55.00000000000001</v>
      </c>
      <c r="W40" s="51">
        <f>S40*$W$35</f>
        <v>20</v>
      </c>
      <c r="X40" s="51">
        <f>V40*W40</f>
        <v>1100.0000000000002</v>
      </c>
      <c r="Y40" s="54"/>
      <c r="Z40" s="51">
        <f>V40*$Z$35</f>
        <v>55.00000000000001</v>
      </c>
      <c r="AA40" s="51">
        <f>W40*$AA$35</f>
        <v>20</v>
      </c>
      <c r="AB40" s="51">
        <f>Z40*AA40</f>
        <v>1100.0000000000002</v>
      </c>
      <c r="AC40" s="54"/>
      <c r="AD40" s="51">
        <f>Z40*$AD$35</f>
        <v>55.00000000000001</v>
      </c>
      <c r="AE40" s="51">
        <f>AA40*$AE$35</f>
        <v>20</v>
      </c>
      <c r="AF40" s="51">
        <f>AD40*AE40</f>
        <v>1100.0000000000002</v>
      </c>
      <c r="AG40" s="54"/>
      <c r="AH40" s="51">
        <f>AD40*$AH$35</f>
        <v>55.00000000000001</v>
      </c>
      <c r="AI40" s="51">
        <f>AE40*$AI$35</f>
        <v>20</v>
      </c>
      <c r="AJ40" s="51">
        <f>AH40*AI40</f>
        <v>1100.0000000000002</v>
      </c>
      <c r="AK40" s="54"/>
      <c r="AL40" s="51">
        <f>AH40*$AL$35</f>
        <v>55.00000000000001</v>
      </c>
      <c r="AM40" s="51">
        <f>AI40*$AM$35</f>
        <v>20</v>
      </c>
      <c r="AN40" s="51">
        <f>AL40*AM40</f>
        <v>1100.0000000000002</v>
      </c>
      <c r="AO40" s="54"/>
      <c r="AP40" s="51">
        <f t="shared" si="428"/>
        <v>55.00000000000001</v>
      </c>
      <c r="AQ40" s="51">
        <f>AM40*$AQ$35</f>
        <v>20</v>
      </c>
      <c r="AR40" s="51">
        <f t="shared" si="430"/>
        <v>1100.0000000000002</v>
      </c>
      <c r="AS40" s="54"/>
      <c r="AT40" s="51">
        <f>AP40*$AT$35</f>
        <v>55.00000000000001</v>
      </c>
      <c r="AU40" s="51">
        <f t="shared" si="431"/>
        <v>20</v>
      </c>
      <c r="AV40" s="51">
        <f t="shared" si="432"/>
        <v>1100.0000000000002</v>
      </c>
      <c r="AW40" s="54"/>
      <c r="AX40" s="51">
        <f t="shared" si="433"/>
        <v>55.00000000000001</v>
      </c>
      <c r="AY40" s="51">
        <f>AU40*$AY$35</f>
        <v>20</v>
      </c>
      <c r="AZ40" s="51">
        <f t="shared" si="435"/>
        <v>1100.0000000000002</v>
      </c>
      <c r="BA40" s="54"/>
      <c r="BB40" s="85">
        <f>SUMIF($F$6:$AZ$6,$BB$6,F40:AZ40)</f>
        <v>655</v>
      </c>
      <c r="BC40" s="85">
        <f>SUMIF($F$6:$AZ$6,$BC$6,F40:AZ40)/12</f>
        <v>20</v>
      </c>
      <c r="BD40" s="80">
        <f>H40+L40+P40+T40+X40+AB40+AF40+AJ40+AN40</f>
        <v>9800</v>
      </c>
      <c r="BE40" t="b">
        <f>(BB40*BC40)=BD40</f>
        <v>0</v>
      </c>
      <c r="BF40" s="51">
        <f>AX40*$BF$35</f>
        <v>60.500000000000014</v>
      </c>
      <c r="BG40" s="51">
        <f>AY40*$BG$35</f>
        <v>20</v>
      </c>
      <c r="BH40" s="51">
        <f>BF40*BG40</f>
        <v>1210.0000000000002</v>
      </c>
      <c r="BI40" s="54"/>
      <c r="BJ40" s="51">
        <f>BF40*$BJ$35</f>
        <v>60.500000000000014</v>
      </c>
      <c r="BK40" s="51">
        <f>BG40*$BK$35</f>
        <v>20</v>
      </c>
      <c r="BL40" s="51">
        <f>BJ40*BK40</f>
        <v>1210.0000000000002</v>
      </c>
      <c r="BM40" s="54"/>
      <c r="BN40" s="51">
        <f>BJ40*$BN$35</f>
        <v>60.500000000000014</v>
      </c>
      <c r="BO40" s="51">
        <f>BK40*$BO$35</f>
        <v>20</v>
      </c>
      <c r="BP40" s="51">
        <f>BN40*BO40</f>
        <v>1210.0000000000002</v>
      </c>
      <c r="BQ40" s="54"/>
      <c r="BR40" s="51">
        <f>BN40*$BR$35</f>
        <v>60.500000000000014</v>
      </c>
      <c r="BS40" s="51">
        <f>BO40*$BS$35</f>
        <v>20</v>
      </c>
      <c r="BT40" s="51">
        <f>BR40*BS40</f>
        <v>1210.0000000000002</v>
      </c>
      <c r="BU40" s="54"/>
      <c r="BV40" s="51">
        <f>BR40*$BV$35</f>
        <v>60.500000000000014</v>
      </c>
      <c r="BW40" s="51">
        <f>BS40*$BW$35</f>
        <v>20</v>
      </c>
      <c r="BX40" s="51">
        <f>BV40*BW40</f>
        <v>1210.0000000000002</v>
      </c>
      <c r="BY40" s="54"/>
      <c r="BZ40" s="51">
        <f>BV40*$BZ$35</f>
        <v>60.500000000000014</v>
      </c>
      <c r="CA40" s="51">
        <f>BW40*$CA$35</f>
        <v>20</v>
      </c>
      <c r="CB40" s="51">
        <f>BZ40*CA40</f>
        <v>1210.0000000000002</v>
      </c>
      <c r="CC40" s="54"/>
      <c r="CD40" s="51">
        <f>BZ40*$CD$35</f>
        <v>60.500000000000014</v>
      </c>
      <c r="CE40" s="51">
        <f>CA40*$CE$35</f>
        <v>20</v>
      </c>
      <c r="CF40" s="51">
        <f>CD40*CE40</f>
        <v>1210.0000000000002</v>
      </c>
      <c r="CG40" s="54"/>
      <c r="CH40" s="51">
        <f>CD40*$CH$35</f>
        <v>60.500000000000014</v>
      </c>
      <c r="CI40" s="51">
        <f>CE40*$CI$35</f>
        <v>20</v>
      </c>
      <c r="CJ40" s="51">
        <f>CH40*CI40</f>
        <v>1210.0000000000002</v>
      </c>
      <c r="CK40" s="54"/>
      <c r="CL40" s="51">
        <f>CH40*$CL$35</f>
        <v>60.500000000000014</v>
      </c>
      <c r="CM40" s="51">
        <f>CI40*$CM$35</f>
        <v>20</v>
      </c>
      <c r="CN40" s="51">
        <f>CL40*CM40</f>
        <v>1210.0000000000002</v>
      </c>
      <c r="CO40" s="54"/>
      <c r="CP40" s="51">
        <f>CL40*$CP$35</f>
        <v>60.500000000000014</v>
      </c>
      <c r="CQ40" s="51">
        <f>CM40*$CQ$35</f>
        <v>20</v>
      </c>
      <c r="CR40" s="51">
        <f>CP40*CQ40</f>
        <v>1210.0000000000002</v>
      </c>
      <c r="CS40" s="54"/>
      <c r="CT40" s="51">
        <f>CP40*$CT$35</f>
        <v>60.500000000000014</v>
      </c>
      <c r="CU40" s="51">
        <f>CQ40*$CU$35</f>
        <v>20</v>
      </c>
      <c r="CV40" s="51">
        <f>CT40*CU40</f>
        <v>1210.0000000000002</v>
      </c>
      <c r="CW40" s="54"/>
      <c r="CX40" s="51">
        <f>CT40*$CX$35</f>
        <v>60.500000000000014</v>
      </c>
      <c r="CY40" s="51">
        <f>CU40*$CY$35</f>
        <v>20</v>
      </c>
      <c r="CZ40" s="51">
        <f>CX40*CY40</f>
        <v>1210.0000000000002</v>
      </c>
      <c r="DA40" s="54"/>
      <c r="DB40" s="80">
        <f>BF40+BJ40+BN40+BR40+BV40+BZ40+CD40+CH40+CL40+CP40+CT40+CX40</f>
        <v>726.0000000000001</v>
      </c>
      <c r="DC40" s="80">
        <f>(BG40+BK40+BO40+BS40+BW40+CA40+CE40+CI40+CM40+CQ40+CU40+CY40)/12</f>
        <v>20</v>
      </c>
      <c r="DD40" s="80">
        <f>BH40+BL40+BP40+BT40+BX40+CB40+CF40+CJ40+CN40+CR40+CV40+CZ40</f>
        <v>14520.000000000002</v>
      </c>
      <c r="DF40" s="51">
        <f>CX40*$DF$35</f>
        <v>66.55000000000003</v>
      </c>
      <c r="DG40" s="51">
        <f>CY40*$DG$35</f>
        <v>20</v>
      </c>
      <c r="DH40" s="51">
        <f>DF40*DG40</f>
        <v>1331.0000000000005</v>
      </c>
      <c r="DI40" s="54"/>
      <c r="DJ40" s="51">
        <f>DF40*$DJ$35</f>
        <v>66.55000000000003</v>
      </c>
      <c r="DK40" s="51">
        <f>DG40*$DK$35</f>
        <v>20</v>
      </c>
      <c r="DL40" s="51">
        <f>DJ40*DK40</f>
        <v>1331.0000000000005</v>
      </c>
      <c r="DM40" s="54"/>
      <c r="DN40" s="51">
        <f>DJ40*$DN$35</f>
        <v>66.55000000000003</v>
      </c>
      <c r="DO40" s="51">
        <f>DK40*$DO$35</f>
        <v>20</v>
      </c>
      <c r="DP40" s="51">
        <f>DN40*DO40</f>
        <v>1331.0000000000005</v>
      </c>
      <c r="DQ40" s="54"/>
      <c r="DR40" s="51">
        <f>DN40*$DR$35</f>
        <v>66.55000000000003</v>
      </c>
      <c r="DS40" s="51">
        <f>DO40*$DS$35</f>
        <v>20</v>
      </c>
      <c r="DT40" s="51">
        <f>DR40*DS40</f>
        <v>1331.0000000000005</v>
      </c>
      <c r="DU40" s="54"/>
      <c r="DV40" s="51">
        <f>DR40*$DV$35</f>
        <v>66.55000000000003</v>
      </c>
      <c r="DW40" s="51">
        <f>DS40*$DW$35</f>
        <v>20</v>
      </c>
      <c r="DX40" s="51">
        <f>DV40*DW40</f>
        <v>1331.0000000000005</v>
      </c>
      <c r="DY40" s="54"/>
      <c r="DZ40" s="51">
        <f>DV40*$DZ$35</f>
        <v>66.55000000000003</v>
      </c>
      <c r="EA40" s="51">
        <f>DW40*$EA$35</f>
        <v>20</v>
      </c>
      <c r="EB40" s="51">
        <f>DZ40*EA40</f>
        <v>1331.0000000000005</v>
      </c>
      <c r="EC40" s="54"/>
      <c r="ED40" s="51">
        <f>DZ40*$ED$35</f>
        <v>66.55000000000003</v>
      </c>
      <c r="EE40" s="51">
        <f>EA40*$EE$35</f>
        <v>20</v>
      </c>
      <c r="EF40" s="51">
        <f>ED40*EE40</f>
        <v>1331.0000000000005</v>
      </c>
      <c r="EG40" s="54"/>
      <c r="EH40" s="51">
        <f>ED40*$EH$35</f>
        <v>66.55000000000003</v>
      </c>
      <c r="EI40" s="51">
        <f>EE40*$EI$35</f>
        <v>20</v>
      </c>
      <c r="EJ40" s="51">
        <f>EH40*EI40</f>
        <v>1331.0000000000005</v>
      </c>
      <c r="EK40" s="54"/>
      <c r="EL40" s="51">
        <f>EH40*$EL$35</f>
        <v>66.55000000000003</v>
      </c>
      <c r="EM40" s="51">
        <f>EI40*$EM$35</f>
        <v>20</v>
      </c>
      <c r="EN40" s="51">
        <f>EL40*EM40</f>
        <v>1331.0000000000005</v>
      </c>
      <c r="EO40" s="54"/>
      <c r="EP40" s="51">
        <f>EL40*$EP$35</f>
        <v>66.55000000000003</v>
      </c>
      <c r="EQ40" s="51">
        <f>EM40*$EQ$35</f>
        <v>20</v>
      </c>
      <c r="ER40" s="51">
        <f>EP40*EQ40</f>
        <v>1331.0000000000005</v>
      </c>
      <c r="ES40" s="54"/>
      <c r="ET40" s="51">
        <f>EP40*$ET$35</f>
        <v>66.55000000000003</v>
      </c>
      <c r="EU40" s="51">
        <f>EQ40*$EU$35</f>
        <v>20</v>
      </c>
      <c r="EV40" s="51">
        <f>ET40*EU40</f>
        <v>1331.0000000000005</v>
      </c>
      <c r="EW40" s="54"/>
      <c r="EX40" s="51">
        <f>ET40*$EX$35</f>
        <v>66.55000000000003</v>
      </c>
      <c r="EY40" s="51">
        <f>EU40*$EY$35</f>
        <v>20</v>
      </c>
      <c r="EZ40" s="51">
        <f>EX40*EY40</f>
        <v>1331.0000000000005</v>
      </c>
      <c r="FA40" s="54"/>
      <c r="FB40" s="80">
        <f>DF40+DJ40+DN40+DR40+DV40+DZ40+ED40+EH40+EL40+EP40+ET40+EX40</f>
        <v>798.6000000000005</v>
      </c>
      <c r="FC40" s="80">
        <f>(DG40+DK40+DO40+DS40+DW40+EA40+EE40+EI40+EM40+EQ40+EU40+EY40)/12</f>
        <v>20</v>
      </c>
      <c r="FD40" s="80">
        <f>DH40+DL40+DP40+DT40+DX40+EB40+EF40+EJ40+EN40+ER40+EV40+EZ40</f>
        <v>15972.000000000002</v>
      </c>
      <c r="FF40" s="51">
        <f>EX40*$FF$35</f>
        <v>73.20500000000004</v>
      </c>
      <c r="FG40" s="51">
        <f>EY40*$FG$35</f>
        <v>20</v>
      </c>
      <c r="FH40" s="51">
        <f>FF40*FG40</f>
        <v>1464.1000000000008</v>
      </c>
      <c r="FI40" s="54"/>
      <c r="FJ40" s="51">
        <f>FF40*$FJ$35</f>
        <v>73.20500000000004</v>
      </c>
      <c r="FK40" s="51">
        <f>FG40*$FK$35</f>
        <v>20</v>
      </c>
      <c r="FL40" s="51">
        <f>FJ40*FK40</f>
        <v>1464.1000000000008</v>
      </c>
      <c r="FM40" s="54"/>
      <c r="FN40" s="51">
        <f>FJ40*$FN$35</f>
        <v>73.20500000000004</v>
      </c>
      <c r="FO40" s="51">
        <f>FK40*$FO$35</f>
        <v>20</v>
      </c>
      <c r="FP40" s="51">
        <f>FN40*FO40</f>
        <v>1464.1000000000008</v>
      </c>
      <c r="FQ40" s="54"/>
      <c r="FR40" s="51">
        <f>FN40*$FR$35</f>
        <v>73.20500000000004</v>
      </c>
      <c r="FS40" s="51">
        <f>FO40*$FS$35</f>
        <v>20</v>
      </c>
      <c r="FT40" s="51">
        <f>FR40*FS40</f>
        <v>1464.1000000000008</v>
      </c>
      <c r="FU40" s="54"/>
      <c r="FV40" s="51">
        <f>FR40*$FV$35</f>
        <v>73.20500000000004</v>
      </c>
      <c r="FW40" s="51">
        <f>FS40*$FW$35</f>
        <v>20</v>
      </c>
      <c r="FX40" s="51">
        <f>FV40*FW40</f>
        <v>1464.1000000000008</v>
      </c>
      <c r="FY40" s="54"/>
      <c r="FZ40" s="51">
        <f>FV40*$FZ$35</f>
        <v>73.20500000000004</v>
      </c>
      <c r="GA40" s="51">
        <f>FW40*$GA$35</f>
        <v>20</v>
      </c>
      <c r="GB40" s="51">
        <f>FZ40*GA40</f>
        <v>1464.1000000000008</v>
      </c>
      <c r="GC40" s="54"/>
      <c r="GD40" s="51">
        <f>FZ40*$GD$35</f>
        <v>73.20500000000004</v>
      </c>
      <c r="GE40" s="51">
        <f>GA40*$GE$35</f>
        <v>20</v>
      </c>
      <c r="GF40" s="51">
        <f>GD40*GE40</f>
        <v>1464.1000000000008</v>
      </c>
      <c r="GG40" s="54"/>
      <c r="GH40" s="51">
        <f>GD40*$GH$35</f>
        <v>73.20500000000004</v>
      </c>
      <c r="GI40" s="51">
        <f>GE40*$GI$35</f>
        <v>20</v>
      </c>
      <c r="GJ40" s="51">
        <f>GH40*GI40</f>
        <v>1464.1000000000008</v>
      </c>
      <c r="GK40" s="54"/>
      <c r="GL40" s="51">
        <f>GH40*$GL$35</f>
        <v>73.20500000000004</v>
      </c>
      <c r="GM40" s="51">
        <f>GI40*$GM$35</f>
        <v>20</v>
      </c>
      <c r="GN40" s="51">
        <f>GL40*GM40</f>
        <v>1464.1000000000008</v>
      </c>
      <c r="GO40" s="54"/>
      <c r="GP40" s="51">
        <f>GL40*$GP$35</f>
        <v>73.20500000000004</v>
      </c>
      <c r="GQ40" s="51">
        <f>GM40*$GQ$35</f>
        <v>20</v>
      </c>
      <c r="GR40" s="51">
        <f>GP40*GQ40</f>
        <v>1464.1000000000008</v>
      </c>
      <c r="GS40" s="54"/>
      <c r="GT40" s="51">
        <f>GP40*$GT$35</f>
        <v>73.20500000000004</v>
      </c>
      <c r="GU40" s="51">
        <f>GQ40*$GU$35</f>
        <v>20</v>
      </c>
      <c r="GV40" s="51">
        <f>GT40*GU40</f>
        <v>1464.1000000000008</v>
      </c>
      <c r="GW40" s="54"/>
      <c r="GX40" s="51">
        <f>GT40*$GX$35</f>
        <v>73.20500000000004</v>
      </c>
      <c r="GY40" s="51">
        <f>GU40*$GY$35</f>
        <v>20</v>
      </c>
      <c r="GZ40" s="51">
        <f>GX40*GY40</f>
        <v>1464.1000000000008</v>
      </c>
      <c r="HB40" s="80">
        <f>FF40+FJ40+FN40+FR40+FV40+FZ40+GD40+GH40+GL40+GP40+GT40+GX40</f>
        <v>878.4600000000005</v>
      </c>
      <c r="HC40" s="80">
        <f>(FG40+FK40+FO40+FS40+FW40+GA40+GE40+GI40+GM40+GQ40+GU40+GY40)/12</f>
        <v>20</v>
      </c>
      <c r="HD40" s="80">
        <f>FH40+FL40+FP40+FT40+FX40+GB40+GF40+GJ40+GN40+GR40+GV40+GZ40</f>
        <v>17569.200000000008</v>
      </c>
      <c r="HF40" s="51">
        <f>GX40*$HF$35</f>
        <v>80.52550000000005</v>
      </c>
      <c r="HG40" s="51">
        <f>GY40*$HG$35</f>
        <v>20</v>
      </c>
      <c r="HH40" s="51">
        <f>HF40*HG40</f>
        <v>1610.5100000000011</v>
      </c>
      <c r="HI40" s="54"/>
      <c r="HJ40" s="51">
        <f>HF40*$HJ$35</f>
        <v>80.52550000000005</v>
      </c>
      <c r="HK40" s="51">
        <f>HG40*$HK$35</f>
        <v>20</v>
      </c>
      <c r="HL40" s="51">
        <f>HJ40*HK40</f>
        <v>1610.5100000000011</v>
      </c>
      <c r="HM40" s="54"/>
      <c r="HN40" s="51">
        <f>HJ40*$HN$35</f>
        <v>80.52550000000005</v>
      </c>
      <c r="HO40" s="51">
        <f>HK40*$HO$35</f>
        <v>20</v>
      </c>
      <c r="HP40" s="51">
        <f>HN40*HO40</f>
        <v>1610.5100000000011</v>
      </c>
      <c r="HQ40" s="54"/>
      <c r="HR40" s="51">
        <f>HN40*$HR$35</f>
        <v>80.52550000000005</v>
      </c>
      <c r="HS40" s="51">
        <f>HO40*$HS$35</f>
        <v>20</v>
      </c>
      <c r="HT40" s="51">
        <f>HR40*HS40</f>
        <v>1610.5100000000011</v>
      </c>
      <c r="HU40" s="54"/>
      <c r="HV40" s="51">
        <f>HR40*$HV$35</f>
        <v>80.52550000000005</v>
      </c>
      <c r="HW40" s="51">
        <f>HS40*$HW$35</f>
        <v>20</v>
      </c>
      <c r="HX40" s="51">
        <f>HV40*HW40</f>
        <v>1610.5100000000011</v>
      </c>
      <c r="HY40" s="54"/>
      <c r="HZ40" s="51">
        <f>HV40*$HZ$35</f>
        <v>80.52550000000005</v>
      </c>
      <c r="IA40" s="51">
        <f>HW40*$IA$35</f>
        <v>20</v>
      </c>
      <c r="IB40" s="51">
        <f>HZ40*IA40</f>
        <v>1610.5100000000011</v>
      </c>
      <c r="IC40" s="54"/>
      <c r="ID40" s="51">
        <f>HZ40*$ID$35</f>
        <v>80.52550000000005</v>
      </c>
      <c r="IE40" s="51">
        <f>IA40*$IE$35</f>
        <v>20</v>
      </c>
      <c r="IF40" s="51">
        <f>ID40*IE40</f>
        <v>1610.5100000000011</v>
      </c>
      <c r="IG40" s="54"/>
      <c r="IH40" s="51">
        <f>ID40*$IH$35</f>
        <v>80.52550000000005</v>
      </c>
      <c r="II40" s="51">
        <f>IE40*$II$35</f>
        <v>20</v>
      </c>
      <c r="IJ40" s="51">
        <f>IH40*II40</f>
        <v>1610.5100000000011</v>
      </c>
      <c r="IK40" s="54"/>
      <c r="IL40" s="51">
        <f>IH40*$IL$35</f>
        <v>80.52550000000005</v>
      </c>
      <c r="IM40" s="51">
        <f>II40*$IM$35</f>
        <v>20</v>
      </c>
      <c r="IN40" s="51">
        <f>IL40*IM40</f>
        <v>1610.5100000000011</v>
      </c>
      <c r="IO40" s="54"/>
      <c r="IP40" s="51">
        <f>IL40*$IP$35</f>
        <v>80.52550000000005</v>
      </c>
      <c r="IQ40" s="51">
        <f>IM40*$IQ$35</f>
        <v>20</v>
      </c>
      <c r="IR40" s="51">
        <f>IP40*IQ40</f>
        <v>1610.5100000000011</v>
      </c>
      <c r="IS40" s="54"/>
      <c r="IT40" s="51">
        <f>IP40*$IT$35</f>
        <v>80.52550000000005</v>
      </c>
      <c r="IU40" s="51">
        <f>IQ40*$IU$35</f>
        <v>20</v>
      </c>
      <c r="IV40" s="51">
        <f>IT40*IU40</f>
        <v>1610.5100000000011</v>
      </c>
      <c r="IW40" s="54"/>
      <c r="IX40" s="51">
        <f>IT40*$IX$35</f>
        <v>80.52550000000005</v>
      </c>
      <c r="IY40" s="51">
        <f>IU40*$IY$35</f>
        <v>20</v>
      </c>
      <c r="IZ40" s="51">
        <f>IX40*IY40</f>
        <v>1610.5100000000011</v>
      </c>
      <c r="JB40" s="80">
        <f>HF40+HJ40+HN40+HR40+HV40+HZ40+ID40+IH40+IL40+IP40+IT40+IX40</f>
        <v>966.3060000000008</v>
      </c>
      <c r="JC40" s="80">
        <f>(HG40+HK40+HO40+HS40+HW40+IA40+IE40+II40+IM40+IQ40+IU40+IY40)/12</f>
        <v>20</v>
      </c>
      <c r="JD40" s="80">
        <f>HH40+HL40+HP40+HT40+HX40+IB40+IF40+IJ40+IN40+IR40+IV40+IZ40</f>
        <v>19326.120000000017</v>
      </c>
      <c r="JF40" s="51">
        <f>IX40*$JF$35</f>
        <v>88.57805000000006</v>
      </c>
      <c r="JG40" s="51">
        <f>IY40*$JG$35</f>
        <v>20</v>
      </c>
      <c r="JH40" s="51">
        <f>JF40*JG40</f>
        <v>1771.5610000000013</v>
      </c>
      <c r="JI40" s="54"/>
      <c r="JJ40" s="51">
        <f>JF40*$JJ$35</f>
        <v>88.57805000000006</v>
      </c>
      <c r="JK40" s="51">
        <f>JG40*$JK$35</f>
        <v>20</v>
      </c>
      <c r="JL40" s="51">
        <f>JJ40*JK40</f>
        <v>1771.5610000000013</v>
      </c>
      <c r="JM40" s="54"/>
      <c r="JN40" s="51">
        <f>JJ40*$JN$35</f>
        <v>88.57805000000006</v>
      </c>
      <c r="JO40" s="51">
        <f>JK40*$JO$35</f>
        <v>20</v>
      </c>
      <c r="JP40" s="51">
        <f>JN40*JO40</f>
        <v>1771.5610000000013</v>
      </c>
      <c r="JQ40" s="54"/>
      <c r="JR40" s="51">
        <f>JN40*$JR$35</f>
        <v>88.57805000000006</v>
      </c>
      <c r="JS40" s="51">
        <f>JO40*$JS$35</f>
        <v>20</v>
      </c>
      <c r="JT40" s="51">
        <f>JR40*JS40</f>
        <v>1771.5610000000013</v>
      </c>
      <c r="JU40" s="54"/>
      <c r="JV40" s="51">
        <f>JR40*$JV$35</f>
        <v>88.57805000000006</v>
      </c>
      <c r="JW40" s="51">
        <f>JS40*$JW$35</f>
        <v>20</v>
      </c>
      <c r="JX40" s="51">
        <f>JV40*JW40</f>
        <v>1771.5610000000013</v>
      </c>
      <c r="JY40" s="54"/>
      <c r="JZ40" s="51">
        <f>JV40*$JZ$35</f>
        <v>88.57805000000006</v>
      </c>
      <c r="KA40" s="51">
        <f>JW40*$KA$35</f>
        <v>20</v>
      </c>
      <c r="KB40" s="51">
        <f>JZ40*KA40</f>
        <v>1771.5610000000013</v>
      </c>
      <c r="KC40" s="54"/>
      <c r="KD40" s="51">
        <f>JZ40*$KD$35</f>
        <v>88.57805000000006</v>
      </c>
      <c r="KE40" s="51">
        <f>KA40*$KE$35</f>
        <v>20</v>
      </c>
      <c r="KF40" s="51">
        <f>KD40*KE40</f>
        <v>1771.5610000000013</v>
      </c>
      <c r="KG40" s="54"/>
      <c r="KH40" s="51">
        <f>KD40*$KH$35</f>
        <v>88.57805000000006</v>
      </c>
      <c r="KI40" s="51">
        <f>KE40*$KI$35</f>
        <v>20</v>
      </c>
      <c r="KJ40" s="51">
        <f>KH40*KI40</f>
        <v>1771.5610000000013</v>
      </c>
      <c r="KK40" s="54"/>
      <c r="KL40" s="51">
        <f>KH40*$KL$35</f>
        <v>88.57805000000006</v>
      </c>
      <c r="KM40" s="51">
        <f>KI40*$KM$35</f>
        <v>20</v>
      </c>
      <c r="KN40" s="51">
        <f>KL40*KM40</f>
        <v>1771.5610000000013</v>
      </c>
      <c r="KO40" s="54"/>
      <c r="KP40" s="51">
        <f>KL40*$KP$35</f>
        <v>88.57805000000006</v>
      </c>
      <c r="KQ40" s="51">
        <f>KM40*$KQ$35</f>
        <v>20</v>
      </c>
      <c r="KR40" s="51">
        <f>KP40*KQ40</f>
        <v>1771.5610000000013</v>
      </c>
      <c r="KS40" s="54"/>
      <c r="KT40" s="51">
        <f>KP40*$KT$35</f>
        <v>88.57805000000006</v>
      </c>
      <c r="KU40" s="51">
        <f>KQ40*$KU$35</f>
        <v>20</v>
      </c>
      <c r="KV40" s="51">
        <f>KT40*KU40</f>
        <v>1771.5610000000013</v>
      </c>
      <c r="KW40" s="54"/>
      <c r="KX40" s="51">
        <f>KT40*$KX$35</f>
        <v>88.57805000000006</v>
      </c>
      <c r="KY40" s="51">
        <f>KU40*$KY$35</f>
        <v>20</v>
      </c>
      <c r="KZ40" s="51">
        <f>KX40*KY40</f>
        <v>1771.5610000000013</v>
      </c>
      <c r="LB40" s="80">
        <f>JF40+JJ40+JN40+JR40+JV40+JZ40+KD40+KH40+KL40+KP40+KT40+KX40</f>
        <v>1062.9366000000007</v>
      </c>
      <c r="LC40" s="80">
        <f>(JG40+JK40+JO40+JS40+JW40+KA40+KE40+KI40+KM40+KQ40+KU40+KY40)/12</f>
        <v>20</v>
      </c>
      <c r="LD40" s="80">
        <f>JH40+JL40+JP40+JT40+JX40+KB40+KF40+KJ40+KN40+KR40+KV40+KZ40</f>
        <v>21258.732000000015</v>
      </c>
    </row>
    <row r="41" ht="18.75" customHeight="1" spans="2:316" x14ac:dyDescent="0.25">
      <c r="B41" s="5" t="s">
        <v>74</v>
      </c>
      <c r="C41" s="27"/>
      <c r="D41" s="29">
        <f>'A.I Revenue Streams - P1'!E41</f>
        <v>0</v>
      </c>
      <c r="E41" s="30"/>
      <c r="F41" s="51">
        <f>'A.I Revenue Streams - P2'!G41*25</f>
        <v>25</v>
      </c>
      <c r="G41" s="51">
        <f>'A.I Revenue Streams - P2'!I41</f>
        <v>20</v>
      </c>
      <c r="H41" s="51">
        <f>F41*G41</f>
        <v>500</v>
      </c>
      <c r="I41" s="54"/>
      <c r="J41" s="51">
        <f>F41*$J$35</f>
        <v>27.500000000000004</v>
      </c>
      <c r="K41" s="51">
        <f>G41*$K$35</f>
        <v>20</v>
      </c>
      <c r="L41" s="51">
        <f>J41*K41</f>
        <v>550.0000000000001</v>
      </c>
      <c r="M41" s="54"/>
      <c r="N41" s="51">
        <f>J41*$N$35</f>
        <v>27.500000000000004</v>
      </c>
      <c r="O41" s="51">
        <f>K41*$O$35</f>
        <v>20</v>
      </c>
      <c r="P41" s="51">
        <f>N41*O41</f>
        <v>550.0000000000001</v>
      </c>
      <c r="Q41" s="54"/>
      <c r="R41" s="51">
        <f>N41*$R$35</f>
        <v>27.500000000000004</v>
      </c>
      <c r="S41" s="51">
        <f>O41*$S$35</f>
        <v>20</v>
      </c>
      <c r="T41" s="51">
        <f>R41*S41</f>
        <v>550.0000000000001</v>
      </c>
      <c r="U41" s="54"/>
      <c r="V41" s="51">
        <f>R41*$V$35</f>
        <v>27.500000000000004</v>
      </c>
      <c r="W41" s="51">
        <f>S41*$W$35</f>
        <v>20</v>
      </c>
      <c r="X41" s="51">
        <f>V41*W41</f>
        <v>550.0000000000001</v>
      </c>
      <c r="Y41" s="54"/>
      <c r="Z41" s="51">
        <f>V41*$Z$35</f>
        <v>27.500000000000004</v>
      </c>
      <c r="AA41" s="51">
        <f>W41*$AA$35</f>
        <v>20</v>
      </c>
      <c r="AB41" s="51">
        <f>Z41*AA41</f>
        <v>550.0000000000001</v>
      </c>
      <c r="AC41" s="54"/>
      <c r="AD41" s="51">
        <f>Z41*$AD$35</f>
        <v>27.500000000000004</v>
      </c>
      <c r="AE41" s="51">
        <f>AA41*$AE$35</f>
        <v>20</v>
      </c>
      <c r="AF41" s="51">
        <f>AD41*AE41</f>
        <v>550.0000000000001</v>
      </c>
      <c r="AG41" s="54"/>
      <c r="AH41" s="51">
        <f>AD41*$AH$35</f>
        <v>27.500000000000004</v>
      </c>
      <c r="AI41" s="51">
        <f>AE41*$AI$35</f>
        <v>20</v>
      </c>
      <c r="AJ41" s="51">
        <f>AH41*AI41</f>
        <v>550.0000000000001</v>
      </c>
      <c r="AK41" s="54"/>
      <c r="AL41" s="51">
        <f>AH41*$AL$35</f>
        <v>27.500000000000004</v>
      </c>
      <c r="AM41" s="51">
        <f>AI41*$AM$35</f>
        <v>20</v>
      </c>
      <c r="AN41" s="51">
        <f>AL41*AM41</f>
        <v>550.0000000000001</v>
      </c>
      <c r="AO41" s="54"/>
      <c r="AP41" s="51">
        <f t="shared" si="428"/>
        <v>27.500000000000004</v>
      </c>
      <c r="AQ41" s="51">
        <f t="shared" si="429"/>
        <v>20</v>
      </c>
      <c r="AR41" s="51">
        <f t="shared" si="430"/>
        <v>550.0000000000001</v>
      </c>
      <c r="AS41" s="54"/>
      <c r="AT41" s="51">
        <f t="shared" si="436"/>
        <v>27.500000000000004</v>
      </c>
      <c r="AU41" s="51">
        <f t="shared" si="431"/>
        <v>20</v>
      </c>
      <c r="AV41" s="51">
        <f t="shared" si="432"/>
        <v>550.0000000000001</v>
      </c>
      <c r="AW41" s="54"/>
      <c r="AX41" s="51">
        <f t="shared" si="433"/>
        <v>27.500000000000004</v>
      </c>
      <c r="AY41" s="51">
        <f t="shared" si="434"/>
        <v>20</v>
      </c>
      <c r="AZ41" s="51">
        <f t="shared" si="435"/>
        <v>550.0000000000001</v>
      </c>
      <c r="BA41" s="54"/>
      <c r="BB41" s="85">
        <f>SUMIF($F$6:$AZ$6,$BB$6,F41:AZ41)</f>
        <v>327.5</v>
      </c>
      <c r="BC41" s="85">
        <f>SUMIF($F$6:$AZ$6,$BC$6,F41:AZ41)/12</f>
        <v>20</v>
      </c>
      <c r="BD41" s="80">
        <f>H41+L41+P41+T41+X41+AB41+AF41+AJ41+AN41</f>
        <v>4900</v>
      </c>
      <c r="BE41" t="b">
        <f>(BB41*BC41)=BD41</f>
        <v>0</v>
      </c>
      <c r="BF41" s="51">
        <f>AX41*$BF$35</f>
        <v>30.250000000000007</v>
      </c>
      <c r="BG41" s="51">
        <f>AY41*$BG$35</f>
        <v>20</v>
      </c>
      <c r="BH41" s="51">
        <f>BF41*BG41</f>
        <v>605.0000000000001</v>
      </c>
      <c r="BI41" s="54"/>
      <c r="BJ41" s="51">
        <f>BF41*$BJ$35</f>
        <v>30.250000000000007</v>
      </c>
      <c r="BK41" s="51">
        <f>BG41*$BK$35</f>
        <v>20</v>
      </c>
      <c r="BL41" s="51">
        <f>BJ41*BK41</f>
        <v>605.0000000000001</v>
      </c>
      <c r="BM41" s="54"/>
      <c r="BN41" s="51">
        <f>BJ41*$BN$35</f>
        <v>30.250000000000007</v>
      </c>
      <c r="BO41" s="51">
        <f>BK41*$BO$35</f>
        <v>20</v>
      </c>
      <c r="BP41" s="51">
        <f>BN41*BO41</f>
        <v>605.0000000000001</v>
      </c>
      <c r="BQ41" s="54"/>
      <c r="BR41" s="51">
        <f>BN41*$BR$35</f>
        <v>30.250000000000007</v>
      </c>
      <c r="BS41" s="51">
        <f>BO41*$BS$35</f>
        <v>20</v>
      </c>
      <c r="BT41" s="51">
        <f>BR41*BS41</f>
        <v>605.0000000000001</v>
      </c>
      <c r="BU41" s="54"/>
      <c r="BV41" s="51">
        <f>BR41*$BV$35</f>
        <v>30.250000000000007</v>
      </c>
      <c r="BW41" s="51">
        <f>BS41*$BW$35</f>
        <v>20</v>
      </c>
      <c r="BX41" s="51">
        <f>BV41*BW41</f>
        <v>605.0000000000001</v>
      </c>
      <c r="BY41" s="54"/>
      <c r="BZ41" s="51">
        <f>BV41*$BZ$35</f>
        <v>30.250000000000007</v>
      </c>
      <c r="CA41" s="51">
        <f>BW41*$CA$35</f>
        <v>20</v>
      </c>
      <c r="CB41" s="51">
        <f>BZ41*CA41</f>
        <v>605.0000000000001</v>
      </c>
      <c r="CC41" s="54"/>
      <c r="CD41" s="51">
        <f>BZ41*$CD$35</f>
        <v>30.250000000000007</v>
      </c>
      <c r="CE41" s="51">
        <f>CA41*$CE$35</f>
        <v>20</v>
      </c>
      <c r="CF41" s="51">
        <f>CD41*CE41</f>
        <v>605.0000000000001</v>
      </c>
      <c r="CG41" s="54"/>
      <c r="CH41" s="51">
        <f>CD41*$CH$35</f>
        <v>30.250000000000007</v>
      </c>
      <c r="CI41" s="51">
        <f>CE41*$CI$35</f>
        <v>20</v>
      </c>
      <c r="CJ41" s="51">
        <f>CH41*CI41</f>
        <v>605.0000000000001</v>
      </c>
      <c r="CK41" s="54"/>
      <c r="CL41" s="51">
        <f>CH41*$CL$35</f>
        <v>30.250000000000007</v>
      </c>
      <c r="CM41" s="51">
        <f>CI41*$CM$35</f>
        <v>20</v>
      </c>
      <c r="CN41" s="51">
        <f>CL41*CM41</f>
        <v>605.0000000000001</v>
      </c>
      <c r="CO41" s="54"/>
      <c r="CP41" s="51">
        <f>CL41*$CP$35</f>
        <v>30.250000000000007</v>
      </c>
      <c r="CQ41" s="51">
        <f>CM41*$CQ$35</f>
        <v>20</v>
      </c>
      <c r="CR41" s="51">
        <f>CP41*CQ41</f>
        <v>605.0000000000001</v>
      </c>
      <c r="CS41" s="54"/>
      <c r="CT41" s="51">
        <f>CP41*$CT$35</f>
        <v>30.250000000000007</v>
      </c>
      <c r="CU41" s="51">
        <f>CQ41*$CU$35</f>
        <v>20</v>
      </c>
      <c r="CV41" s="51">
        <f>CT41*CU41</f>
        <v>605.0000000000001</v>
      </c>
      <c r="CW41" s="54"/>
      <c r="CX41" s="51">
        <f>CT41*$CX$35</f>
        <v>30.250000000000007</v>
      </c>
      <c r="CY41" s="51">
        <f>CU41*$CY$35</f>
        <v>20</v>
      </c>
      <c r="CZ41" s="51">
        <f>CX41*CY41</f>
        <v>605.0000000000001</v>
      </c>
      <c r="DA41" s="54"/>
      <c r="DB41" s="80">
        <f>BF41+BJ41+BN41+BR41+BV41+BZ41+CD41+CH41+CL41+CP41+CT41+CX41</f>
        <v>363.00000000000006</v>
      </c>
      <c r="DC41" s="80">
        <f>(BG41+BK41+BO41+BS41+BW41+CA41+CE41+CI41+CM41+CQ41+CU41+CY41)/12</f>
        <v>20</v>
      </c>
      <c r="DD41" s="80">
        <f>BH41+BL41+BP41+BT41+BX41+CB41+CF41+CJ41+CN41+CR41+CV41+CZ41</f>
        <v>7260.000000000001</v>
      </c>
      <c r="DF41" s="51">
        <f>CX41*$DF$35</f>
        <v>33.27500000000001</v>
      </c>
      <c r="DG41" s="51">
        <f>CY41*$DG$35</f>
        <v>20</v>
      </c>
      <c r="DH41" s="51">
        <f>DF41*DG41</f>
        <v>665.5000000000002</v>
      </c>
      <c r="DI41" s="54"/>
      <c r="DJ41" s="51">
        <f>DF41*$DJ$35</f>
        <v>33.27500000000001</v>
      </c>
      <c r="DK41" s="51">
        <f>DG41*$DK$35</f>
        <v>20</v>
      </c>
      <c r="DL41" s="51">
        <f>DJ41*DK41</f>
        <v>665.5000000000002</v>
      </c>
      <c r="DM41" s="54"/>
      <c r="DN41" s="51">
        <f>DJ41*$DN$35</f>
        <v>33.27500000000001</v>
      </c>
      <c r="DO41" s="51">
        <f>DK41*$DO$35</f>
        <v>20</v>
      </c>
      <c r="DP41" s="51">
        <f>DN41*DO41</f>
        <v>665.5000000000002</v>
      </c>
      <c r="DQ41" s="54"/>
      <c r="DR41" s="51">
        <f>DN41*$DR$35</f>
        <v>33.27500000000001</v>
      </c>
      <c r="DS41" s="51">
        <f>DO41*$DS$35</f>
        <v>20</v>
      </c>
      <c r="DT41" s="51">
        <f>DR41*DS41</f>
        <v>665.5000000000002</v>
      </c>
      <c r="DU41" s="54"/>
      <c r="DV41" s="51">
        <f>DR41*$DV$35</f>
        <v>33.27500000000001</v>
      </c>
      <c r="DW41" s="51">
        <f>DS41*$DW$35</f>
        <v>20</v>
      </c>
      <c r="DX41" s="51">
        <f>DV41*DW41</f>
        <v>665.5000000000002</v>
      </c>
      <c r="DY41" s="54"/>
      <c r="DZ41" s="51">
        <f>DV41*$DZ$35</f>
        <v>33.27500000000001</v>
      </c>
      <c r="EA41" s="51">
        <f>DW41*$EA$35</f>
        <v>20</v>
      </c>
      <c r="EB41" s="51">
        <f>DZ41*EA41</f>
        <v>665.5000000000002</v>
      </c>
      <c r="EC41" s="54"/>
      <c r="ED41" s="51">
        <f>DZ41*$ED$35</f>
        <v>33.27500000000001</v>
      </c>
      <c r="EE41" s="51">
        <f>EA41*$EE$35</f>
        <v>20</v>
      </c>
      <c r="EF41" s="51">
        <f>ED41*EE41</f>
        <v>665.5000000000002</v>
      </c>
      <c r="EG41" s="54"/>
      <c r="EH41" s="51">
        <f>ED41*$EH$35</f>
        <v>33.27500000000001</v>
      </c>
      <c r="EI41" s="51">
        <f>EE41*$EI$35</f>
        <v>20</v>
      </c>
      <c r="EJ41" s="51">
        <f>EH41*EI41</f>
        <v>665.5000000000002</v>
      </c>
      <c r="EK41" s="54"/>
      <c r="EL41" s="51">
        <f>EH41*$EL$35</f>
        <v>33.27500000000001</v>
      </c>
      <c r="EM41" s="51">
        <f>EI41*$EM$35</f>
        <v>20</v>
      </c>
      <c r="EN41" s="51">
        <f>EL41*EM41</f>
        <v>665.5000000000002</v>
      </c>
      <c r="EO41" s="54"/>
      <c r="EP41" s="51">
        <f>EL41*$EP$35</f>
        <v>33.27500000000001</v>
      </c>
      <c r="EQ41" s="51">
        <f>EM41*$EQ$35</f>
        <v>20</v>
      </c>
      <c r="ER41" s="51">
        <f>EP41*EQ41</f>
        <v>665.5000000000002</v>
      </c>
      <c r="ES41" s="54"/>
      <c r="ET41" s="51">
        <f>EP41*$ET$35</f>
        <v>33.27500000000001</v>
      </c>
      <c r="EU41" s="51">
        <f>EQ41*$EU$35</f>
        <v>20</v>
      </c>
      <c r="EV41" s="51">
        <f>ET41*EU41</f>
        <v>665.5000000000002</v>
      </c>
      <c r="EW41" s="54"/>
      <c r="EX41" s="51">
        <f>ET41*$EX$35</f>
        <v>33.27500000000001</v>
      </c>
      <c r="EY41" s="51">
        <f>EU41*$EY$35</f>
        <v>20</v>
      </c>
      <c r="EZ41" s="51">
        <f>EX41*EY41</f>
        <v>665.5000000000002</v>
      </c>
      <c r="FA41" s="54"/>
      <c r="FB41" s="80">
        <f>DF41+DJ41+DN41+DR41+DV41+DZ41+ED41+EH41+EL41+EP41+ET41+EX41</f>
        <v>399.30000000000024</v>
      </c>
      <c r="FC41" s="80">
        <f>(DG41+DK41+DO41+DS41+DW41+EA41+EE41+EI41+EM41+EQ41+EU41+EY41)/12</f>
        <v>20</v>
      </c>
      <c r="FD41" s="80">
        <f>DH41+DL41+DP41+DT41+DX41+EB41+EF41+EJ41+EN41+ER41+EV41+EZ41</f>
        <v>7986.000000000001</v>
      </c>
      <c r="FF41" s="51">
        <f>EX41*$FF$35</f>
        <v>36.60250000000002</v>
      </c>
      <c r="FG41" s="51">
        <f>EY41*$FG$35</f>
        <v>20</v>
      </c>
      <c r="FH41" s="51">
        <f>FF41*FG41</f>
        <v>732.0500000000004</v>
      </c>
      <c r="FI41" s="54"/>
      <c r="FJ41" s="51">
        <f>FF41*$FJ$35</f>
        <v>36.60250000000002</v>
      </c>
      <c r="FK41" s="51">
        <f>FG41*$FK$35</f>
        <v>20</v>
      </c>
      <c r="FL41" s="51">
        <f>FJ41*FK41</f>
        <v>732.0500000000004</v>
      </c>
      <c r="FM41" s="54"/>
      <c r="FN41" s="51">
        <f>FJ41*$FN$35</f>
        <v>36.60250000000002</v>
      </c>
      <c r="FO41" s="51">
        <f>FK41*$FO$35</f>
        <v>20</v>
      </c>
      <c r="FP41" s="51">
        <f>FN41*FO41</f>
        <v>732.0500000000004</v>
      </c>
      <c r="FQ41" s="54"/>
      <c r="FR41" s="51">
        <f>FN41*$FR$35</f>
        <v>36.60250000000002</v>
      </c>
      <c r="FS41" s="51">
        <f>FO41*$FS$35</f>
        <v>20</v>
      </c>
      <c r="FT41" s="51">
        <f>FR41*FS41</f>
        <v>732.0500000000004</v>
      </c>
      <c r="FU41" s="54"/>
      <c r="FV41" s="51">
        <f>FR41*$FV$35</f>
        <v>36.60250000000002</v>
      </c>
      <c r="FW41" s="51">
        <f>FS41*$FW$35</f>
        <v>20</v>
      </c>
      <c r="FX41" s="51">
        <f>FV41*FW41</f>
        <v>732.0500000000004</v>
      </c>
      <c r="FY41" s="54"/>
      <c r="FZ41" s="51">
        <f>FV41*$FZ$35</f>
        <v>36.60250000000002</v>
      </c>
      <c r="GA41" s="51">
        <f>FW41*$GA$35</f>
        <v>20</v>
      </c>
      <c r="GB41" s="51">
        <f>FZ41*GA41</f>
        <v>732.0500000000004</v>
      </c>
      <c r="GC41" s="54"/>
      <c r="GD41" s="51">
        <f>FZ41*$GD$35</f>
        <v>36.60250000000002</v>
      </c>
      <c r="GE41" s="51">
        <f>GA41*$GE$35</f>
        <v>20</v>
      </c>
      <c r="GF41" s="51">
        <f>GD41*GE41</f>
        <v>732.0500000000004</v>
      </c>
      <c r="GG41" s="54"/>
      <c r="GH41" s="51">
        <f>GD41*$GH$35</f>
        <v>36.60250000000002</v>
      </c>
      <c r="GI41" s="51">
        <f>GE41*$GI$35</f>
        <v>20</v>
      </c>
      <c r="GJ41" s="51">
        <f>GH41*GI41</f>
        <v>732.0500000000004</v>
      </c>
      <c r="GK41" s="54"/>
      <c r="GL41" s="51">
        <f>GH41*$GL$35</f>
        <v>36.60250000000002</v>
      </c>
      <c r="GM41" s="51">
        <f>GI41*$GM$35</f>
        <v>20</v>
      </c>
      <c r="GN41" s="51">
        <f>GL41*GM41</f>
        <v>732.0500000000004</v>
      </c>
      <c r="GO41" s="54"/>
      <c r="GP41" s="51">
        <f>GL41*$GP$35</f>
        <v>36.60250000000002</v>
      </c>
      <c r="GQ41" s="51">
        <f>GM41*$GQ$35</f>
        <v>20</v>
      </c>
      <c r="GR41" s="51">
        <f>GP41*GQ41</f>
        <v>732.0500000000004</v>
      </c>
      <c r="GS41" s="54"/>
      <c r="GT41" s="51">
        <f>GP41*$GT$35</f>
        <v>36.60250000000002</v>
      </c>
      <c r="GU41" s="51">
        <f>GQ41*$GU$35</f>
        <v>20</v>
      </c>
      <c r="GV41" s="51">
        <f>GT41*GU41</f>
        <v>732.0500000000004</v>
      </c>
      <c r="GW41" s="54"/>
      <c r="GX41" s="51">
        <f>GT41*$GX$35</f>
        <v>36.60250000000002</v>
      </c>
      <c r="GY41" s="51">
        <f>GU41*$GY$35</f>
        <v>20</v>
      </c>
      <c r="GZ41" s="51">
        <f>GX41*GY41</f>
        <v>732.0500000000004</v>
      </c>
      <c r="HB41" s="80">
        <f>FF41+FJ41+FN41+FR41+FV41+FZ41+GD41+GH41+GL41+GP41+GT41+GX41</f>
        <v>439.23000000000025</v>
      </c>
      <c r="HC41" s="80">
        <f>(FG41+FK41+FO41+FS41+FW41+GA41+GE41+GI41+GM41+GQ41+GU41+GY41)/12</f>
        <v>20</v>
      </c>
      <c r="HD41" s="80">
        <f>FH41+FL41+FP41+FT41+FX41+GB41+GF41+GJ41+GN41+GR41+GV41+GZ41</f>
        <v>8784.600000000004</v>
      </c>
      <c r="HF41" s="51">
        <f>GX41*$HF$35</f>
        <v>40.262750000000025</v>
      </c>
      <c r="HG41" s="51">
        <f>GY41*$HG$35</f>
        <v>20</v>
      </c>
      <c r="HH41" s="51">
        <f>HF41*HG41</f>
        <v>805.2550000000006</v>
      </c>
      <c r="HI41" s="54"/>
      <c r="HJ41" s="51">
        <f>HF41*$HJ$35</f>
        <v>40.262750000000025</v>
      </c>
      <c r="HK41" s="51">
        <f>HG41*$HK$35</f>
        <v>20</v>
      </c>
      <c r="HL41" s="51">
        <f>HJ41*HK41</f>
        <v>805.2550000000006</v>
      </c>
      <c r="HM41" s="54"/>
      <c r="HN41" s="51">
        <f>HJ41*$HN$35</f>
        <v>40.262750000000025</v>
      </c>
      <c r="HO41" s="51">
        <f>HK41*$HO$35</f>
        <v>20</v>
      </c>
      <c r="HP41" s="51">
        <f>HN41*HO41</f>
        <v>805.2550000000006</v>
      </c>
      <c r="HQ41" s="54"/>
      <c r="HR41" s="51">
        <f>HN41*$HR$35</f>
        <v>40.262750000000025</v>
      </c>
      <c r="HS41" s="51">
        <f>HO41*$HS$35</f>
        <v>20</v>
      </c>
      <c r="HT41" s="51">
        <f>HR41*HS41</f>
        <v>805.2550000000006</v>
      </c>
      <c r="HU41" s="54"/>
      <c r="HV41" s="51">
        <f>HR41*$HV$35</f>
        <v>40.262750000000025</v>
      </c>
      <c r="HW41" s="51">
        <f>HS41*$HW$35</f>
        <v>20</v>
      </c>
      <c r="HX41" s="51">
        <f>HV41*HW41</f>
        <v>805.2550000000006</v>
      </c>
      <c r="HY41" s="54"/>
      <c r="HZ41" s="51">
        <f>HV41*$HZ$35</f>
        <v>40.262750000000025</v>
      </c>
      <c r="IA41" s="51">
        <f>HW41*$IA$35</f>
        <v>20</v>
      </c>
      <c r="IB41" s="51">
        <f>HZ41*IA41</f>
        <v>805.2550000000006</v>
      </c>
      <c r="IC41" s="54"/>
      <c r="ID41" s="51">
        <f>HZ41*$ID$35</f>
        <v>40.262750000000025</v>
      </c>
      <c r="IE41" s="51">
        <f>IA41*$IE$35</f>
        <v>20</v>
      </c>
      <c r="IF41" s="51">
        <f>ID41*IE41</f>
        <v>805.2550000000006</v>
      </c>
      <c r="IG41" s="54"/>
      <c r="IH41" s="51">
        <f>ID41*$IH$35</f>
        <v>40.262750000000025</v>
      </c>
      <c r="II41" s="51">
        <f>IE41*$II$35</f>
        <v>20</v>
      </c>
      <c r="IJ41" s="51">
        <f>IH41*II41</f>
        <v>805.2550000000006</v>
      </c>
      <c r="IK41" s="54"/>
      <c r="IL41" s="51">
        <f>IH41*$IL$35</f>
        <v>40.262750000000025</v>
      </c>
      <c r="IM41" s="51">
        <f>II41*$IM$35</f>
        <v>20</v>
      </c>
      <c r="IN41" s="51">
        <f>IL41*IM41</f>
        <v>805.2550000000006</v>
      </c>
      <c r="IO41" s="54"/>
      <c r="IP41" s="51">
        <f>IL41*$IP$35</f>
        <v>40.262750000000025</v>
      </c>
      <c r="IQ41" s="51">
        <f>IM41*$IQ$35</f>
        <v>20</v>
      </c>
      <c r="IR41" s="51">
        <f>IP41*IQ41</f>
        <v>805.2550000000006</v>
      </c>
      <c r="IS41" s="54"/>
      <c r="IT41" s="51">
        <f>IP41*$IT$35</f>
        <v>40.262750000000025</v>
      </c>
      <c r="IU41" s="51">
        <f>IQ41*$IU$35</f>
        <v>20</v>
      </c>
      <c r="IV41" s="51">
        <f>IT41*IU41</f>
        <v>805.2550000000006</v>
      </c>
      <c r="IW41" s="54"/>
      <c r="IX41" s="51">
        <f>IT41*$IX$35</f>
        <v>40.262750000000025</v>
      </c>
      <c r="IY41" s="51">
        <f>IU41*$IY$35</f>
        <v>20</v>
      </c>
      <c r="IZ41" s="51">
        <f>IX41*IY41</f>
        <v>805.2550000000006</v>
      </c>
      <c r="JB41" s="80">
        <f>HF41+HJ41+HN41+HR41+HV41+HZ41+ID41+IH41+IL41+IP41+IT41+IX41</f>
        <v>483.1530000000004</v>
      </c>
      <c r="JC41" s="80">
        <f>(HG41+HK41+HO41+HS41+HW41+IA41+IE41+II41+IM41+IQ41+IU41+IY41)/12</f>
        <v>20</v>
      </c>
      <c r="JD41" s="80">
        <f>HH41+HL41+HP41+HT41+HX41+IB41+IF41+IJ41+IN41+IR41+IV41+IZ41</f>
        <v>9663.060000000009</v>
      </c>
      <c r="JF41" s="51">
        <f>IX41*$JF$35</f>
        <v>44.28902500000003</v>
      </c>
      <c r="JG41" s="51">
        <f>IY41*$JG$35</f>
        <v>20</v>
      </c>
      <c r="JH41" s="51">
        <f>JF41*JG41</f>
        <v>885.7805000000006</v>
      </c>
      <c r="JI41" s="54"/>
      <c r="JJ41" s="51">
        <f>JF41*$JJ$35</f>
        <v>44.28902500000003</v>
      </c>
      <c r="JK41" s="51">
        <f>JG41*$JK$35</f>
        <v>20</v>
      </c>
      <c r="JL41" s="51">
        <f>JJ41*JK41</f>
        <v>885.7805000000006</v>
      </c>
      <c r="JM41" s="54"/>
      <c r="JN41" s="51">
        <f>JJ41*$JN$35</f>
        <v>44.28902500000003</v>
      </c>
      <c r="JO41" s="51">
        <f>JK41*$JO$35</f>
        <v>20</v>
      </c>
      <c r="JP41" s="51">
        <f>JN41*JO41</f>
        <v>885.7805000000006</v>
      </c>
      <c r="JQ41" s="54"/>
      <c r="JR41" s="51">
        <f>JN41*$JR$35</f>
        <v>44.28902500000003</v>
      </c>
      <c r="JS41" s="51">
        <f>JO41*$JS$35</f>
        <v>20</v>
      </c>
      <c r="JT41" s="51">
        <f>JR41*JS41</f>
        <v>885.7805000000006</v>
      </c>
      <c r="JU41" s="54"/>
      <c r="JV41" s="51">
        <f>JR41*$JV$35</f>
        <v>44.28902500000003</v>
      </c>
      <c r="JW41" s="51">
        <f>JS41*$JW$35</f>
        <v>20</v>
      </c>
      <c r="JX41" s="51">
        <f>JV41*JW41</f>
        <v>885.7805000000006</v>
      </c>
      <c r="JY41" s="54"/>
      <c r="JZ41" s="51">
        <f>JV41*$JZ$35</f>
        <v>44.28902500000003</v>
      </c>
      <c r="KA41" s="51">
        <f>JW41*$KA$35</f>
        <v>20</v>
      </c>
      <c r="KB41" s="51">
        <f>JZ41*KA41</f>
        <v>885.7805000000006</v>
      </c>
      <c r="KC41" s="54"/>
      <c r="KD41" s="51">
        <f>JZ41*$KD$35</f>
        <v>44.28902500000003</v>
      </c>
      <c r="KE41" s="51">
        <f>KA41*$KE$35</f>
        <v>20</v>
      </c>
      <c r="KF41" s="51">
        <f>KD41*KE41</f>
        <v>885.7805000000006</v>
      </c>
      <c r="KG41" s="54"/>
      <c r="KH41" s="51">
        <f>KD41*$KH$35</f>
        <v>44.28902500000003</v>
      </c>
      <c r="KI41" s="51">
        <f>KE41*$KI$35</f>
        <v>20</v>
      </c>
      <c r="KJ41" s="51">
        <f>KH41*KI41</f>
        <v>885.7805000000006</v>
      </c>
      <c r="KK41" s="54"/>
      <c r="KL41" s="51">
        <f>KH41*$KL$35</f>
        <v>44.28902500000003</v>
      </c>
      <c r="KM41" s="51">
        <f>KI41*$KM$35</f>
        <v>20</v>
      </c>
      <c r="KN41" s="51">
        <f>KL41*KM41</f>
        <v>885.7805000000006</v>
      </c>
      <c r="KO41" s="54"/>
      <c r="KP41" s="51">
        <f>KL41*$KP$35</f>
        <v>44.28902500000003</v>
      </c>
      <c r="KQ41" s="51">
        <f>KM41*$KQ$35</f>
        <v>20</v>
      </c>
      <c r="KR41" s="51">
        <f>KP41*KQ41</f>
        <v>885.7805000000006</v>
      </c>
      <c r="KS41" s="54"/>
      <c r="KT41" s="51">
        <f>KP41*$KT$35</f>
        <v>44.28902500000003</v>
      </c>
      <c r="KU41" s="51">
        <f>KQ41*$KU$35</f>
        <v>20</v>
      </c>
      <c r="KV41" s="51">
        <f>KT41*KU41</f>
        <v>885.7805000000006</v>
      </c>
      <c r="KW41" s="54"/>
      <c r="KX41" s="51">
        <f>KT41*$KX$35</f>
        <v>44.28902500000003</v>
      </c>
      <c r="KY41" s="51">
        <f>KU41*$KY$35</f>
        <v>20</v>
      </c>
      <c r="KZ41" s="51">
        <f>KX41*KY41</f>
        <v>885.7805000000006</v>
      </c>
      <c r="LB41" s="80">
        <f>JF41+JJ41+JN41+JR41+JV41+JZ41+KD41+KH41+KL41+KP41+KT41+KX41</f>
        <v>531.4683000000003</v>
      </c>
      <c r="LC41" s="80">
        <f>(JG41+JK41+JO41+JS41+JW41+KA41+KE41+KI41+KM41+KQ41+KU41+KY41)/12</f>
        <v>20</v>
      </c>
      <c r="LD41" s="80">
        <f>JH41+JL41+JP41+JT41+JX41+KB41+KF41+KJ41+KN41+KR41+KV41+KZ41</f>
        <v>10629.366000000007</v>
      </c>
    </row>
    <row r="42" ht="18.75" customHeight="1" spans="2:316" x14ac:dyDescent="0.25">
      <c r="B42" s="34" t="s">
        <v>58</v>
      </c>
      <c r="C42" s="34"/>
      <c r="D42" s="34"/>
      <c r="E42" s="30"/>
      <c r="F42" s="81">
        <f>SUM(F37:F41)</f>
        <v>375</v>
      </c>
      <c r="G42" s="81"/>
      <c r="H42" s="81">
        <f>SUM(H37:H41)</f>
        <v>7500</v>
      </c>
      <c r="I42" s="81"/>
      <c r="J42" s="81">
        <f>SUM(J37:J41)</f>
        <v>412.5</v>
      </c>
      <c r="K42" s="81"/>
      <c r="L42" s="81">
        <f>SUM(L37:L41)</f>
        <v>8250</v>
      </c>
      <c r="M42" s="81"/>
      <c r="N42" s="81">
        <f>SUM(N37:N41)</f>
        <v>412.5</v>
      </c>
      <c r="O42" s="81"/>
      <c r="P42" s="81">
        <f>SUM(P37:P41)</f>
        <v>8250</v>
      </c>
      <c r="Q42" s="81"/>
      <c r="R42" s="81">
        <f>SUM(R37:R41)</f>
        <v>412.5</v>
      </c>
      <c r="S42" s="81"/>
      <c r="T42" s="81">
        <f>SUM(T37:T41)</f>
        <v>8250</v>
      </c>
      <c r="U42" s="81"/>
      <c r="V42" s="81">
        <f>SUM(V37:V41)</f>
        <v>412.5</v>
      </c>
      <c r="W42" s="81"/>
      <c r="X42" s="81">
        <f>SUM(X37:X41)</f>
        <v>8250</v>
      </c>
      <c r="Y42" s="81"/>
      <c r="Z42" s="81">
        <f>SUM(Z37:Z41)</f>
        <v>412.5</v>
      </c>
      <c r="AA42" s="81"/>
      <c r="AB42" s="81">
        <f>SUM(AB37:AB41)</f>
        <v>8250</v>
      </c>
      <c r="AC42" s="81"/>
      <c r="AD42" s="81">
        <f>SUM(AD37:AD41)</f>
        <v>412.5</v>
      </c>
      <c r="AE42" s="81"/>
      <c r="AF42" s="81">
        <f>SUM(AF37:AF41)</f>
        <v>8250</v>
      </c>
      <c r="AG42" s="81"/>
      <c r="AH42" s="81">
        <f>SUM(AH37:AH41)</f>
        <v>412.5</v>
      </c>
      <c r="AI42" s="81"/>
      <c r="AJ42" s="81">
        <f>SUM(AJ37:AJ41)</f>
        <v>8250</v>
      </c>
      <c r="AK42" s="81"/>
      <c r="AL42" s="81">
        <f>SUM(AL37:AL41)</f>
        <v>412.5</v>
      </c>
      <c r="AM42" s="81"/>
      <c r="AN42" s="81">
        <f>SUM(AN37:AN41)</f>
        <v>8250</v>
      </c>
      <c r="AO42" s="81"/>
      <c r="AP42" s="81">
        <f>SUM(AP37:AP41)</f>
        <v>412.5</v>
      </c>
      <c r="AQ42" s="81"/>
      <c r="AR42" s="81">
        <f>SUM(AR37:AR41)</f>
        <v>8250</v>
      </c>
      <c r="AS42" s="81"/>
      <c r="AT42" s="81">
        <f>SUM(AT37:AT41)</f>
        <v>412.5</v>
      </c>
      <c r="AU42" s="81"/>
      <c r="AV42" s="81">
        <f>SUM(AV37:AV41)</f>
        <v>8250</v>
      </c>
      <c r="AW42" s="81"/>
      <c r="AX42" s="81">
        <f>SUM(AX37:AX41)</f>
        <v>412.5</v>
      </c>
      <c r="AY42" s="81"/>
      <c r="AZ42" s="81">
        <f>SUM(AZ37:AZ41)</f>
        <v>8250</v>
      </c>
      <c r="BA42" s="81"/>
      <c r="BB42" s="81">
        <f>SUM(BB37:BB41)</f>
        <v>4912.5</v>
      </c>
      <c r="BC42" s="81"/>
      <c r="BD42" s="81">
        <f>SUM(BD37:BD41)</f>
        <v>73500</v>
      </c>
      <c r="BE42" s="9"/>
      <c r="BF42" s="81">
        <f>SUM(BF37:BF41)</f>
        <v>453.75</v>
      </c>
      <c r="BG42" s="81"/>
      <c r="BH42" s="81">
        <f>SUM(BH37:BH41)</f>
        <v>9075</v>
      </c>
      <c r="BI42" s="81"/>
      <c r="BJ42" s="81">
        <f>SUM(BJ37:BJ41)</f>
        <v>453.75</v>
      </c>
      <c r="BK42" s="81"/>
      <c r="BL42" s="81">
        <f>SUM(BL37:BL41)</f>
        <v>9075</v>
      </c>
      <c r="BM42" s="81"/>
      <c r="BN42" s="81">
        <f>SUM(BN37:BN41)</f>
        <v>453.75</v>
      </c>
      <c r="BO42" s="81"/>
      <c r="BP42" s="81">
        <f>SUM(BP37:BP41)</f>
        <v>9075</v>
      </c>
      <c r="BQ42" s="81"/>
      <c r="BR42" s="81">
        <f>SUM(BR37:BR41)</f>
        <v>453.75</v>
      </c>
      <c r="BS42" s="81"/>
      <c r="BT42" s="81">
        <f>SUM(BT37:BT41)</f>
        <v>9075</v>
      </c>
      <c r="BU42" s="81"/>
      <c r="BV42" s="81">
        <f>SUM(BV37:BV41)</f>
        <v>453.75</v>
      </c>
      <c r="BW42" s="81"/>
      <c r="BX42" s="81">
        <f>SUM(BX37:BX41)</f>
        <v>9075</v>
      </c>
      <c r="BY42" s="81"/>
      <c r="BZ42" s="81">
        <f>SUM(BZ37:BZ41)</f>
        <v>453.75</v>
      </c>
      <c r="CA42" s="81"/>
      <c r="CB42" s="81">
        <f>SUM(CB37:CB41)</f>
        <v>9075</v>
      </c>
      <c r="CC42" s="81"/>
      <c r="CD42" s="81">
        <f>SUM(CD37:CD41)</f>
        <v>453.75</v>
      </c>
      <c r="CE42" s="81"/>
      <c r="CF42" s="81">
        <f>SUM(CF37:CF41)</f>
        <v>9075</v>
      </c>
      <c r="CG42" s="81"/>
      <c r="CH42" s="81">
        <f>SUM(CH37:CH41)</f>
        <v>453.75</v>
      </c>
      <c r="CI42" s="81"/>
      <c r="CJ42" s="81">
        <f>SUM(CJ37:CJ41)</f>
        <v>9075</v>
      </c>
      <c r="CK42" s="81"/>
      <c r="CL42" s="81">
        <f>SUM(CL37:CL41)</f>
        <v>453.75</v>
      </c>
      <c r="CM42" s="81"/>
      <c r="CN42" s="81">
        <f>SUM(CN37:CN41)</f>
        <v>9075</v>
      </c>
      <c r="CO42" s="81"/>
      <c r="CP42" s="81">
        <f>SUM(CP37:CP41)</f>
        <v>453.75</v>
      </c>
      <c r="CQ42" s="81"/>
      <c r="CR42" s="81">
        <f>SUM(CR37:CR41)</f>
        <v>9075</v>
      </c>
      <c r="CS42" s="81"/>
      <c r="CT42" s="81">
        <f>SUM(CT37:CT41)</f>
        <v>453.75</v>
      </c>
      <c r="CU42" s="81"/>
      <c r="CV42" s="81">
        <f>SUM(CV37:CV41)</f>
        <v>9075</v>
      </c>
      <c r="CW42" s="81"/>
      <c r="CX42" s="81">
        <f>SUM(CX37:CX41)</f>
        <v>453.75</v>
      </c>
      <c r="CY42" s="81"/>
      <c r="CZ42" s="81">
        <f>SUM(CZ37:CZ41)</f>
        <v>9075</v>
      </c>
      <c r="DA42" s="81"/>
      <c r="DB42" s="81">
        <f>SUM(DB37:DB41)</f>
        <v>5445</v>
      </c>
      <c r="DC42" s="81"/>
      <c r="DD42" s="81">
        <f>SUM(DD37:DD41)</f>
        <v>108900</v>
      </c>
      <c r="DE42" s="9"/>
      <c r="DF42" s="81">
        <f>SUM(DF37:DF41)</f>
        <v>499.1250000000001</v>
      </c>
      <c r="DG42" s="81"/>
      <c r="DH42" s="81">
        <f>SUM(DH37:DH41)</f>
        <v>9982.500000000002</v>
      </c>
      <c r="DI42" s="81"/>
      <c r="DJ42" s="81">
        <f>SUM(DJ37:DJ41)</f>
        <v>499.1250000000001</v>
      </c>
      <c r="DK42" s="81"/>
      <c r="DL42" s="81">
        <f>SUM(DL37:DL41)</f>
        <v>9982.500000000002</v>
      </c>
      <c r="DM42" s="81"/>
      <c r="DN42" s="81">
        <f>SUM(DN37:DN41)</f>
        <v>499.1250000000001</v>
      </c>
      <c r="DO42" s="81"/>
      <c r="DP42" s="81">
        <f>SUM(DP37:DP41)</f>
        <v>9982.500000000002</v>
      </c>
      <c r="DQ42" s="81"/>
      <c r="DR42" s="81">
        <f>SUM(DR37:DR41)</f>
        <v>499.1250000000001</v>
      </c>
      <c r="DS42" s="81"/>
      <c r="DT42" s="81">
        <f>SUM(DT37:DT41)</f>
        <v>9982.500000000002</v>
      </c>
      <c r="DU42" s="81"/>
      <c r="DV42" s="81">
        <f>SUM(DV37:DV41)</f>
        <v>499.1250000000001</v>
      </c>
      <c r="DW42" s="81"/>
      <c r="DX42" s="81">
        <f>SUM(DX37:DX41)</f>
        <v>9982.500000000002</v>
      </c>
      <c r="DY42" s="81"/>
      <c r="DZ42" s="81">
        <f>SUM(DZ37:DZ41)</f>
        <v>499.1250000000001</v>
      </c>
      <c r="EA42" s="81"/>
      <c r="EB42" s="81">
        <f>SUM(EB37:EB41)</f>
        <v>9982.500000000002</v>
      </c>
      <c r="EC42" s="81"/>
      <c r="ED42" s="81">
        <f>SUM(ED37:ED41)</f>
        <v>499.1250000000001</v>
      </c>
      <c r="EE42" s="81"/>
      <c r="EF42" s="81">
        <f>SUM(EF37:EF41)</f>
        <v>9982.500000000002</v>
      </c>
      <c r="EG42" s="81"/>
      <c r="EH42" s="81">
        <f>SUM(EH37:EH41)</f>
        <v>499.1250000000001</v>
      </c>
      <c r="EI42" s="81"/>
      <c r="EJ42" s="81">
        <f>SUM(EJ37:EJ41)</f>
        <v>9982.500000000002</v>
      </c>
      <c r="EK42" s="81"/>
      <c r="EL42" s="81">
        <f>SUM(EL37:EL41)</f>
        <v>499.1250000000001</v>
      </c>
      <c r="EM42" s="81"/>
      <c r="EN42" s="81">
        <f>SUM(EN37:EN41)</f>
        <v>9982.500000000002</v>
      </c>
      <c r="EO42" s="81"/>
      <c r="EP42" s="81">
        <f>SUM(EP37:EP41)</f>
        <v>499.1250000000001</v>
      </c>
      <c r="EQ42" s="81"/>
      <c r="ER42" s="81">
        <f>SUM(ER37:ER41)</f>
        <v>9982.500000000002</v>
      </c>
      <c r="ES42" s="81"/>
      <c r="ET42" s="81">
        <f>SUM(ET37:ET41)</f>
        <v>499.1250000000001</v>
      </c>
      <c r="EU42" s="81"/>
      <c r="EV42" s="81">
        <f>SUM(EV37:EV41)</f>
        <v>9982.500000000002</v>
      </c>
      <c r="EW42" s="81"/>
      <c r="EX42" s="81">
        <f>SUM(EX37:EX41)</f>
        <v>499.1250000000001</v>
      </c>
      <c r="EY42" s="81"/>
      <c r="EZ42" s="81">
        <f>SUM(EZ37:EZ41)</f>
        <v>9982.500000000002</v>
      </c>
      <c r="FA42" s="81"/>
      <c r="FB42" s="81">
        <f>SUM(FB37:FB41)</f>
        <v>5989.500000000002</v>
      </c>
      <c r="FC42" s="81"/>
      <c r="FD42" s="81">
        <f>SUM(FD37:FD41)</f>
        <v>119790</v>
      </c>
      <c r="FE42" s="9"/>
      <c r="FF42" s="81">
        <f>SUM(FF37:FF41)</f>
        <v>549.0375000000001</v>
      </c>
      <c r="FG42" s="81"/>
      <c r="FH42" s="81">
        <f>SUM(FH37:FH41)</f>
        <v>10980.750000000004</v>
      </c>
      <c r="FI42" s="81"/>
      <c r="FJ42" s="81">
        <f>SUM(FJ37:FJ41)</f>
        <v>549.0375000000001</v>
      </c>
      <c r="FK42" s="81"/>
      <c r="FL42" s="81">
        <f>SUM(FL37:FL41)</f>
        <v>10980.750000000004</v>
      </c>
      <c r="FM42" s="81"/>
      <c r="FN42" s="81">
        <f>SUM(FN37:FN41)</f>
        <v>549.0375000000001</v>
      </c>
      <c r="FO42" s="81"/>
      <c r="FP42" s="81">
        <f>SUM(FP37:FP41)</f>
        <v>10980.750000000004</v>
      </c>
      <c r="FQ42" s="81"/>
      <c r="FR42" s="81">
        <f>SUM(FR37:FR41)</f>
        <v>549.0375000000001</v>
      </c>
      <c r="FS42" s="81"/>
      <c r="FT42" s="81">
        <f>SUM(FT37:FT41)</f>
        <v>10980.750000000004</v>
      </c>
      <c r="FU42" s="81"/>
      <c r="FV42" s="81">
        <f>SUM(FV37:FV41)</f>
        <v>549.0375000000001</v>
      </c>
      <c r="FW42" s="81"/>
      <c r="FX42" s="81">
        <f>SUM(FX37:FX41)</f>
        <v>10980.750000000004</v>
      </c>
      <c r="FY42" s="81"/>
      <c r="FZ42" s="81">
        <f>SUM(FZ37:FZ41)</f>
        <v>549.0375000000001</v>
      </c>
      <c r="GA42" s="81"/>
      <c r="GB42" s="81">
        <f>SUM(GB37:GB41)</f>
        <v>10980.750000000004</v>
      </c>
      <c r="GC42" s="81"/>
      <c r="GD42" s="81">
        <f>SUM(GD37:GD41)</f>
        <v>549.0375000000001</v>
      </c>
      <c r="GE42" s="81"/>
      <c r="GF42" s="81">
        <f>SUM(GF37:GF41)</f>
        <v>10980.750000000004</v>
      </c>
      <c r="GG42" s="81"/>
      <c r="GH42" s="81">
        <f>SUM(GH37:GH41)</f>
        <v>549.0375000000001</v>
      </c>
      <c r="GI42" s="81"/>
      <c r="GJ42" s="81">
        <f>SUM(GJ37:GJ41)</f>
        <v>10980.750000000004</v>
      </c>
      <c r="GK42" s="81"/>
      <c r="GL42" s="81">
        <f>SUM(GL37:GL41)</f>
        <v>549.0375000000001</v>
      </c>
      <c r="GM42" s="81"/>
      <c r="GN42" s="81">
        <f>SUM(GN37:GN41)</f>
        <v>10980.750000000004</v>
      </c>
      <c r="GO42" s="81"/>
      <c r="GP42" s="81">
        <f>SUM(GP37:GP41)</f>
        <v>549.0375000000001</v>
      </c>
      <c r="GQ42" s="81"/>
      <c r="GR42" s="81">
        <f>SUM(GR37:GR41)</f>
        <v>10980.750000000004</v>
      </c>
      <c r="GS42" s="81"/>
      <c r="GT42" s="81">
        <f>SUM(GT37:GT41)</f>
        <v>549.0375000000001</v>
      </c>
      <c r="GU42" s="81"/>
      <c r="GV42" s="81">
        <f>SUM(GV37:GV41)</f>
        <v>10980.750000000004</v>
      </c>
      <c r="GW42" s="81"/>
      <c r="GX42" s="81">
        <f>SUM(GX37:GX41)</f>
        <v>549.0375000000001</v>
      </c>
      <c r="GY42" s="81"/>
      <c r="GZ42" s="81">
        <f>SUM(GZ37:GZ41)</f>
        <v>10980.750000000004</v>
      </c>
      <c r="HA42" s="9"/>
      <c r="HB42" s="81">
        <f>SUM(HB37:HB41)</f>
        <v>6588.4500000000035</v>
      </c>
      <c r="HC42" s="81"/>
      <c r="HD42" s="81">
        <f>SUM(HD37:HD41)</f>
        <v>131769.00000000006</v>
      </c>
      <c r="HE42" s="9"/>
      <c r="HF42" s="81">
        <f>SUM(HF37:HF41)</f>
        <v>603.9412500000002</v>
      </c>
      <c r="HG42" s="81"/>
      <c r="HH42" s="81">
        <f>SUM(HH37:HH41)</f>
        <v>12078.825000000004</v>
      </c>
      <c r="HI42" s="81"/>
      <c r="HJ42" s="81">
        <f>SUM(HJ37:HJ41)</f>
        <v>603.9412500000002</v>
      </c>
      <c r="HK42" s="81"/>
      <c r="HL42" s="81">
        <f>SUM(HL37:HL41)</f>
        <v>12078.825000000004</v>
      </c>
      <c r="HM42" s="81"/>
      <c r="HN42" s="81">
        <f>SUM(HN37:HN41)</f>
        <v>603.9412500000002</v>
      </c>
      <c r="HO42" s="81"/>
      <c r="HP42" s="81">
        <f>SUM(HP37:HP41)</f>
        <v>12078.825000000004</v>
      </c>
      <c r="HQ42" s="81"/>
      <c r="HR42" s="81">
        <f>SUM(HR37:HR41)</f>
        <v>603.9412500000002</v>
      </c>
      <c r="HS42" s="81"/>
      <c r="HT42" s="81">
        <f>SUM(HT37:HT41)</f>
        <v>12078.825000000004</v>
      </c>
      <c r="HU42" s="81"/>
      <c r="HV42" s="81">
        <f>SUM(HV37:HV41)</f>
        <v>603.9412500000002</v>
      </c>
      <c r="HW42" s="81"/>
      <c r="HX42" s="81">
        <f>SUM(HX37:HX41)</f>
        <v>12078.825000000004</v>
      </c>
      <c r="HY42" s="81"/>
      <c r="HZ42" s="81">
        <f>SUM(HZ37:HZ41)</f>
        <v>603.9412500000002</v>
      </c>
      <c r="IA42" s="81"/>
      <c r="IB42" s="81">
        <f>SUM(IB37:IB41)</f>
        <v>12078.825000000004</v>
      </c>
      <c r="IC42" s="81"/>
      <c r="ID42" s="81">
        <f>SUM(ID37:ID41)</f>
        <v>603.9412500000002</v>
      </c>
      <c r="IE42" s="81"/>
      <c r="IF42" s="81">
        <f>SUM(IF37:IF41)</f>
        <v>12078.825000000004</v>
      </c>
      <c r="IG42" s="81"/>
      <c r="IH42" s="81">
        <f>SUM(IH37:IH41)</f>
        <v>603.9412500000002</v>
      </c>
      <c r="II42" s="81"/>
      <c r="IJ42" s="81">
        <f>SUM(IJ37:IJ41)</f>
        <v>12078.825000000004</v>
      </c>
      <c r="IK42" s="81"/>
      <c r="IL42" s="81">
        <f>SUM(IL37:IL41)</f>
        <v>603.9412500000002</v>
      </c>
      <c r="IM42" s="81"/>
      <c r="IN42" s="81">
        <f>SUM(IN37:IN41)</f>
        <v>12078.825000000004</v>
      </c>
      <c r="IO42" s="81"/>
      <c r="IP42" s="81">
        <f>SUM(IP37:IP41)</f>
        <v>603.9412500000002</v>
      </c>
      <c r="IQ42" s="81"/>
      <c r="IR42" s="81">
        <f>SUM(IR37:IR41)</f>
        <v>12078.825000000004</v>
      </c>
      <c r="IS42" s="81"/>
      <c r="IT42" s="81">
        <f>SUM(IT37:IT41)</f>
        <v>603.9412500000002</v>
      </c>
      <c r="IU42" s="81"/>
      <c r="IV42" s="81">
        <f>SUM(IV37:IV41)</f>
        <v>12078.825000000004</v>
      </c>
      <c r="IW42" s="81"/>
      <c r="IX42" s="81">
        <f>SUM(IX37:IX41)</f>
        <v>603.9412500000002</v>
      </c>
      <c r="IY42" s="81"/>
      <c r="IZ42" s="81">
        <f>SUM(IZ37:IZ41)</f>
        <v>12078.825000000004</v>
      </c>
      <c r="JA42" s="9"/>
      <c r="JB42" s="81">
        <f>SUM(JB37:JB41)</f>
        <v>7247.295000000004</v>
      </c>
      <c r="JC42" s="81"/>
      <c r="JD42" s="81">
        <f>SUM(JD37:JD41)</f>
        <v>144945.90000000005</v>
      </c>
      <c r="JE42" s="9"/>
      <c r="JF42" s="81">
        <f>SUM(JF37:JF41)</f>
        <v>664.3353750000003</v>
      </c>
      <c r="JG42" s="81"/>
      <c r="JH42" s="81">
        <f>SUM(JH37:JH41)</f>
        <v>13286.707500000008</v>
      </c>
      <c r="JI42" s="81"/>
      <c r="JJ42" s="81">
        <f>SUM(JJ37:JJ41)</f>
        <v>664.3353750000003</v>
      </c>
      <c r="JK42" s="81"/>
      <c r="JL42" s="81">
        <f>SUM(JL37:JL41)</f>
        <v>13286.707500000008</v>
      </c>
      <c r="JM42" s="81"/>
      <c r="JN42" s="81">
        <f>SUM(JN37:JN41)</f>
        <v>664.3353750000003</v>
      </c>
      <c r="JO42" s="81"/>
      <c r="JP42" s="81">
        <f>SUM(JP37:JP41)</f>
        <v>13286.707500000008</v>
      </c>
      <c r="JQ42" s="81"/>
      <c r="JR42" s="81">
        <f>SUM(JR37:JR41)</f>
        <v>664.3353750000003</v>
      </c>
      <c r="JS42" s="81"/>
      <c r="JT42" s="81">
        <f>SUM(JT37:JT41)</f>
        <v>13286.707500000008</v>
      </c>
      <c r="JU42" s="81"/>
      <c r="JV42" s="81">
        <f>SUM(JV37:JV41)</f>
        <v>664.3353750000003</v>
      </c>
      <c r="JW42" s="81"/>
      <c r="JX42" s="81">
        <f>SUM(JX37:JX41)</f>
        <v>13286.707500000008</v>
      </c>
      <c r="JY42" s="81"/>
      <c r="JZ42" s="81">
        <f>SUM(JZ37:JZ41)</f>
        <v>664.3353750000003</v>
      </c>
      <c r="KA42" s="81"/>
      <c r="KB42" s="81">
        <f>SUM(KB37:KB41)</f>
        <v>13286.707500000008</v>
      </c>
      <c r="KC42" s="81"/>
      <c r="KD42" s="81">
        <f>SUM(KD37:KD41)</f>
        <v>664.3353750000003</v>
      </c>
      <c r="KE42" s="81"/>
      <c r="KF42" s="81">
        <f>SUM(KF37:KF41)</f>
        <v>13286.707500000008</v>
      </c>
      <c r="KG42" s="81"/>
      <c r="KH42" s="81">
        <f>SUM(KH37:KH41)</f>
        <v>664.3353750000003</v>
      </c>
      <c r="KI42" s="81"/>
      <c r="KJ42" s="81">
        <f>SUM(KJ37:KJ41)</f>
        <v>13286.707500000008</v>
      </c>
      <c r="KK42" s="81"/>
      <c r="KL42" s="81">
        <f>SUM(KL37:KL41)</f>
        <v>664.3353750000003</v>
      </c>
      <c r="KM42" s="81"/>
      <c r="KN42" s="81">
        <f>SUM(KN37:KN41)</f>
        <v>13286.707500000008</v>
      </c>
      <c r="KO42" s="81"/>
      <c r="KP42" s="81">
        <f>SUM(KP37:KP41)</f>
        <v>664.3353750000003</v>
      </c>
      <c r="KQ42" s="81"/>
      <c r="KR42" s="81">
        <f>SUM(KR37:KR41)</f>
        <v>13286.707500000008</v>
      </c>
      <c r="KS42" s="81"/>
      <c r="KT42" s="81">
        <f>SUM(KT37:KT41)</f>
        <v>664.3353750000003</v>
      </c>
      <c r="KU42" s="81"/>
      <c r="KV42" s="81">
        <f>SUM(KV37:KV41)</f>
        <v>13286.707500000008</v>
      </c>
      <c r="KW42" s="81"/>
      <c r="KX42" s="81">
        <f>SUM(KX37:KX41)</f>
        <v>664.3353750000003</v>
      </c>
      <c r="KY42" s="81"/>
      <c r="KZ42" s="81">
        <f>SUM(KZ37:KZ41)</f>
        <v>13286.707500000008</v>
      </c>
      <c r="LA42" s="9"/>
      <c r="LB42" s="81">
        <f>SUM(LB37:LB41)</f>
        <v>7972.024500000005</v>
      </c>
      <c r="LC42" s="81"/>
      <c r="LD42" s="81">
        <f>SUM(LD37:LD41)</f>
        <v>159440.4900000001</v>
      </c>
    </row>
    <row r="43" ht="9.75" customHeight="1" spans="2:316" x14ac:dyDescent="0.25">
      <c r="B43" s="9"/>
      <c r="C43" s="28"/>
      <c r="D43" s="30"/>
      <c r="E43" s="30"/>
      <c r="F43" s="54"/>
      <c r="G43" s="54"/>
      <c r="H43" s="54"/>
      <c r="I43" s="54"/>
      <c r="J43" s="54"/>
      <c r="K43" s="54"/>
      <c r="L43" s="54"/>
      <c r="M43" s="54"/>
      <c r="N43" s="54"/>
      <c r="O43" s="54"/>
      <c r="P43" s="54"/>
      <c r="Q43" s="54"/>
      <c r="R43" s="54"/>
      <c r="S43" s="54"/>
      <c r="T43" s="54"/>
      <c r="U43" s="54"/>
      <c r="V43" s="54"/>
      <c r="W43" s="54"/>
      <c r="X43" s="54"/>
      <c r="Y43" s="54"/>
      <c r="Z43" s="54"/>
      <c r="AA43" s="54"/>
      <c r="AB43" s="54"/>
      <c r="AC43" s="54"/>
      <c r="AD43" s="54"/>
      <c r="AE43" s="54"/>
      <c r="AF43" s="54"/>
      <c r="AG43" s="54"/>
      <c r="AH43" s="54"/>
      <c r="AI43" s="54"/>
      <c r="AJ43" s="54"/>
      <c r="AK43" s="54"/>
      <c r="AL43" s="54"/>
      <c r="AM43" s="54"/>
      <c r="AN43" s="54"/>
      <c r="AO43" s="54"/>
      <c r="AP43" s="54"/>
      <c r="AQ43" s="54"/>
      <c r="AR43" s="54"/>
      <c r="AS43" s="54"/>
      <c r="AT43" s="54"/>
      <c r="AU43" s="54"/>
      <c r="AV43" s="54"/>
      <c r="AW43" s="54"/>
      <c r="AX43" s="54"/>
      <c r="AY43" s="54"/>
      <c r="AZ43" s="54"/>
      <c r="BA43" s="54"/>
      <c r="BB43" s="54"/>
      <c r="BC43" s="54"/>
      <c r="BD43" s="54"/>
      <c r="BF43" s="54"/>
      <c r="BG43" s="54"/>
      <c r="BH43" s="54"/>
      <c r="BI43" s="54"/>
      <c r="BJ43" s="54"/>
      <c r="BK43" s="54"/>
      <c r="BL43" s="54"/>
      <c r="BM43" s="54"/>
      <c r="BN43" s="54"/>
      <c r="BO43" s="54"/>
      <c r="BP43" s="54"/>
      <c r="BQ43" s="54"/>
      <c r="BR43" s="54"/>
      <c r="BS43" s="54"/>
      <c r="BT43" s="54"/>
      <c r="BU43" s="54"/>
      <c r="BV43" s="54"/>
      <c r="BW43" s="54"/>
      <c r="BX43" s="54"/>
      <c r="BY43" s="54"/>
      <c r="BZ43" s="54"/>
      <c r="CA43" s="54"/>
      <c r="CB43" s="54"/>
      <c r="CC43" s="54"/>
      <c r="CD43" s="54"/>
      <c r="CE43" s="54"/>
      <c r="CF43" s="54"/>
      <c r="CG43" s="54"/>
      <c r="CH43" s="54"/>
      <c r="CI43" s="54"/>
      <c r="CJ43" s="54"/>
      <c r="CK43" s="54"/>
      <c r="CL43" s="54"/>
      <c r="CM43" s="54"/>
      <c r="CN43" s="54"/>
      <c r="CO43" s="54"/>
      <c r="CP43" s="54"/>
      <c r="CQ43" s="54"/>
      <c r="CR43" s="54"/>
      <c r="CS43" s="54"/>
      <c r="CT43" s="54"/>
      <c r="CU43" s="54"/>
      <c r="CV43" s="54"/>
      <c r="CW43" s="54"/>
      <c r="CX43" s="54"/>
      <c r="CY43" s="54"/>
      <c r="CZ43" s="54"/>
      <c r="DA43" s="54"/>
      <c r="DB43" s="54"/>
      <c r="DC43" s="54"/>
      <c r="DD43" s="54"/>
      <c r="DF43" s="54"/>
      <c r="DG43" s="54"/>
      <c r="DH43" s="54"/>
      <c r="DI43" s="54"/>
      <c r="DJ43" s="54"/>
      <c r="DK43" s="54"/>
      <c r="DL43" s="54"/>
      <c r="DM43" s="54"/>
      <c r="DN43" s="54"/>
      <c r="DO43" s="54"/>
      <c r="DP43" s="54"/>
      <c r="DQ43" s="54"/>
      <c r="DR43" s="54"/>
      <c r="DS43" s="54"/>
      <c r="DT43" s="54"/>
      <c r="DU43" s="54"/>
      <c r="DV43" s="54"/>
      <c r="DW43" s="54"/>
      <c r="DX43" s="54"/>
      <c r="DY43" s="54"/>
      <c r="DZ43" s="54"/>
      <c r="EA43" s="54"/>
      <c r="EB43" s="54"/>
      <c r="EC43" s="54"/>
      <c r="ED43" s="54"/>
      <c r="EE43" s="54"/>
      <c r="EF43" s="54"/>
      <c r="EG43" s="54"/>
      <c r="EH43" s="54"/>
      <c r="EI43" s="54"/>
      <c r="EJ43" s="54"/>
      <c r="EK43" s="54"/>
      <c r="EL43" s="54"/>
      <c r="EM43" s="54"/>
      <c r="EN43" s="54"/>
      <c r="EO43" s="54"/>
      <c r="EP43" s="54"/>
      <c r="EQ43" s="54"/>
      <c r="ER43" s="54"/>
      <c r="ES43" s="54"/>
      <c r="ET43" s="54"/>
      <c r="EU43" s="54"/>
      <c r="EV43" s="54"/>
      <c r="EW43" s="54"/>
      <c r="EX43" s="54"/>
      <c r="EY43" s="54"/>
      <c r="EZ43" s="54"/>
      <c r="FA43" s="54"/>
      <c r="FB43" s="54"/>
      <c r="FC43" s="54"/>
      <c r="FD43" s="54"/>
      <c r="FF43" s="54"/>
      <c r="FG43" s="54"/>
      <c r="FH43" s="54"/>
      <c r="FI43" s="54"/>
      <c r="FJ43" s="54"/>
      <c r="FK43" s="54"/>
      <c r="FL43" s="54"/>
      <c r="FM43" s="54"/>
      <c r="FN43" s="54"/>
      <c r="FO43" s="54"/>
      <c r="FP43" s="54"/>
      <c r="FQ43" s="54"/>
      <c r="FR43" s="54"/>
      <c r="FS43" s="54"/>
      <c r="FT43" s="54"/>
      <c r="FU43" s="54"/>
      <c r="FV43" s="54"/>
      <c r="FW43" s="54"/>
      <c r="FX43" s="54"/>
      <c r="FY43" s="54"/>
      <c r="FZ43" s="54"/>
      <c r="GA43" s="54"/>
      <c r="GB43" s="54"/>
      <c r="GC43" s="54"/>
      <c r="GD43" s="54"/>
      <c r="GE43" s="54"/>
      <c r="GF43" s="54"/>
      <c r="GG43" s="54"/>
      <c r="GH43" s="54"/>
      <c r="GI43" s="54"/>
      <c r="GJ43" s="54"/>
      <c r="GK43" s="54"/>
      <c r="GL43" s="54"/>
      <c r="GM43" s="54"/>
      <c r="GN43" s="54"/>
      <c r="GO43" s="54"/>
      <c r="GP43" s="54"/>
      <c r="GQ43" s="54"/>
      <c r="GR43" s="54"/>
      <c r="GS43" s="54"/>
      <c r="GT43" s="54"/>
      <c r="GU43" s="54"/>
      <c r="GV43" s="54"/>
      <c r="GW43" s="54"/>
      <c r="GX43" s="54"/>
      <c r="GY43" s="54"/>
      <c r="GZ43" s="54"/>
      <c r="HB43" s="54"/>
      <c r="HC43" s="54"/>
      <c r="HD43" s="54"/>
      <c r="HF43" s="54"/>
      <c r="HG43" s="54"/>
      <c r="HH43" s="54"/>
      <c r="HI43" s="54"/>
      <c r="HJ43" s="54"/>
      <c r="HK43" s="54"/>
      <c r="HL43" s="54"/>
      <c r="HM43" s="54"/>
      <c r="HN43" s="54"/>
      <c r="HO43" s="54"/>
      <c r="HP43" s="54"/>
      <c r="HQ43" s="54"/>
      <c r="HR43" s="54"/>
      <c r="HS43" s="54"/>
      <c r="HT43" s="54"/>
      <c r="HU43" s="54"/>
      <c r="HV43" s="54"/>
      <c r="HW43" s="54"/>
      <c r="HX43" s="54"/>
      <c r="HY43" s="54"/>
      <c r="HZ43" s="54"/>
      <c r="IA43" s="54"/>
      <c r="IB43" s="54"/>
      <c r="IC43" s="54"/>
      <c r="ID43" s="54"/>
      <c r="IE43" s="54"/>
      <c r="IF43" s="54"/>
      <c r="IG43" s="54"/>
      <c r="IH43" s="54"/>
      <c r="II43" s="54"/>
      <c r="IJ43" s="54"/>
      <c r="IK43" s="54"/>
      <c r="IL43" s="54"/>
      <c r="IM43" s="54"/>
      <c r="IN43" s="54"/>
      <c r="IO43" s="54"/>
      <c r="IP43" s="54"/>
      <c r="IQ43" s="54"/>
      <c r="IR43" s="54"/>
      <c r="IS43" s="54"/>
      <c r="IT43" s="54"/>
      <c r="IU43" s="54"/>
      <c r="IV43" s="54"/>
      <c r="IW43" s="54"/>
      <c r="IX43" s="54"/>
      <c r="IY43" s="54"/>
      <c r="IZ43" s="54"/>
      <c r="JB43" s="54"/>
      <c r="JC43" s="54"/>
      <c r="JD43" s="54"/>
      <c r="JF43" s="54"/>
      <c r="JG43" s="54"/>
      <c r="JH43" s="54"/>
      <c r="JI43" s="54"/>
      <c r="JJ43" s="54"/>
      <c r="JK43" s="54"/>
      <c r="JL43" s="54"/>
      <c r="JM43" s="54"/>
      <c r="JN43" s="54"/>
      <c r="JO43" s="54"/>
      <c r="JP43" s="54"/>
      <c r="JQ43" s="54"/>
      <c r="JR43" s="54"/>
      <c r="JS43" s="54"/>
      <c r="JT43" s="54"/>
      <c r="JU43" s="54"/>
      <c r="JV43" s="54"/>
      <c r="JW43" s="54"/>
      <c r="JX43" s="54"/>
      <c r="JY43" s="54"/>
      <c r="JZ43" s="54"/>
      <c r="KA43" s="54"/>
      <c r="KB43" s="54"/>
      <c r="KC43" s="54"/>
      <c r="KD43" s="54"/>
      <c r="KE43" s="54"/>
      <c r="KF43" s="54"/>
      <c r="KG43" s="54"/>
      <c r="KH43" s="54"/>
      <c r="KI43" s="54"/>
      <c r="KJ43" s="54"/>
      <c r="KK43" s="54"/>
      <c r="KL43" s="54"/>
      <c r="KM43" s="54"/>
      <c r="KN43" s="54"/>
      <c r="KO43" s="54"/>
      <c r="KP43" s="54"/>
      <c r="KQ43" s="54"/>
      <c r="KR43" s="54"/>
      <c r="KS43" s="54"/>
      <c r="KT43" s="54"/>
      <c r="KU43" s="54"/>
      <c r="KV43" s="54"/>
      <c r="KW43" s="54"/>
      <c r="KX43" s="54"/>
      <c r="KY43" s="54"/>
      <c r="KZ43" s="54"/>
      <c r="LB43" s="54"/>
      <c r="LC43" s="54"/>
      <c r="LD43" s="54"/>
    </row>
    <row r="44" ht="18.75" customHeight="1" spans="2:316" x14ac:dyDescent="0.25">
      <c r="B44" s="9"/>
      <c r="C44" s="28"/>
      <c r="D44" s="28"/>
      <c r="E44" s="28"/>
      <c r="F44" s="28"/>
      <c r="J44" s="78">
        <f>'A.I Revenue Streams - P2'!K46+100%</f>
        <v>1.1</v>
      </c>
      <c r="K44" s="78">
        <f>$K$8</f>
        <v>1</v>
      </c>
      <c r="L44" s="77"/>
      <c r="M44" s="77"/>
      <c r="N44" s="78">
        <v>1</v>
      </c>
      <c r="O44" s="78">
        <v>1</v>
      </c>
      <c r="P44" s="77"/>
      <c r="Q44" s="77"/>
      <c r="R44" s="78">
        <f>N44</f>
        <v>1</v>
      </c>
      <c r="S44" s="78">
        <v>1</v>
      </c>
      <c r="T44" s="77"/>
      <c r="U44" s="77"/>
      <c r="V44" s="78">
        <f>R44</f>
        <v>1</v>
      </c>
      <c r="W44" s="78">
        <v>1</v>
      </c>
      <c r="X44" s="77"/>
      <c r="Y44" s="77"/>
      <c r="Z44" s="78">
        <f>V44</f>
        <v>1</v>
      </c>
      <c r="AA44" s="78">
        <v>1</v>
      </c>
      <c r="AB44" s="77"/>
      <c r="AC44" s="77"/>
      <c r="AD44" s="78">
        <f>Z44</f>
        <v>1</v>
      </c>
      <c r="AE44" s="78">
        <v>1</v>
      </c>
      <c r="AF44" s="77"/>
      <c r="AG44" s="77"/>
      <c r="AH44" s="78">
        <f>AD44</f>
        <v>1</v>
      </c>
      <c r="AI44" s="78">
        <v>1</v>
      </c>
      <c r="AJ44" s="77"/>
      <c r="AK44" s="77"/>
      <c r="AL44" s="78">
        <f>AH44</f>
        <v>1</v>
      </c>
      <c r="AM44" s="78">
        <v>1</v>
      </c>
      <c r="AN44" s="77"/>
      <c r="AO44" s="54"/>
      <c r="AP44" s="78">
        <f>AL44</f>
        <v>1</v>
      </c>
      <c r="AQ44" s="78">
        <v>1</v>
      </c>
      <c r="AR44" s="77"/>
      <c r="AS44" s="77"/>
      <c r="AT44" s="78">
        <f>AP44</f>
        <v>1</v>
      </c>
      <c r="AU44" s="78">
        <v>1</v>
      </c>
      <c r="AV44" s="77"/>
      <c r="AW44" s="77"/>
      <c r="AX44" s="78">
        <f>AT44</f>
        <v>1</v>
      </c>
      <c r="AY44" s="78">
        <v>1</v>
      </c>
      <c r="AZ44" s="77"/>
      <c r="BA44" s="54"/>
      <c r="BB44" s="54"/>
      <c r="BC44" s="54"/>
      <c r="BD44" s="54"/>
      <c r="BF44" s="78">
        <f>'A.I Revenue Streams - P2'!M46+100%</f>
        <v>1.1</v>
      </c>
      <c r="BG44" s="78">
        <v>1</v>
      </c>
      <c r="BH44" s="77"/>
      <c r="BJ44" s="78">
        <v>1</v>
      </c>
      <c r="BK44" s="78">
        <v>1</v>
      </c>
      <c r="BL44" s="77"/>
      <c r="BM44" s="77"/>
      <c r="BN44" s="78">
        <f>BJ44</f>
        <v>1</v>
      </c>
      <c r="BO44" s="78">
        <v>1</v>
      </c>
      <c r="BP44" s="77"/>
      <c r="BQ44" s="77"/>
      <c r="BR44" s="79">
        <f>BN44</f>
        <v>1</v>
      </c>
      <c r="BS44" s="79">
        <v>1</v>
      </c>
      <c r="BT44" s="77"/>
      <c r="BU44" s="77"/>
      <c r="BV44" s="78">
        <f>BR44</f>
        <v>1</v>
      </c>
      <c r="BW44" s="78">
        <v>1</v>
      </c>
      <c r="BX44" s="77"/>
      <c r="BY44" s="77"/>
      <c r="BZ44" s="78">
        <f>BV44</f>
        <v>1</v>
      </c>
      <c r="CA44" s="78">
        <v>1</v>
      </c>
      <c r="CB44" s="77"/>
      <c r="CC44" s="77"/>
      <c r="CD44" s="79">
        <f>BZ44</f>
        <v>1</v>
      </c>
      <c r="CE44" s="79">
        <v>1</v>
      </c>
      <c r="CF44" s="77"/>
      <c r="CG44" s="77"/>
      <c r="CH44" s="78">
        <f>CD44</f>
        <v>1</v>
      </c>
      <c r="CI44" s="78">
        <v>1</v>
      </c>
      <c r="CJ44" s="77"/>
      <c r="CK44" s="77"/>
      <c r="CL44" s="78">
        <f>CH44</f>
        <v>1</v>
      </c>
      <c r="CM44" s="78">
        <v>1</v>
      </c>
      <c r="CN44" s="77"/>
      <c r="CO44" s="77"/>
      <c r="CP44" s="78">
        <f>CL44</f>
        <v>1</v>
      </c>
      <c r="CQ44" s="78">
        <v>1</v>
      </c>
      <c r="CR44" s="77"/>
      <c r="CS44" s="77"/>
      <c r="CT44" s="78">
        <f>CP44</f>
        <v>1</v>
      </c>
      <c r="CU44" s="78">
        <v>1</v>
      </c>
      <c r="CV44" s="77"/>
      <c r="CW44" s="77"/>
      <c r="CX44" s="79">
        <f>CT44</f>
        <v>1</v>
      </c>
      <c r="CY44" s="79">
        <v>1</v>
      </c>
      <c r="CZ44" s="77"/>
      <c r="DA44" s="77"/>
      <c r="DB44" s="78">
        <f>'A.I Revenue Streams - P2'!M46+100%</f>
        <v>1.1</v>
      </c>
      <c r="DC44" s="78">
        <f>$DC$8</f>
        <v>1</v>
      </c>
      <c r="DD44" s="54"/>
      <c r="DF44" s="78">
        <f>'A.I Revenue Streams - P2'!O46+100%</f>
        <v>1.1</v>
      </c>
      <c r="DG44" s="78">
        <v>1</v>
      </c>
      <c r="DH44" s="77"/>
      <c r="DJ44" s="78">
        <v>1</v>
      </c>
      <c r="DK44" s="78">
        <v>1</v>
      </c>
      <c r="DL44" s="77"/>
      <c r="DM44" s="77"/>
      <c r="DN44" s="78">
        <f>DJ44</f>
        <v>1</v>
      </c>
      <c r="DO44" s="78">
        <v>1</v>
      </c>
      <c r="DP44" s="77"/>
      <c r="DQ44" s="77"/>
      <c r="DR44" s="79">
        <f>DN44</f>
        <v>1</v>
      </c>
      <c r="DS44" s="79">
        <v>1</v>
      </c>
      <c r="DT44" s="77"/>
      <c r="DU44" s="77"/>
      <c r="DV44" s="78">
        <f>DR44</f>
        <v>1</v>
      </c>
      <c r="DW44" s="78">
        <v>1</v>
      </c>
      <c r="DX44" s="77"/>
      <c r="DY44" s="77"/>
      <c r="DZ44" s="78">
        <f>DV44</f>
        <v>1</v>
      </c>
      <c r="EA44" s="78">
        <v>1</v>
      </c>
      <c r="EB44" s="77"/>
      <c r="EC44" s="77"/>
      <c r="ED44" s="79">
        <f>DZ44</f>
        <v>1</v>
      </c>
      <c r="EE44" s="79">
        <v>1</v>
      </c>
      <c r="EF44" s="77"/>
      <c r="EG44" s="77"/>
      <c r="EH44" s="78">
        <f>ED44</f>
        <v>1</v>
      </c>
      <c r="EI44" s="78">
        <v>1</v>
      </c>
      <c r="EJ44" s="77"/>
      <c r="EK44" s="77"/>
      <c r="EL44" s="78">
        <f>EH44</f>
        <v>1</v>
      </c>
      <c r="EM44" s="78">
        <v>1</v>
      </c>
      <c r="EN44" s="77"/>
      <c r="EO44" s="77"/>
      <c r="EP44" s="78">
        <f>EL44</f>
        <v>1</v>
      </c>
      <c r="EQ44" s="78">
        <v>1</v>
      </c>
      <c r="ER44" s="77"/>
      <c r="ES44" s="77"/>
      <c r="ET44" s="78">
        <f>EP44</f>
        <v>1</v>
      </c>
      <c r="EU44" s="78">
        <v>1</v>
      </c>
      <c r="EV44" s="77"/>
      <c r="EW44" s="77"/>
      <c r="EX44" s="79">
        <f>ET44</f>
        <v>1</v>
      </c>
      <c r="EY44" s="79">
        <v>1</v>
      </c>
      <c r="EZ44" s="77"/>
      <c r="FA44" s="77"/>
      <c r="FB44" s="78">
        <f>'A.I Revenue Streams - P2'!O46+100%</f>
        <v>1.1</v>
      </c>
      <c r="FC44" s="78">
        <v>1</v>
      </c>
      <c r="FD44" s="54"/>
      <c r="FE44" s="28"/>
      <c r="FF44" s="78">
        <f>'A.I Revenue Streams - P2'!Q46+100%</f>
        <v>1.1</v>
      </c>
      <c r="FG44" s="78">
        <v>1</v>
      </c>
      <c r="FH44" s="77"/>
      <c r="FJ44" s="78">
        <v>1</v>
      </c>
      <c r="FK44" s="78">
        <v>1</v>
      </c>
      <c r="FL44" s="77"/>
      <c r="FM44" s="77"/>
      <c r="FN44" s="78">
        <f>FJ44</f>
        <v>1</v>
      </c>
      <c r="FO44" s="78">
        <v>1</v>
      </c>
      <c r="FP44" s="77"/>
      <c r="FQ44" s="77"/>
      <c r="FR44" s="79">
        <f>FN44</f>
        <v>1</v>
      </c>
      <c r="FS44" s="79">
        <v>1</v>
      </c>
      <c r="FT44" s="77"/>
      <c r="FU44" s="77"/>
      <c r="FV44" s="78">
        <f>FR44</f>
        <v>1</v>
      </c>
      <c r="FW44" s="78">
        <v>1</v>
      </c>
      <c r="FX44" s="77"/>
      <c r="FY44" s="77"/>
      <c r="FZ44" s="78">
        <f>FV44</f>
        <v>1</v>
      </c>
      <c r="GA44" s="78">
        <v>1</v>
      </c>
      <c r="GB44" s="77"/>
      <c r="GC44" s="77"/>
      <c r="GD44" s="79">
        <f>FZ44</f>
        <v>1</v>
      </c>
      <c r="GE44" s="79">
        <v>1</v>
      </c>
      <c r="GF44" s="77"/>
      <c r="GG44" s="77"/>
      <c r="GH44" s="78">
        <f>GD44</f>
        <v>1</v>
      </c>
      <c r="GI44" s="78">
        <v>1</v>
      </c>
      <c r="GJ44" s="77"/>
      <c r="GK44" s="77"/>
      <c r="GL44" s="78">
        <f>GH44</f>
        <v>1</v>
      </c>
      <c r="GM44" s="78">
        <v>1</v>
      </c>
      <c r="GN44" s="77"/>
      <c r="GO44" s="77"/>
      <c r="GP44" s="78">
        <f>GL44</f>
        <v>1</v>
      </c>
      <c r="GQ44" s="78">
        <v>1</v>
      </c>
      <c r="GR44" s="77"/>
      <c r="GS44" s="77"/>
      <c r="GT44" s="78">
        <f>GP44</f>
        <v>1</v>
      </c>
      <c r="GU44" s="78">
        <v>1</v>
      </c>
      <c r="GV44" s="77"/>
      <c r="GW44" s="77"/>
      <c r="GX44" s="79">
        <f>GT44</f>
        <v>1</v>
      </c>
      <c r="GY44" s="79">
        <v>1</v>
      </c>
      <c r="GZ44" s="77"/>
      <c r="HA44" s="28"/>
      <c r="HB44" s="78">
        <f>'A.I Revenue Streams - P2'!Q46+100%</f>
        <v>1.1</v>
      </c>
      <c r="HC44" s="78">
        <v>1</v>
      </c>
      <c r="HD44" s="54"/>
      <c r="HE44" s="28"/>
      <c r="HF44" s="78">
        <f>'A.I Revenue Streams - P2'!S46+100%</f>
        <v>1.1</v>
      </c>
      <c r="HG44" s="78">
        <v>1</v>
      </c>
      <c r="HH44" s="77"/>
      <c r="HJ44" s="78">
        <v>1</v>
      </c>
      <c r="HK44" s="78">
        <v>1</v>
      </c>
      <c r="HL44" s="77"/>
      <c r="HM44" s="77"/>
      <c r="HN44" s="78">
        <f>HJ44</f>
        <v>1</v>
      </c>
      <c r="HO44" s="78">
        <v>1</v>
      </c>
      <c r="HP44" s="77"/>
      <c r="HQ44" s="77"/>
      <c r="HR44" s="79">
        <f>HN44</f>
        <v>1</v>
      </c>
      <c r="HS44" s="79">
        <v>1</v>
      </c>
      <c r="HT44" s="77"/>
      <c r="HU44" s="77"/>
      <c r="HV44" s="78">
        <f>HR44</f>
        <v>1</v>
      </c>
      <c r="HW44" s="78">
        <v>1</v>
      </c>
      <c r="HX44" s="77"/>
      <c r="HY44" s="77"/>
      <c r="HZ44" s="78">
        <f>HV44</f>
        <v>1</v>
      </c>
      <c r="IA44" s="78">
        <v>1</v>
      </c>
      <c r="IB44" s="77"/>
      <c r="IC44" s="77"/>
      <c r="ID44" s="79">
        <f>HZ44</f>
        <v>1</v>
      </c>
      <c r="IE44" s="79">
        <v>1</v>
      </c>
      <c r="IF44" s="77"/>
      <c r="IG44" s="77"/>
      <c r="IH44" s="78">
        <f>ID44</f>
        <v>1</v>
      </c>
      <c r="II44" s="78">
        <v>1</v>
      </c>
      <c r="IJ44" s="77"/>
      <c r="IK44" s="77"/>
      <c r="IL44" s="78">
        <f>IH44</f>
        <v>1</v>
      </c>
      <c r="IM44" s="78">
        <v>1</v>
      </c>
      <c r="IN44" s="77"/>
      <c r="IO44" s="77"/>
      <c r="IP44" s="78">
        <f>IL44</f>
        <v>1</v>
      </c>
      <c r="IQ44" s="78">
        <v>1</v>
      </c>
      <c r="IR44" s="77"/>
      <c r="IS44" s="77"/>
      <c r="IT44" s="78">
        <f>IP44</f>
        <v>1</v>
      </c>
      <c r="IU44" s="78">
        <v>1</v>
      </c>
      <c r="IV44" s="77"/>
      <c r="IW44" s="77"/>
      <c r="IX44" s="79">
        <f>IT44</f>
        <v>1</v>
      </c>
      <c r="IY44" s="79">
        <v>1</v>
      </c>
      <c r="IZ44" s="77"/>
      <c r="JA44" s="28"/>
      <c r="JB44" s="78">
        <f>'A.I Revenue Streams - P2'!S46+100%</f>
        <v>1.1</v>
      </c>
      <c r="JC44" s="78">
        <v>1</v>
      </c>
      <c r="JD44" s="54"/>
      <c r="JE44" s="28"/>
      <c r="JF44" s="78">
        <f>'A.I Revenue Streams - P2'!U46+100%</f>
        <v>1.1</v>
      </c>
      <c r="JG44" s="78">
        <v>1</v>
      </c>
      <c r="JH44" s="77"/>
      <c r="JJ44" s="78">
        <v>1</v>
      </c>
      <c r="JK44" s="78">
        <v>1</v>
      </c>
      <c r="JL44" s="77"/>
      <c r="JM44" s="77"/>
      <c r="JN44" s="78">
        <f>JJ44</f>
        <v>1</v>
      </c>
      <c r="JO44" s="78">
        <v>1</v>
      </c>
      <c r="JP44" s="77"/>
      <c r="JQ44" s="77"/>
      <c r="JR44" s="79">
        <f>JN44</f>
        <v>1</v>
      </c>
      <c r="JS44" s="79">
        <v>1</v>
      </c>
      <c r="JT44" s="77"/>
      <c r="JU44" s="77"/>
      <c r="JV44" s="78">
        <f>JR44</f>
        <v>1</v>
      </c>
      <c r="JW44" s="78">
        <v>1</v>
      </c>
      <c r="JX44" s="77"/>
      <c r="JY44" s="77"/>
      <c r="JZ44" s="78">
        <f>JV44</f>
        <v>1</v>
      </c>
      <c r="KA44" s="78">
        <v>1</v>
      </c>
      <c r="KB44" s="77"/>
      <c r="KC44" s="77"/>
      <c r="KD44" s="79">
        <f>JZ44</f>
        <v>1</v>
      </c>
      <c r="KE44" s="79">
        <v>1</v>
      </c>
      <c r="KF44" s="77"/>
      <c r="KG44" s="77"/>
      <c r="KH44" s="78">
        <f>KD44</f>
        <v>1</v>
      </c>
      <c r="KI44" s="78">
        <v>1</v>
      </c>
      <c r="KJ44" s="77"/>
      <c r="KK44" s="77"/>
      <c r="KL44" s="78">
        <f>KH44</f>
        <v>1</v>
      </c>
      <c r="KM44" s="78">
        <v>1</v>
      </c>
      <c r="KN44" s="77"/>
      <c r="KO44" s="77"/>
      <c r="KP44" s="78">
        <f>KL44</f>
        <v>1</v>
      </c>
      <c r="KQ44" s="78">
        <v>1</v>
      </c>
      <c r="KR44" s="77"/>
      <c r="KS44" s="77"/>
      <c r="KT44" s="78">
        <f>KP44</f>
        <v>1</v>
      </c>
      <c r="KU44" s="78">
        <v>1</v>
      </c>
      <c r="KV44" s="77"/>
      <c r="KW44" s="77"/>
      <c r="KX44" s="79">
        <f>KT44</f>
        <v>1</v>
      </c>
      <c r="KY44" s="79">
        <v>1</v>
      </c>
      <c r="KZ44" s="77"/>
      <c r="LA44" s="28"/>
      <c r="LB44" s="78">
        <f>'A.I Revenue Streams - P2'!U46+100%</f>
        <v>1.1</v>
      </c>
      <c r="LC44" s="78">
        <v>1</v>
      </c>
      <c r="LD44" s="54"/>
    </row>
    <row r="45" ht="18.75" customHeight="1" spans="2:316" x14ac:dyDescent="0.25">
      <c r="B45" s="5">
        <v>5</v>
      </c>
      <c r="C45" s="27">
        <f>'A.I Revenue Streams - P1'!D45</f>
        <v>0</v>
      </c>
      <c r="D45" s="27"/>
      <c r="E45" s="28"/>
      <c r="F45" s="51"/>
      <c r="G45" s="51"/>
      <c r="H45" s="51"/>
      <c r="I45" s="54"/>
      <c r="J45" s="51"/>
      <c r="K45" s="51"/>
      <c r="L45" s="51"/>
      <c r="M45" s="54"/>
      <c r="N45" s="51"/>
      <c r="O45" s="51"/>
      <c r="P45" s="51"/>
      <c r="Q45" s="54"/>
      <c r="R45" s="51"/>
      <c r="S45" s="51"/>
      <c r="T45" s="51"/>
      <c r="U45" s="54"/>
      <c r="V45" s="51"/>
      <c r="W45" s="51"/>
      <c r="X45" s="51"/>
      <c r="Y45" s="54"/>
      <c r="Z45" s="51"/>
      <c r="AA45" s="51"/>
      <c r="AB45" s="51"/>
      <c r="AC45" s="54"/>
      <c r="AD45" s="51"/>
      <c r="AE45" s="51"/>
      <c r="AF45" s="51"/>
      <c r="AG45" s="54"/>
      <c r="AH45" s="51"/>
      <c r="AI45" s="51"/>
      <c r="AJ45" s="51"/>
      <c r="AK45" s="54"/>
      <c r="AL45" s="51"/>
      <c r="AM45" s="51"/>
      <c r="AN45" s="51"/>
      <c r="AO45" s="54"/>
      <c r="AP45" s="51"/>
      <c r="AQ45" s="51"/>
      <c r="AR45" s="51"/>
      <c r="AS45" s="54"/>
      <c r="AT45" s="51"/>
      <c r="AU45" s="51"/>
      <c r="AV45" s="51"/>
      <c r="AW45" s="54"/>
      <c r="AX45" s="51"/>
      <c r="AY45" s="51"/>
      <c r="AZ45" s="51"/>
      <c r="BA45" s="54"/>
      <c r="BB45" s="80"/>
      <c r="BC45" s="80"/>
      <c r="BD45" s="80"/>
      <c r="BF45" s="51"/>
      <c r="BG45" s="51"/>
      <c r="BH45" s="51"/>
      <c r="BI45" s="54"/>
      <c r="BJ45" s="51"/>
      <c r="BK45" s="51"/>
      <c r="BL45" s="51"/>
      <c r="BM45" s="54"/>
      <c r="BN45" s="51"/>
      <c r="BO45" s="51"/>
      <c r="BP45" s="51"/>
      <c r="BQ45" s="54"/>
      <c r="BR45" s="51"/>
      <c r="BS45" s="51"/>
      <c r="BT45" s="51"/>
      <c r="BU45" s="54"/>
      <c r="BV45" s="51"/>
      <c r="BW45" s="51"/>
      <c r="BX45" s="51"/>
      <c r="BY45" s="54"/>
      <c r="BZ45" s="51"/>
      <c r="CA45" s="51"/>
      <c r="CB45" s="51"/>
      <c r="CC45" s="54"/>
      <c r="CD45" s="51"/>
      <c r="CE45" s="51"/>
      <c r="CF45" s="51"/>
      <c r="CG45" s="54"/>
      <c r="CH45" s="51"/>
      <c r="CI45" s="51"/>
      <c r="CJ45" s="51"/>
      <c r="CK45" s="54"/>
      <c r="CL45" s="51"/>
      <c r="CM45" s="51"/>
      <c r="CN45" s="51"/>
      <c r="CO45" s="54"/>
      <c r="CP45" s="51"/>
      <c r="CQ45" s="51"/>
      <c r="CR45" s="51"/>
      <c r="CS45" s="54"/>
      <c r="CT45" s="51"/>
      <c r="CU45" s="51"/>
      <c r="CV45" s="51"/>
      <c r="CW45" s="54"/>
      <c r="CX45" s="51"/>
      <c r="CY45" s="51"/>
      <c r="CZ45" s="51"/>
      <c r="DA45" s="54"/>
      <c r="DB45" s="80"/>
      <c r="DC45" s="80"/>
      <c r="DD45" s="80"/>
      <c r="DF45" s="51"/>
      <c r="DG45" s="51"/>
      <c r="DH45" s="51"/>
      <c r="DI45" s="54"/>
      <c r="DJ45" s="51"/>
      <c r="DK45" s="51"/>
      <c r="DL45" s="51"/>
      <c r="DM45" s="54"/>
      <c r="DN45" s="51"/>
      <c r="DO45" s="51"/>
      <c r="DP45" s="51"/>
      <c r="DQ45" s="54"/>
      <c r="DR45" s="51"/>
      <c r="DS45" s="51"/>
      <c r="DT45" s="51"/>
      <c r="DU45" s="54"/>
      <c r="DV45" s="51"/>
      <c r="DW45" s="51"/>
      <c r="DX45" s="51"/>
      <c r="DY45" s="54"/>
      <c r="DZ45" s="51"/>
      <c r="EA45" s="51"/>
      <c r="EB45" s="51"/>
      <c r="EC45" s="54"/>
      <c r="ED45" s="51"/>
      <c r="EE45" s="51"/>
      <c r="EF45" s="51"/>
      <c r="EG45" s="54"/>
      <c r="EH45" s="51"/>
      <c r="EI45" s="51"/>
      <c r="EJ45" s="51"/>
      <c r="EK45" s="54"/>
      <c r="EL45" s="51"/>
      <c r="EM45" s="51"/>
      <c r="EN45" s="51"/>
      <c r="EO45" s="54"/>
      <c r="EP45" s="51"/>
      <c r="EQ45" s="51"/>
      <c r="ER45" s="51"/>
      <c r="ES45" s="54"/>
      <c r="ET45" s="51"/>
      <c r="EU45" s="51"/>
      <c r="EV45" s="51"/>
      <c r="EW45" s="54"/>
      <c r="EX45" s="51"/>
      <c r="EY45" s="51"/>
      <c r="EZ45" s="51"/>
      <c r="FA45" s="54"/>
      <c r="FB45" s="80"/>
      <c r="FC45" s="80"/>
      <c r="FD45" s="80"/>
      <c r="FF45" s="51"/>
      <c r="FG45" s="51"/>
      <c r="FH45" s="51"/>
      <c r="FI45" s="54"/>
      <c r="FJ45" s="51"/>
      <c r="FK45" s="51"/>
      <c r="FL45" s="51"/>
      <c r="FM45" s="54"/>
      <c r="FN45" s="51"/>
      <c r="FO45" s="51"/>
      <c r="FP45" s="51"/>
      <c r="FQ45" s="54"/>
      <c r="FR45" s="51"/>
      <c r="FS45" s="51"/>
      <c r="FT45" s="51"/>
      <c r="FU45" s="54"/>
      <c r="FV45" s="51"/>
      <c r="FW45" s="51"/>
      <c r="FX45" s="51"/>
      <c r="FY45" s="54"/>
      <c r="FZ45" s="51"/>
      <c r="GA45" s="51"/>
      <c r="GB45" s="51"/>
      <c r="GC45" s="54"/>
      <c r="GD45" s="51"/>
      <c r="GE45" s="51"/>
      <c r="GF45" s="51"/>
      <c r="GG45" s="54"/>
      <c r="GH45" s="51"/>
      <c r="GI45" s="51"/>
      <c r="GJ45" s="51"/>
      <c r="GK45" s="54"/>
      <c r="GL45" s="51"/>
      <c r="GM45" s="51"/>
      <c r="GN45" s="51"/>
      <c r="GO45" s="54"/>
      <c r="GP45" s="51"/>
      <c r="GQ45" s="51"/>
      <c r="GR45" s="51"/>
      <c r="GS45" s="54"/>
      <c r="GT45" s="51"/>
      <c r="GU45" s="51"/>
      <c r="GV45" s="51"/>
      <c r="GW45" s="54"/>
      <c r="GX45" s="51"/>
      <c r="GY45" s="51"/>
      <c r="GZ45" s="51"/>
      <c r="HB45" s="80"/>
      <c r="HC45" s="80"/>
      <c r="HD45" s="80"/>
      <c r="HF45" s="51"/>
      <c r="HG45" s="51"/>
      <c r="HH45" s="51"/>
      <c r="HI45" s="54"/>
      <c r="HJ45" s="51"/>
      <c r="HK45" s="51"/>
      <c r="HL45" s="51"/>
      <c r="HM45" s="54"/>
      <c r="HN45" s="51"/>
      <c r="HO45" s="51"/>
      <c r="HP45" s="51"/>
      <c r="HQ45" s="54"/>
      <c r="HR45" s="51"/>
      <c r="HS45" s="51"/>
      <c r="HT45" s="51"/>
      <c r="HU45" s="54"/>
      <c r="HV45" s="51"/>
      <c r="HW45" s="51"/>
      <c r="HX45" s="51"/>
      <c r="HY45" s="54"/>
      <c r="HZ45" s="51"/>
      <c r="IA45" s="51"/>
      <c r="IB45" s="51"/>
      <c r="IC45" s="54"/>
      <c r="ID45" s="51"/>
      <c r="IE45" s="51"/>
      <c r="IF45" s="51"/>
      <c r="IG45" s="54"/>
      <c r="IH45" s="51"/>
      <c r="II45" s="51"/>
      <c r="IJ45" s="51"/>
      <c r="IK45" s="54"/>
      <c r="IL45" s="51"/>
      <c r="IM45" s="51"/>
      <c r="IN45" s="51"/>
      <c r="IO45" s="54"/>
      <c r="IP45" s="51"/>
      <c r="IQ45" s="51"/>
      <c r="IR45" s="51"/>
      <c r="IS45" s="54"/>
      <c r="IT45" s="51"/>
      <c r="IU45" s="51"/>
      <c r="IV45" s="51"/>
      <c r="IW45" s="54"/>
      <c r="IX45" s="51"/>
      <c r="IY45" s="51"/>
      <c r="IZ45" s="51"/>
      <c r="JB45" s="80"/>
      <c r="JC45" s="80"/>
      <c r="JD45" s="80"/>
      <c r="JF45" s="51"/>
      <c r="JG45" s="51"/>
      <c r="JH45" s="51"/>
      <c r="JI45" s="54"/>
      <c r="JJ45" s="51"/>
      <c r="JK45" s="51"/>
      <c r="JL45" s="51"/>
      <c r="JM45" s="54"/>
      <c r="JN45" s="51"/>
      <c r="JO45" s="51"/>
      <c r="JP45" s="51"/>
      <c r="JQ45" s="54"/>
      <c r="JR45" s="51"/>
      <c r="JS45" s="51"/>
      <c r="JT45" s="51"/>
      <c r="JU45" s="54"/>
      <c r="JV45" s="51"/>
      <c r="JW45" s="51"/>
      <c r="JX45" s="51"/>
      <c r="JY45" s="54"/>
      <c r="JZ45" s="51"/>
      <c r="KA45" s="51"/>
      <c r="KB45" s="51"/>
      <c r="KC45" s="54"/>
      <c r="KD45" s="51"/>
      <c r="KE45" s="51"/>
      <c r="KF45" s="51"/>
      <c r="KG45" s="54"/>
      <c r="KH45" s="51"/>
      <c r="KI45" s="51"/>
      <c r="KJ45" s="51"/>
      <c r="KK45" s="54"/>
      <c r="KL45" s="51"/>
      <c r="KM45" s="51"/>
      <c r="KN45" s="51"/>
      <c r="KO45" s="54"/>
      <c r="KP45" s="51"/>
      <c r="KQ45" s="51"/>
      <c r="KR45" s="51"/>
      <c r="KS45" s="54"/>
      <c r="KT45" s="51"/>
      <c r="KU45" s="51"/>
      <c r="KV45" s="51"/>
      <c r="KW45" s="54"/>
      <c r="KX45" s="51"/>
      <c r="KY45" s="51"/>
      <c r="KZ45" s="51"/>
      <c r="LB45" s="80"/>
      <c r="LC45" s="80"/>
      <c r="LD45" s="80"/>
    </row>
    <row r="46" ht="18.75" customHeight="1" spans="2:316" x14ac:dyDescent="0.25">
      <c r="B46" s="5" t="s">
        <v>75</v>
      </c>
      <c r="C46" s="27"/>
      <c r="D46" s="29">
        <f>'A.I Revenue Streams - P1'!E46</f>
        <v>0</v>
      </c>
      <c r="E46" s="30"/>
      <c r="F46" s="51">
        <f>'A.I Revenue Streams - P2'!G46*25</f>
        <v>125</v>
      </c>
      <c r="G46" s="51">
        <f>'A.I Revenue Streams - P2'!I46</f>
        <v>20</v>
      </c>
      <c r="H46" s="51">
        <f>F46*G46</f>
        <v>2500</v>
      </c>
      <c r="I46" s="54"/>
      <c r="J46" s="51">
        <f>F46*$J$44</f>
        <v>137.5</v>
      </c>
      <c r="K46" s="51">
        <f>G46*$K$44</f>
        <v>20</v>
      </c>
      <c r="L46" s="51">
        <f>J46*K46</f>
        <v>2750</v>
      </c>
      <c r="M46" s="54"/>
      <c r="N46" s="51">
        <f>J46*$N$44</f>
        <v>137.5</v>
      </c>
      <c r="O46" s="51">
        <f>K46*$O$44</f>
        <v>20</v>
      </c>
      <c r="P46" s="51">
        <f>N46*O46</f>
        <v>2750</v>
      </c>
      <c r="Q46" s="54"/>
      <c r="R46" s="51">
        <f>N46*$R$44</f>
        <v>137.5</v>
      </c>
      <c r="S46" s="51">
        <f>O46*$S$44</f>
        <v>20</v>
      </c>
      <c r="T46" s="51">
        <f>R46*S46</f>
        <v>2750</v>
      </c>
      <c r="U46" s="54"/>
      <c r="V46" s="51">
        <f>R46*$V$44</f>
        <v>137.5</v>
      </c>
      <c r="W46" s="51">
        <f>S46*$W$44</f>
        <v>20</v>
      </c>
      <c r="X46" s="51">
        <f>V46*W46</f>
        <v>2750</v>
      </c>
      <c r="Y46" s="54"/>
      <c r="Z46" s="51">
        <f>V46*$Z$44</f>
        <v>137.5</v>
      </c>
      <c r="AA46" s="51">
        <f>W46*$AA$44</f>
        <v>20</v>
      </c>
      <c r="AB46" s="51">
        <f>Z46*AA46</f>
        <v>2750</v>
      </c>
      <c r="AC46" s="54"/>
      <c r="AD46" s="51">
        <f>Z46*$AD$44</f>
        <v>137.5</v>
      </c>
      <c r="AE46" s="51">
        <f>AA46*$AE$44</f>
        <v>20</v>
      </c>
      <c r="AF46" s="51">
        <f>AD46*AE46</f>
        <v>2750</v>
      </c>
      <c r="AG46" s="54"/>
      <c r="AH46" s="51">
        <f>AD46*$AH$44</f>
        <v>137.5</v>
      </c>
      <c r="AI46" s="51">
        <f>AE46*$AI$44</f>
        <v>20</v>
      </c>
      <c r="AJ46" s="51">
        <f>AH46*AI46</f>
        <v>2750</v>
      </c>
      <c r="AK46" s="54"/>
      <c r="AL46" s="51">
        <f>AH46*$AL$44</f>
        <v>137.5</v>
      </c>
      <c r="AM46" s="51">
        <f>AI46*$AM$44</f>
        <v>20</v>
      </c>
      <c r="AN46" s="51">
        <f>AL46*AM46</f>
        <v>2750</v>
      </c>
      <c r="AO46" s="54"/>
      <c r="AP46" s="51">
        <f>AL46*$AP$44</f>
        <v>137.5</v>
      </c>
      <c r="AQ46" s="51">
        <f>AM46*$AQ$44</f>
        <v>20</v>
      </c>
      <c r="AR46" s="51">
        <f>AP46*AQ46</f>
        <v>2750</v>
      </c>
      <c r="AS46" s="54"/>
      <c r="AT46" s="51">
        <f>AP46*$AT$44</f>
        <v>137.5</v>
      </c>
      <c r="AU46" s="51">
        <f>AQ46*$AU$44</f>
        <v>20</v>
      </c>
      <c r="AV46" s="51">
        <f>AT46*AU46</f>
        <v>2750</v>
      </c>
      <c r="AW46" s="54"/>
      <c r="AX46" s="51">
        <f>AT46*$AX$44</f>
        <v>137.5</v>
      </c>
      <c r="AY46" s="51">
        <f>AU46*$AY$44</f>
        <v>20</v>
      </c>
      <c r="AZ46" s="51">
        <f>AX46*AY46</f>
        <v>2750</v>
      </c>
      <c r="BA46" s="54"/>
      <c r="BB46" s="85">
        <f>SUMIF($F$6:$AZ$6,$BB$6,F46:AZ46)</f>
        <v>1637.5</v>
      </c>
      <c r="BC46" s="85">
        <f>SUMIF($F$6:$AZ$6,$BC$6,F46:AZ46)/12</f>
        <v>20</v>
      </c>
      <c r="BD46" s="80">
        <f>H46+L46+P46+T46+X46+AB46+AF46+AJ46+AN46</f>
        <v>24500</v>
      </c>
      <c r="BE46" t="b">
        <f>(BB46*BC46)=BD46</f>
        <v>0</v>
      </c>
      <c r="BF46" s="51">
        <f>AX46*$BF$44</f>
        <v>151.25</v>
      </c>
      <c r="BG46" s="51">
        <f>AY46*$BG$44</f>
        <v>20</v>
      </c>
      <c r="BH46" s="51">
        <f>BF46*BG46</f>
        <v>3025</v>
      </c>
      <c r="BI46" s="54"/>
      <c r="BJ46" s="51">
        <f>BF46*$BJ$44</f>
        <v>151.25</v>
      </c>
      <c r="BK46" s="51">
        <f>BG46*$BK$44</f>
        <v>20</v>
      </c>
      <c r="BL46" s="51">
        <f>BJ46*BK46</f>
        <v>3025</v>
      </c>
      <c r="BM46" s="54"/>
      <c r="BN46" s="51">
        <f>BJ46*$BN$44</f>
        <v>151.25</v>
      </c>
      <c r="BO46" s="51">
        <f>BK46*$BO$44</f>
        <v>20</v>
      </c>
      <c r="BP46" s="51">
        <f>BN46*BO46</f>
        <v>3025</v>
      </c>
      <c r="BQ46" s="54"/>
      <c r="BR46" s="51">
        <f>BN46*$BR$44</f>
        <v>151.25</v>
      </c>
      <c r="BS46" s="51">
        <f>BO46*$BS$44</f>
        <v>20</v>
      </c>
      <c r="BT46" s="51">
        <f>BR46*BS46</f>
        <v>3025</v>
      </c>
      <c r="BU46" s="54"/>
      <c r="BV46" s="51">
        <f>BR46*$BV$44</f>
        <v>151.25</v>
      </c>
      <c r="BW46" s="51">
        <f>BS46*$BW$44</f>
        <v>20</v>
      </c>
      <c r="BX46" s="51">
        <f>BV46*BW46</f>
        <v>3025</v>
      </c>
      <c r="BY46" s="54"/>
      <c r="BZ46" s="51">
        <f>BV46*$BZ$44</f>
        <v>151.25</v>
      </c>
      <c r="CA46" s="51">
        <f>BW46*$CA$44</f>
        <v>20</v>
      </c>
      <c r="CB46" s="51">
        <f>BZ46*CA46</f>
        <v>3025</v>
      </c>
      <c r="CC46" s="54"/>
      <c r="CD46" s="51">
        <f>BZ46*$CD$44</f>
        <v>151.25</v>
      </c>
      <c r="CE46" s="51">
        <f>CA46*$CE$44</f>
        <v>20</v>
      </c>
      <c r="CF46" s="51">
        <f>CD46*CE46</f>
        <v>3025</v>
      </c>
      <c r="CG46" s="54"/>
      <c r="CH46" s="51">
        <f>CD46*$CH$44</f>
        <v>151.25</v>
      </c>
      <c r="CI46" s="51">
        <f>CE46*$CI$44</f>
        <v>20</v>
      </c>
      <c r="CJ46" s="51">
        <f>CH46*CI46</f>
        <v>3025</v>
      </c>
      <c r="CK46" s="54"/>
      <c r="CL46" s="51">
        <f>CH46*$CL$44</f>
        <v>151.25</v>
      </c>
      <c r="CM46" s="51">
        <f>CI46*$CM$44</f>
        <v>20</v>
      </c>
      <c r="CN46" s="51">
        <f>CL46*CM46</f>
        <v>3025</v>
      </c>
      <c r="CO46" s="54"/>
      <c r="CP46" s="51">
        <f>CL46*$CP$44</f>
        <v>151.25</v>
      </c>
      <c r="CQ46" s="51">
        <f>CM46*$CQ$44</f>
        <v>20</v>
      </c>
      <c r="CR46" s="51">
        <f>CP46*CQ46</f>
        <v>3025</v>
      </c>
      <c r="CS46" s="54"/>
      <c r="CT46" s="51">
        <f>CP46*$CT$44</f>
        <v>151.25</v>
      </c>
      <c r="CU46" s="51">
        <f>CQ46*$CU$44</f>
        <v>20</v>
      </c>
      <c r="CV46" s="51">
        <f>CT46*CU46</f>
        <v>3025</v>
      </c>
      <c r="CW46" s="54"/>
      <c r="CX46" s="51">
        <f>CT46*$CX$44</f>
        <v>151.25</v>
      </c>
      <c r="CY46" s="51">
        <f>CU46*$CY$44</f>
        <v>20</v>
      </c>
      <c r="CZ46" s="51">
        <f>CX46*CY46</f>
        <v>3025</v>
      </c>
      <c r="DA46" s="54"/>
      <c r="DB46" s="80">
        <f>BF46+BJ46+BN46+BR46+BV46+BZ46+CD46+CH46+CL46+CP46+CT46+CX46</f>
        <v>1815</v>
      </c>
      <c r="DC46" s="80">
        <f>(BG46+BK46+BO46+BS46+BW46+CA46+CE46+CI46+CM46+CQ46+CU46+CY46)/12</f>
        <v>20</v>
      </c>
      <c r="DD46" s="80">
        <f>BH46+BL46+BP46+BT46+BX46+CB46+CF46+CJ46+CN46+CR46+CV46+CZ46</f>
        <v>36300</v>
      </c>
      <c r="DF46" s="51">
        <f>CX46*$DF$44</f>
        <v>166.375</v>
      </c>
      <c r="DG46" s="51">
        <f>CY46*$DG$44</f>
        <v>20</v>
      </c>
      <c r="DH46" s="51">
        <f>DF46*DG46</f>
        <v>3327.5</v>
      </c>
      <c r="DI46" s="54"/>
      <c r="DJ46" s="51">
        <f>DF46*$DJ$44</f>
        <v>166.375</v>
      </c>
      <c r="DK46" s="51">
        <f>DG46*$DK$44</f>
        <v>20</v>
      </c>
      <c r="DL46" s="51">
        <f>DJ46*DK46</f>
        <v>3327.5</v>
      </c>
      <c r="DM46" s="54"/>
      <c r="DN46" s="51">
        <f>DJ46*$DN$44</f>
        <v>166.375</v>
      </c>
      <c r="DO46" s="51">
        <f>DK46*$DO$44</f>
        <v>20</v>
      </c>
      <c r="DP46" s="51">
        <f>DN46*DO46</f>
        <v>3327.5</v>
      </c>
      <c r="DQ46" s="54"/>
      <c r="DR46" s="51">
        <f>DN46*$DR$44</f>
        <v>166.375</v>
      </c>
      <c r="DS46" s="51">
        <f>DO46*$DS$44</f>
        <v>20</v>
      </c>
      <c r="DT46" s="51">
        <f>DR46*DS46</f>
        <v>3327.5</v>
      </c>
      <c r="DU46" s="54"/>
      <c r="DV46" s="51">
        <f>DR46*$DV$44</f>
        <v>166.375</v>
      </c>
      <c r="DW46" s="51">
        <f>DS46*$DW$44</f>
        <v>20</v>
      </c>
      <c r="DX46" s="51">
        <f>DV46*DW46</f>
        <v>3327.5</v>
      </c>
      <c r="DY46" s="54"/>
      <c r="DZ46" s="51">
        <f>DV46*$DZ$44</f>
        <v>166.375</v>
      </c>
      <c r="EA46" s="51">
        <f>DW46*$EA$44</f>
        <v>20</v>
      </c>
      <c r="EB46" s="51">
        <f>DZ46*EA46</f>
        <v>3327.5</v>
      </c>
      <c r="EC46" s="54"/>
      <c r="ED46" s="51">
        <f>DZ46*$ED$44</f>
        <v>166.375</v>
      </c>
      <c r="EE46" s="51">
        <f>EA46*$EE$44</f>
        <v>20</v>
      </c>
      <c r="EF46" s="51">
        <f>ED46*EE46</f>
        <v>3327.5</v>
      </c>
      <c r="EG46" s="54"/>
      <c r="EH46" s="51">
        <f>ED46*$EH$44</f>
        <v>166.375</v>
      </c>
      <c r="EI46" s="51">
        <f>EE46*$EI$44</f>
        <v>20</v>
      </c>
      <c r="EJ46" s="51">
        <f>EH46*EI46</f>
        <v>3327.5</v>
      </c>
      <c r="EK46" s="54"/>
      <c r="EL46" s="51">
        <f>EH46*$EL$44</f>
        <v>166.375</v>
      </c>
      <c r="EM46" s="51">
        <f>EI46*$EM$44</f>
        <v>20</v>
      </c>
      <c r="EN46" s="51">
        <f>EL46*EM46</f>
        <v>3327.5</v>
      </c>
      <c r="EO46" s="54"/>
      <c r="EP46" s="51">
        <f>EL46*$EP$44</f>
        <v>166.375</v>
      </c>
      <c r="EQ46" s="51">
        <f>EM46*$EQ$44</f>
        <v>20</v>
      </c>
      <c r="ER46" s="51">
        <f>EP46*EQ46</f>
        <v>3327.5</v>
      </c>
      <c r="ES46" s="54"/>
      <c r="ET46" s="51">
        <f>EP46*$ET$44</f>
        <v>166.375</v>
      </c>
      <c r="EU46" s="51">
        <f>EQ46*$EU$44</f>
        <v>20</v>
      </c>
      <c r="EV46" s="51">
        <f>ET46*EU46</f>
        <v>3327.5</v>
      </c>
      <c r="EW46" s="54"/>
      <c r="EX46" s="51">
        <f>ET46*$EX$44</f>
        <v>166.375</v>
      </c>
      <c r="EY46" s="51">
        <f>EU46*$EY$44</f>
        <v>20</v>
      </c>
      <c r="EZ46" s="51">
        <f>EX46*EY46</f>
        <v>3327.5</v>
      </c>
      <c r="FA46" s="54"/>
      <c r="FB46" s="80">
        <f>DF46+DJ46+DN46+DR46+DV46+DZ46+ED46+EH46+EL46+EP46+ET46+EX46</f>
        <v>1996.5</v>
      </c>
      <c r="FC46" s="80">
        <f>(DG46+DK46+DO46+DS46+DW46+EA46+EE46+EI46+EM46+EQ46+EU46+EY46)/12</f>
        <v>20</v>
      </c>
      <c r="FD46" s="80">
        <f>DH46+DL46+DP46+DT46+DX46+EB46+EF46+EJ46+EN46+ER46+EV46+EZ46</f>
        <v>39930</v>
      </c>
      <c r="FF46" s="51">
        <f>EX46*$FF$44</f>
        <v>183.01250000000002</v>
      </c>
      <c r="FG46" s="51">
        <f>EY46*$FG$44</f>
        <v>20</v>
      </c>
      <c r="FH46" s="51">
        <f>FF46*FG46</f>
        <v>3660.2500000000005</v>
      </c>
      <c r="FI46" s="54"/>
      <c r="FJ46" s="51">
        <f>FF46*$FJ$44</f>
        <v>183.01250000000002</v>
      </c>
      <c r="FK46" s="51">
        <f>FG46*$FK$44</f>
        <v>20</v>
      </c>
      <c r="FL46" s="51">
        <f>FJ46*FK46</f>
        <v>3660.2500000000005</v>
      </c>
      <c r="FM46" s="54"/>
      <c r="FN46" s="51">
        <f>FJ46*$FN$44</f>
        <v>183.01250000000002</v>
      </c>
      <c r="FO46" s="51">
        <f>FK46*$FO$44</f>
        <v>20</v>
      </c>
      <c r="FP46" s="51">
        <f>FN46*FO46</f>
        <v>3660.2500000000005</v>
      </c>
      <c r="FQ46" s="54"/>
      <c r="FR46" s="51">
        <f>FN46*$FR$44</f>
        <v>183.01250000000002</v>
      </c>
      <c r="FS46" s="51">
        <f>FO46*$FS$44</f>
        <v>20</v>
      </c>
      <c r="FT46" s="51">
        <f>FR46*FS46</f>
        <v>3660.2500000000005</v>
      </c>
      <c r="FU46" s="54"/>
      <c r="FV46" s="51">
        <f>FR46*$FV$44</f>
        <v>183.01250000000002</v>
      </c>
      <c r="FW46" s="51">
        <f>FS46*$FW$44</f>
        <v>20</v>
      </c>
      <c r="FX46" s="51">
        <f>FV46*FW46</f>
        <v>3660.2500000000005</v>
      </c>
      <c r="FY46" s="54"/>
      <c r="FZ46" s="51">
        <f>FV46*$FZ$44</f>
        <v>183.01250000000002</v>
      </c>
      <c r="GA46" s="51">
        <f>FW46*$GA$44</f>
        <v>20</v>
      </c>
      <c r="GB46" s="51">
        <f>FZ46*GA46</f>
        <v>3660.2500000000005</v>
      </c>
      <c r="GC46" s="54"/>
      <c r="GD46" s="51">
        <f>FZ46*$GD$44</f>
        <v>183.01250000000002</v>
      </c>
      <c r="GE46" s="51">
        <f>GA46*$GE$44</f>
        <v>20</v>
      </c>
      <c r="GF46" s="51">
        <f>GD46*GE46</f>
        <v>3660.2500000000005</v>
      </c>
      <c r="GG46" s="54"/>
      <c r="GH46" s="51">
        <f>GD46*$GH$44</f>
        <v>183.01250000000002</v>
      </c>
      <c r="GI46" s="51">
        <f>GE46*$GI$44</f>
        <v>20</v>
      </c>
      <c r="GJ46" s="51">
        <f>GH46*GI46</f>
        <v>3660.2500000000005</v>
      </c>
      <c r="GK46" s="54"/>
      <c r="GL46" s="51">
        <f>GH46*$GL$44</f>
        <v>183.01250000000002</v>
      </c>
      <c r="GM46" s="51">
        <f>GI46*$GM$44</f>
        <v>20</v>
      </c>
      <c r="GN46" s="51">
        <f>GL46*GM46</f>
        <v>3660.2500000000005</v>
      </c>
      <c r="GO46" s="54"/>
      <c r="GP46" s="51">
        <f>GL46*$GP$44</f>
        <v>183.01250000000002</v>
      </c>
      <c r="GQ46" s="51">
        <f>GM46*$GQ$44</f>
        <v>20</v>
      </c>
      <c r="GR46" s="51">
        <f>GP46*GQ46</f>
        <v>3660.2500000000005</v>
      </c>
      <c r="GS46" s="54"/>
      <c r="GT46" s="51">
        <f>GP46*$GT$44</f>
        <v>183.01250000000002</v>
      </c>
      <c r="GU46" s="51">
        <f>GQ46*$GU$44</f>
        <v>20</v>
      </c>
      <c r="GV46" s="51">
        <f>GT46*GU46</f>
        <v>3660.2500000000005</v>
      </c>
      <c r="GW46" s="54"/>
      <c r="GX46" s="51">
        <f>GT46*$GX$44</f>
        <v>183.01250000000002</v>
      </c>
      <c r="GY46" s="51">
        <f>GU46*$GY$44</f>
        <v>20</v>
      </c>
      <c r="GZ46" s="51">
        <f>GX46*GY46</f>
        <v>3660.2500000000005</v>
      </c>
      <c r="HB46" s="80">
        <f>FF46+FJ46+FN46+FR46+FV46+FZ46+GD46+GH46+GL46+GP46+GT46+GX46</f>
        <v>2196.15</v>
      </c>
      <c r="HC46" s="80">
        <f>(FG46+FK46+FO46+FS46+FW46+GA46+GE46+GI46+GM46+GQ46+GU46+GY46)/12</f>
        <v>20</v>
      </c>
      <c r="HD46" s="80">
        <f>FH46+FL46+FP46+FT46+FX46+GB46+GF46+GJ46+GN46+GR46+GV46+GZ46</f>
        <v>43923.00000000001</v>
      </c>
      <c r="HF46" s="51">
        <f>GX46*$HF$44</f>
        <v>201.31375000000003</v>
      </c>
      <c r="HG46" s="51">
        <f>GY46*$HG$44</f>
        <v>20</v>
      </c>
      <c r="HH46" s="51">
        <f>HF46*HG46</f>
        <v>4026.2750000000005</v>
      </c>
      <c r="HI46" s="54"/>
      <c r="HJ46" s="51">
        <f>HF46*$HJ$44</f>
        <v>201.31375000000003</v>
      </c>
      <c r="HK46" s="51">
        <f>HG46*$HK$44</f>
        <v>20</v>
      </c>
      <c r="HL46" s="51">
        <f>HJ46*HK46</f>
        <v>4026.2750000000005</v>
      </c>
      <c r="HM46" s="54"/>
      <c r="HN46" s="51">
        <f>HJ46*$HN$44</f>
        <v>201.31375000000003</v>
      </c>
      <c r="HO46" s="51">
        <f>HK46*$HO$44</f>
        <v>20</v>
      </c>
      <c r="HP46" s="51">
        <f>HN46*HO46</f>
        <v>4026.2750000000005</v>
      </c>
      <c r="HQ46" s="54"/>
      <c r="HR46" s="51">
        <f>HN46*$HR$44</f>
        <v>201.31375000000003</v>
      </c>
      <c r="HS46" s="51">
        <f>HO46*$HS$44</f>
        <v>20</v>
      </c>
      <c r="HT46" s="51">
        <f>HR46*HS46</f>
        <v>4026.2750000000005</v>
      </c>
      <c r="HU46" s="54"/>
      <c r="HV46" s="51">
        <f>HR46*$HV$44</f>
        <v>201.31375000000003</v>
      </c>
      <c r="HW46" s="51">
        <f>HS46*$HW$44</f>
        <v>20</v>
      </c>
      <c r="HX46" s="51">
        <f>HV46*HW46</f>
        <v>4026.2750000000005</v>
      </c>
      <c r="HY46" s="54"/>
      <c r="HZ46" s="51">
        <f>HV46*$HZ$44</f>
        <v>201.31375000000003</v>
      </c>
      <c r="IA46" s="51">
        <f>HW46*$IA$44</f>
        <v>20</v>
      </c>
      <c r="IB46" s="51">
        <f>HZ46*IA46</f>
        <v>4026.2750000000005</v>
      </c>
      <c r="IC46" s="54"/>
      <c r="ID46" s="51">
        <f>HZ46*$ID$44</f>
        <v>201.31375000000003</v>
      </c>
      <c r="IE46" s="51">
        <f>IA46*$IE$44</f>
        <v>20</v>
      </c>
      <c r="IF46" s="51">
        <f>ID46*IE46</f>
        <v>4026.2750000000005</v>
      </c>
      <c r="IG46" s="54"/>
      <c r="IH46" s="51">
        <f>ID46*$IH$44</f>
        <v>201.31375000000003</v>
      </c>
      <c r="II46" s="51">
        <f>IE46*$II$44</f>
        <v>20</v>
      </c>
      <c r="IJ46" s="51">
        <f>IH46*II46</f>
        <v>4026.2750000000005</v>
      </c>
      <c r="IK46" s="54"/>
      <c r="IL46" s="51">
        <f>IH46*$IL$44</f>
        <v>201.31375000000003</v>
      </c>
      <c r="IM46" s="51">
        <f>II46*$IM$44</f>
        <v>20</v>
      </c>
      <c r="IN46" s="51">
        <f>IL46*IM46</f>
        <v>4026.2750000000005</v>
      </c>
      <c r="IO46" s="54"/>
      <c r="IP46" s="51">
        <f>IL46*$IP$44</f>
        <v>201.31375000000003</v>
      </c>
      <c r="IQ46" s="51">
        <f>IM46*$IQ$44</f>
        <v>20</v>
      </c>
      <c r="IR46" s="51">
        <f>IP46*IQ46</f>
        <v>4026.2750000000005</v>
      </c>
      <c r="IS46" s="54"/>
      <c r="IT46" s="51">
        <f>IP46*$IT$44</f>
        <v>201.31375000000003</v>
      </c>
      <c r="IU46" s="51">
        <f>IQ46*$IU$44</f>
        <v>20</v>
      </c>
      <c r="IV46" s="51">
        <f>IT46*IU46</f>
        <v>4026.2750000000005</v>
      </c>
      <c r="IW46" s="54"/>
      <c r="IX46" s="51">
        <f>IT46*$IX$44</f>
        <v>201.31375000000003</v>
      </c>
      <c r="IY46" s="51">
        <f>IU46*$IY$44</f>
        <v>20</v>
      </c>
      <c r="IZ46" s="51">
        <f>IX46*IY46</f>
        <v>4026.2750000000005</v>
      </c>
      <c r="JB46" s="80">
        <f>HF46+HJ46+HN46+HR46+HV46+HZ46+ID46+IH46+IL46+IP46+IT46+IX46</f>
        <v>2415.7650000000003</v>
      </c>
      <c r="JC46" s="80">
        <f>(HG46+HK46+HO46+HS46+HW46+IA46+IE46+II46+IM46+IQ46+IU46+IY46)/12</f>
        <v>20</v>
      </c>
      <c r="JD46" s="80">
        <f>HH46+HL46+HP46+HT46+HX46+IB46+IF46+IJ46+IN46+IR46+IV46+IZ46</f>
        <v>48315.30000000001</v>
      </c>
      <c r="JF46" s="51">
        <f>IX46*$JF$44</f>
        <v>221.44512500000005</v>
      </c>
      <c r="JG46" s="51">
        <f>IY46*$JG$44</f>
        <v>20</v>
      </c>
      <c r="JH46" s="51">
        <f>JF46*JG46</f>
        <v>4428.902500000001</v>
      </c>
      <c r="JI46" s="54"/>
      <c r="JJ46" s="51">
        <f>JF46*$JJ$44</f>
        <v>221.44512500000005</v>
      </c>
      <c r="JK46" s="51">
        <f>JG46*$JK$44</f>
        <v>20</v>
      </c>
      <c r="JL46" s="51">
        <f>JJ46*JK46</f>
        <v>4428.902500000001</v>
      </c>
      <c r="JM46" s="54"/>
      <c r="JN46" s="51">
        <f>JJ46*$JN$44</f>
        <v>221.44512500000005</v>
      </c>
      <c r="JO46" s="51">
        <f>JK46*$JO$44</f>
        <v>20</v>
      </c>
      <c r="JP46" s="51">
        <f>JN46*JO46</f>
        <v>4428.902500000001</v>
      </c>
      <c r="JQ46" s="54"/>
      <c r="JR46" s="51">
        <f>JN46*$JR$44</f>
        <v>221.44512500000005</v>
      </c>
      <c r="JS46" s="51">
        <f>JO46*$JS$44</f>
        <v>20</v>
      </c>
      <c r="JT46" s="51">
        <f>JR46*JS46</f>
        <v>4428.902500000001</v>
      </c>
      <c r="JU46" s="54"/>
      <c r="JV46" s="51">
        <f>JR46*$JV$44</f>
        <v>221.44512500000005</v>
      </c>
      <c r="JW46" s="51">
        <f>JS46*$JW$44</f>
        <v>20</v>
      </c>
      <c r="JX46" s="51">
        <f>JV46*JW46</f>
        <v>4428.902500000001</v>
      </c>
      <c r="JY46" s="54"/>
      <c r="JZ46" s="51">
        <f>JV46*$JZ$44</f>
        <v>221.44512500000005</v>
      </c>
      <c r="KA46" s="51">
        <f>JW46*$KA$44</f>
        <v>20</v>
      </c>
      <c r="KB46" s="51">
        <f>JZ46*KA46</f>
        <v>4428.902500000001</v>
      </c>
      <c r="KC46" s="54"/>
      <c r="KD46" s="51">
        <f>JZ46*$KD$44</f>
        <v>221.44512500000005</v>
      </c>
      <c r="KE46" s="51">
        <f>KA46*$KE$44</f>
        <v>20</v>
      </c>
      <c r="KF46" s="51">
        <f>KD46*KE46</f>
        <v>4428.902500000001</v>
      </c>
      <c r="KG46" s="54"/>
      <c r="KH46" s="51">
        <f>KD46*$KH$44</f>
        <v>221.44512500000005</v>
      </c>
      <c r="KI46" s="51">
        <f>KE46*$KI$44</f>
        <v>20</v>
      </c>
      <c r="KJ46" s="51">
        <f>KH46*KI46</f>
        <v>4428.902500000001</v>
      </c>
      <c r="KK46" s="54"/>
      <c r="KL46" s="51">
        <f>KH46*$KL$44</f>
        <v>221.44512500000005</v>
      </c>
      <c r="KM46" s="51">
        <f>KI46*$KM$44</f>
        <v>20</v>
      </c>
      <c r="KN46" s="51">
        <f>KL46*KM46</f>
        <v>4428.902500000001</v>
      </c>
      <c r="KO46" s="54"/>
      <c r="KP46" s="51">
        <f>KL46*$KP$44</f>
        <v>221.44512500000005</v>
      </c>
      <c r="KQ46" s="51">
        <f>KM46*$KQ$44</f>
        <v>20</v>
      </c>
      <c r="KR46" s="51">
        <f>KP46*KQ46</f>
        <v>4428.902500000001</v>
      </c>
      <c r="KS46" s="54"/>
      <c r="KT46" s="51">
        <f>KP46*$KT$44</f>
        <v>221.44512500000005</v>
      </c>
      <c r="KU46" s="51">
        <f>KQ46*$KU$44</f>
        <v>20</v>
      </c>
      <c r="KV46" s="51">
        <f>KT46*KU46</f>
        <v>4428.902500000001</v>
      </c>
      <c r="KW46" s="54"/>
      <c r="KX46" s="51">
        <f>KT46*$KX$44</f>
        <v>221.44512500000005</v>
      </c>
      <c r="KY46" s="51">
        <f>KU46*$KY$44</f>
        <v>20</v>
      </c>
      <c r="KZ46" s="51">
        <f>KX46*KY46</f>
        <v>4428.902500000001</v>
      </c>
      <c r="LB46" s="80">
        <f>JF46+JJ46+JN46+JR46+JV46+JZ46+KD46+KH46+KL46+KP46+KT46+KX46</f>
        <v>2657.3415000000005</v>
      </c>
      <c r="LC46" s="80">
        <f>(JG46+JK46+JO46+JS46+JW46+KA46+KE46+KI46+KM46+KQ46+KU46+KY46)/12</f>
        <v>20</v>
      </c>
      <c r="LD46" s="80">
        <f>JH46+JL46+JP46+JT46+JX46+KB46+KF46+KJ46+KN46+KR46+KV46+KZ46</f>
        <v>53146.83000000002</v>
      </c>
    </row>
    <row r="47" ht="18.75" customHeight="1" spans="2:316" x14ac:dyDescent="0.25">
      <c r="B47" s="5" t="s">
        <v>76</v>
      </c>
      <c r="C47" s="27"/>
      <c r="D47" s="29">
        <f>'A.I Revenue Streams - P1'!E47</f>
        <v>0</v>
      </c>
      <c r="E47" s="30"/>
      <c r="F47" s="51">
        <f>'A.I Revenue Streams - P2'!G47*25</f>
        <v>100</v>
      </c>
      <c r="G47" s="51">
        <f>'A.I Revenue Streams - P2'!I47</f>
        <v>20</v>
      </c>
      <c r="H47" s="51">
        <f>F47*G47</f>
        <v>2000</v>
      </c>
      <c r="I47" s="54"/>
      <c r="J47" s="51">
        <f>F47*$J$44</f>
        <v>110.00000000000001</v>
      </c>
      <c r="K47" s="51">
        <f>G47*$K$44</f>
        <v>20</v>
      </c>
      <c r="L47" s="51">
        <f>J47*K47</f>
        <v>2200.0000000000005</v>
      </c>
      <c r="M47" s="54"/>
      <c r="N47" s="51">
        <f>J47*$N$44</f>
        <v>110.00000000000001</v>
      </c>
      <c r="O47" s="51">
        <f>K47*$O$44</f>
        <v>20</v>
      </c>
      <c r="P47" s="51">
        <f>N47*O47</f>
        <v>2200.0000000000005</v>
      </c>
      <c r="Q47" s="54"/>
      <c r="R47" s="51">
        <f>N47*$R$44</f>
        <v>110.00000000000001</v>
      </c>
      <c r="S47" s="51">
        <f>O47*$S$44</f>
        <v>20</v>
      </c>
      <c r="T47" s="51">
        <f>R47*S47</f>
        <v>2200.0000000000005</v>
      </c>
      <c r="U47" s="54"/>
      <c r="V47" s="51">
        <f>R47*$V$44</f>
        <v>110.00000000000001</v>
      </c>
      <c r="W47" s="51">
        <f>S47*$W$44</f>
        <v>20</v>
      </c>
      <c r="X47" s="51">
        <f>V47*W47</f>
        <v>2200.0000000000005</v>
      </c>
      <c r="Y47" s="54"/>
      <c r="Z47" s="51">
        <f>V47*$Z$44</f>
        <v>110.00000000000001</v>
      </c>
      <c r="AA47" s="51">
        <f>W47*$AA$44</f>
        <v>20</v>
      </c>
      <c r="AB47" s="51">
        <f>Z47*AA47</f>
        <v>2200.0000000000005</v>
      </c>
      <c r="AC47" s="54"/>
      <c r="AD47" s="51">
        <f>Z47*$AD$44</f>
        <v>110.00000000000001</v>
      </c>
      <c r="AE47" s="51">
        <f>AA47*$AE$44</f>
        <v>20</v>
      </c>
      <c r="AF47" s="51">
        <f>AD47*AE47</f>
        <v>2200.0000000000005</v>
      </c>
      <c r="AG47" s="54"/>
      <c r="AH47" s="51">
        <f>AD47*$AH$44</f>
        <v>110.00000000000001</v>
      </c>
      <c r="AI47" s="51">
        <f>AE47*$AI$44</f>
        <v>20</v>
      </c>
      <c r="AJ47" s="51">
        <f>AH47*AI47</f>
        <v>2200.0000000000005</v>
      </c>
      <c r="AK47" s="54"/>
      <c r="AL47" s="51">
        <f>AH47*$AL$44</f>
        <v>110.00000000000001</v>
      </c>
      <c r="AM47" s="51">
        <f>AI47*$AM$44</f>
        <v>20</v>
      </c>
      <c r="AN47" s="51">
        <f>AL47*AM47</f>
        <v>2200.0000000000005</v>
      </c>
      <c r="AO47" s="54"/>
      <c r="AP47" s="51">
        <f t="shared" ref="AP47:AP50" si="437">AL47*$AP$44</f>
        <v>110.00000000000001</v>
      </c>
      <c r="AQ47" s="51">
        <f t="shared" ref="AQ47:AQ50" si="438">AM47*$AQ$44</f>
        <v>20</v>
      </c>
      <c r="AR47" s="51">
        <f t="shared" ref="AR47:AR50" si="439">AP47*AQ47</f>
        <v>2200.0000000000005</v>
      </c>
      <c r="AS47" s="54"/>
      <c r="AT47" s="51">
        <f t="shared" ref="AT47:AT50" si="440">AP47*$AT$44</f>
        <v>110.00000000000001</v>
      </c>
      <c r="AU47" s="51">
        <f t="shared" ref="AU47:AU50" si="441">AQ47*$AU$44</f>
        <v>20</v>
      </c>
      <c r="AV47" s="51">
        <f t="shared" ref="AV47:AV50" si="442">AT47*AU47</f>
        <v>2200.0000000000005</v>
      </c>
      <c r="AW47" s="54"/>
      <c r="AX47" s="51">
        <f t="shared" ref="AX47:AX50" si="443">AT47*$AX$44</f>
        <v>110.00000000000001</v>
      </c>
      <c r="AY47" s="51">
        <f t="shared" ref="AY47:AY50" si="444">AU47*$AY$44</f>
        <v>20</v>
      </c>
      <c r="AZ47" s="51">
        <f t="shared" ref="AZ47:AZ50" si="445">AX47*AY47</f>
        <v>2200.0000000000005</v>
      </c>
      <c r="BA47" s="54"/>
      <c r="BB47" s="85">
        <f>SUMIF($F$6:$AZ$6,$BB$6,F47:AZ47)</f>
        <v>1310</v>
      </c>
      <c r="BC47" s="85">
        <f>SUMIF($F$6:$AZ$6,$BC$6,F47:AZ47)/12</f>
        <v>20</v>
      </c>
      <c r="BD47" s="80">
        <f>H47+L47+P47+T47+X47+AB47+AF47+AJ47+AN47</f>
        <v>19600</v>
      </c>
      <c r="BE47" t="b">
        <f>(BB47*BC47)=BD47</f>
        <v>0</v>
      </c>
      <c r="BF47" s="51">
        <f>AX47*$BF$44</f>
        <v>121.00000000000003</v>
      </c>
      <c r="BG47" s="51">
        <f>AY47*$BG$44</f>
        <v>20</v>
      </c>
      <c r="BH47" s="51">
        <f>BF47*BG47</f>
        <v>2420.0000000000005</v>
      </c>
      <c r="BI47" s="54"/>
      <c r="BJ47" s="51">
        <f>BF47*$BJ$44</f>
        <v>121.00000000000003</v>
      </c>
      <c r="BK47" s="51">
        <f t="shared" ref="BK47:BK50" si="446">BG47*$BK$44</f>
        <v>20</v>
      </c>
      <c r="BL47" s="51">
        <f>BJ47*BK47</f>
        <v>2420.0000000000005</v>
      </c>
      <c r="BM47" s="54"/>
      <c r="BN47" s="51">
        <f t="shared" ref="BN47:BN50" si="447">BJ47*$BN$44</f>
        <v>121.00000000000003</v>
      </c>
      <c r="BO47" s="51">
        <f t="shared" ref="BO47:BO50" si="448">BK47*$BO$44</f>
        <v>20</v>
      </c>
      <c r="BP47" s="51">
        <f>BN47*BO47</f>
        <v>2420.0000000000005</v>
      </c>
      <c r="BQ47" s="54"/>
      <c r="BR47" s="51">
        <f t="shared" ref="BR47:BR50" si="449">BN47*$BR$44</f>
        <v>121.00000000000003</v>
      </c>
      <c r="BS47" s="51">
        <f t="shared" ref="BS47:BS50" si="450">BO47*$BS$44</f>
        <v>20</v>
      </c>
      <c r="BT47" s="51">
        <f>BR47*BS47</f>
        <v>2420.0000000000005</v>
      </c>
      <c r="BU47" s="54"/>
      <c r="BV47" s="51">
        <f t="shared" ref="BV47:BV50" si="451">BR47*$BV$44</f>
        <v>121.00000000000003</v>
      </c>
      <c r="BW47" s="51">
        <f t="shared" ref="BW47:BW50" si="452">BS47*$BW$44</f>
        <v>20</v>
      </c>
      <c r="BX47" s="51">
        <f>BV47*BW47</f>
        <v>2420.0000000000005</v>
      </c>
      <c r="BY47" s="54"/>
      <c r="BZ47" s="51">
        <f t="shared" ref="BZ47:BZ50" si="453">BV47*$BZ$44</f>
        <v>121.00000000000003</v>
      </c>
      <c r="CA47" s="51">
        <f t="shared" ref="CA47:CA50" si="454">BW47*$CA$44</f>
        <v>20</v>
      </c>
      <c r="CB47" s="51">
        <f>BZ47*CA47</f>
        <v>2420.0000000000005</v>
      </c>
      <c r="CC47" s="54"/>
      <c r="CD47" s="51">
        <f t="shared" ref="CD47:CD50" si="455">BZ47*$CD$44</f>
        <v>121.00000000000003</v>
      </c>
      <c r="CE47" s="51">
        <f t="shared" ref="CE47:CE50" si="456">CA47*$CE$44</f>
        <v>20</v>
      </c>
      <c r="CF47" s="51">
        <f>CD47*CE47</f>
        <v>2420.0000000000005</v>
      </c>
      <c r="CG47" s="54"/>
      <c r="CH47" s="51">
        <f t="shared" ref="CH47:CH50" si="457">CD47*$CH$44</f>
        <v>121.00000000000003</v>
      </c>
      <c r="CI47" s="51">
        <f t="shared" ref="CI47:CI50" si="458">CE47*$CI$44</f>
        <v>20</v>
      </c>
      <c r="CJ47" s="51">
        <f>CH47*CI47</f>
        <v>2420.0000000000005</v>
      </c>
      <c r="CK47" s="54"/>
      <c r="CL47" s="51">
        <f t="shared" ref="CL47:CL50" si="459">CH47*$CL$44</f>
        <v>121.00000000000003</v>
      </c>
      <c r="CM47" s="51">
        <f t="shared" ref="CM47:CM50" si="460">CI47*$CM$44</f>
        <v>20</v>
      </c>
      <c r="CN47" s="51">
        <f>CL47*CM47</f>
        <v>2420.0000000000005</v>
      </c>
      <c r="CO47" s="54"/>
      <c r="CP47" s="51">
        <f t="shared" ref="CP47:CP50" si="461">CL47*$CP$44</f>
        <v>121.00000000000003</v>
      </c>
      <c r="CQ47" s="51">
        <f t="shared" ref="CQ47:CQ50" si="462">CM47*$CQ$44</f>
        <v>20</v>
      </c>
      <c r="CR47" s="51">
        <f>CP47*CQ47</f>
        <v>2420.0000000000005</v>
      </c>
      <c r="CS47" s="54"/>
      <c r="CT47" s="51">
        <f t="shared" ref="CT47:CT50" si="463">CP47*$CT$44</f>
        <v>121.00000000000003</v>
      </c>
      <c r="CU47" s="51">
        <f t="shared" ref="CU47:CU50" si="464">CQ47*$CU$44</f>
        <v>20</v>
      </c>
      <c r="CV47" s="51">
        <f>CT47*CU47</f>
        <v>2420.0000000000005</v>
      </c>
      <c r="CW47" s="54"/>
      <c r="CX47" s="51">
        <f t="shared" ref="CX47:CX50" si="465">CT47*$CX$44</f>
        <v>121.00000000000003</v>
      </c>
      <c r="CY47" s="51">
        <f t="shared" ref="CY47:CY50" si="466">CU47*$CY$44</f>
        <v>20</v>
      </c>
      <c r="CZ47" s="51">
        <f>CX47*CY47</f>
        <v>2420.0000000000005</v>
      </c>
      <c r="DA47" s="54"/>
      <c r="DB47" s="80">
        <f>BF47+BJ47+BN47+BR47+BV47+BZ47+CD47+CH47+CL47+CP47+CT47+CX47</f>
        <v>1452.0000000000002</v>
      </c>
      <c r="DC47" s="80">
        <f>(BG47+BK47+BO47+BS47+BW47+CA47+CE47+CI47+CM47+CQ47+CU47+CY47)/12</f>
        <v>20</v>
      </c>
      <c r="DD47" s="80">
        <f>BH47+BL47+BP47+BT47+BX47+CB47+CF47+CJ47+CN47+CR47+CV47+CZ47</f>
        <v>29040.000000000004</v>
      </c>
      <c r="DF47" s="51">
        <f>CX47*$DF$44</f>
        <v>133.10000000000005</v>
      </c>
      <c r="DG47" s="51">
        <f t="shared" ref="DG47:DG50" si="467">CY47*$DG$44</f>
        <v>20</v>
      </c>
      <c r="DH47" s="51">
        <f>DF47*DG47</f>
        <v>2662.000000000001</v>
      </c>
      <c r="DI47" s="54"/>
      <c r="DJ47" s="51">
        <f>DF47*$DJ$44</f>
        <v>133.10000000000005</v>
      </c>
      <c r="DK47" s="51">
        <f t="shared" ref="DK47" si="468">DG47*$DK$44</f>
        <v>20</v>
      </c>
      <c r="DL47" s="51">
        <f>DJ47*DK47</f>
        <v>2662.000000000001</v>
      </c>
      <c r="DM47" s="54"/>
      <c r="DN47" s="51">
        <f t="shared" ref="DN47:DN50" si="469">DJ47*$DN$44</f>
        <v>133.10000000000005</v>
      </c>
      <c r="DO47" s="51">
        <f t="shared" ref="DO47:DO50" si="470">DK47*$DO$44</f>
        <v>20</v>
      </c>
      <c r="DP47" s="51">
        <f>DN47*DO47</f>
        <v>2662.000000000001</v>
      </c>
      <c r="DQ47" s="54"/>
      <c r="DR47" s="51">
        <f t="shared" ref="DR47:DR50" si="471">DN47*$DR$44</f>
        <v>133.10000000000005</v>
      </c>
      <c r="DS47" s="51">
        <f t="shared" ref="DS47:DS50" si="472">DO47*$DS$44</f>
        <v>20</v>
      </c>
      <c r="DT47" s="51">
        <f>DR47*DS47</f>
        <v>2662.000000000001</v>
      </c>
      <c r="DU47" s="54"/>
      <c r="DV47" s="51">
        <f t="shared" ref="DV47:DV50" si="473">DR47*$DV$44</f>
        <v>133.10000000000005</v>
      </c>
      <c r="DW47" s="51">
        <f t="shared" ref="DW47:DW50" si="474">DS47*$DW$44</f>
        <v>20</v>
      </c>
      <c r="DX47" s="51">
        <f>DV47*DW47</f>
        <v>2662.000000000001</v>
      </c>
      <c r="DY47" s="54"/>
      <c r="DZ47" s="51">
        <f t="shared" ref="DZ47:DZ50" si="475">DV47*$DZ$44</f>
        <v>133.10000000000005</v>
      </c>
      <c r="EA47" s="51">
        <f t="shared" ref="EA47:EA50" si="476">DW47*$EA$44</f>
        <v>20</v>
      </c>
      <c r="EB47" s="51">
        <f>DZ47*EA47</f>
        <v>2662.000000000001</v>
      </c>
      <c r="EC47" s="54"/>
      <c r="ED47" s="51">
        <f t="shared" ref="ED47:ED50" si="477">DZ47*$ED$44</f>
        <v>133.10000000000005</v>
      </c>
      <c r="EE47" s="51">
        <f>EA47*$EE$44</f>
        <v>20</v>
      </c>
      <c r="EF47" s="51">
        <f>ED47*EE47</f>
        <v>2662.000000000001</v>
      </c>
      <c r="EG47" s="54"/>
      <c r="EH47" s="51">
        <f>ED47*$EH$44</f>
        <v>133.10000000000005</v>
      </c>
      <c r="EI47" s="51">
        <f>EE47*$EI$44</f>
        <v>20</v>
      </c>
      <c r="EJ47" s="51">
        <f>EH47*EI47</f>
        <v>2662.000000000001</v>
      </c>
      <c r="EK47" s="54"/>
      <c r="EL47" s="51">
        <f t="shared" ref="EL47:EL50" si="478">EH47*$EL$44</f>
        <v>133.10000000000005</v>
      </c>
      <c r="EM47" s="51">
        <f t="shared" ref="EM47:EM50" si="479">EI47*$EM$44</f>
        <v>20</v>
      </c>
      <c r="EN47" s="51">
        <f>EL47*EM47</f>
        <v>2662.000000000001</v>
      </c>
      <c r="EO47" s="54"/>
      <c r="EP47" s="51">
        <f t="shared" ref="EP47:EP50" si="480">EL47*$EP$44</f>
        <v>133.10000000000005</v>
      </c>
      <c r="EQ47" s="51">
        <f t="shared" ref="EQ47:EQ50" si="481">EM47*$EQ$44</f>
        <v>20</v>
      </c>
      <c r="ER47" s="51">
        <f>EP47*EQ47</f>
        <v>2662.000000000001</v>
      </c>
      <c r="ES47" s="54"/>
      <c r="ET47" s="51">
        <f t="shared" ref="ET47:ET50" si="482">EP47*$ET$44</f>
        <v>133.10000000000005</v>
      </c>
      <c r="EU47" s="51">
        <f t="shared" ref="EU47:EU50" si="483">EQ47*$EU$44</f>
        <v>20</v>
      </c>
      <c r="EV47" s="51">
        <f>ET47*EU47</f>
        <v>2662.000000000001</v>
      </c>
      <c r="EW47" s="54"/>
      <c r="EX47" s="51">
        <f t="shared" ref="EX47:EX50" si="484">ET47*$EX$44</f>
        <v>133.10000000000005</v>
      </c>
      <c r="EY47" s="51">
        <f t="shared" ref="EY47:EY50" si="485">EU47*$EY$44</f>
        <v>20</v>
      </c>
      <c r="EZ47" s="51">
        <f>EX47*EY47</f>
        <v>2662.000000000001</v>
      </c>
      <c r="FA47" s="54"/>
      <c r="FB47" s="80">
        <f>DF47+DJ47+DN47+DR47+DV47+DZ47+ED47+EH47+EL47+EP47+ET47+EX47</f>
        <v>1597.200000000001</v>
      </c>
      <c r="FC47" s="80">
        <f>(DG47+DK47+DO47+DS47+DW47+EA47+EE47+EI47+EM47+EQ47+EU47+EY47)/12</f>
        <v>20</v>
      </c>
      <c r="FD47" s="80">
        <f>DH47+DL47+DP47+DT47+DX47+EB47+EF47+EJ47+EN47+ER47+EV47+EZ47</f>
        <v>31944.000000000004</v>
      </c>
      <c r="FF47" s="51">
        <f t="shared" ref="FF47:FF50" si="486">EX47*$FF$44</f>
        <v>146.41000000000008</v>
      </c>
      <c r="FG47" s="51">
        <f t="shared" ref="FG47:FG50" si="487">EY47*$FG$44</f>
        <v>20</v>
      </c>
      <c r="FH47" s="51">
        <f>FF47*FG47</f>
        <v>2928.2000000000016</v>
      </c>
      <c r="FI47" s="54"/>
      <c r="FJ47" s="51">
        <f t="shared" ref="FJ47:FJ50" si="488">FF47*$FJ$44</f>
        <v>146.41000000000008</v>
      </c>
      <c r="FK47" s="51">
        <f t="shared" ref="FK47:FK50" si="489">FG47*$FK$44</f>
        <v>20</v>
      </c>
      <c r="FL47" s="51">
        <f>FJ47*FK47</f>
        <v>2928.2000000000016</v>
      </c>
      <c r="FM47" s="54"/>
      <c r="FN47" s="51">
        <f t="shared" ref="FN47:FN50" si="490">FJ47*$FN$44</f>
        <v>146.41000000000008</v>
      </c>
      <c r="FO47" s="51">
        <f t="shared" ref="FO47:FO50" si="491">FK47*$FO$44</f>
        <v>20</v>
      </c>
      <c r="FP47" s="51">
        <f>FN47*FO47</f>
        <v>2928.2000000000016</v>
      </c>
      <c r="FQ47" s="54"/>
      <c r="FR47" s="51">
        <f t="shared" ref="FR47:FR50" si="492">FN47*$FR$44</f>
        <v>146.41000000000008</v>
      </c>
      <c r="FS47" s="51">
        <f t="shared" ref="FS47:FS50" si="493">FO47*$FS$44</f>
        <v>20</v>
      </c>
      <c r="FT47" s="51">
        <f>FR47*FS47</f>
        <v>2928.2000000000016</v>
      </c>
      <c r="FU47" s="54"/>
      <c r="FV47" s="51">
        <f t="shared" ref="FV47" si="494">FR47*$FV$44</f>
        <v>146.41000000000008</v>
      </c>
      <c r="FW47" s="51">
        <f>FS47*$FW$44</f>
        <v>20</v>
      </c>
      <c r="FX47" s="51">
        <f>FV47*FW47</f>
        <v>2928.2000000000016</v>
      </c>
      <c r="FY47" s="54"/>
      <c r="FZ47" s="51">
        <f t="shared" ref="FZ47:FZ50" si="495">FV47*$FZ$44</f>
        <v>146.41000000000008</v>
      </c>
      <c r="GA47" s="51">
        <f t="shared" ref="GA47" si="496">FW47*$GA$44</f>
        <v>20</v>
      </c>
      <c r="GB47" s="51">
        <f>FZ47*GA47</f>
        <v>2928.2000000000016</v>
      </c>
      <c r="GC47" s="54"/>
      <c r="GD47" s="51">
        <f t="shared" ref="GD47:GD50" si="497">FZ47*$GD$44</f>
        <v>146.41000000000008</v>
      </c>
      <c r="GE47" s="51">
        <f t="shared" ref="GE47:GE50" si="498">GA47*$GE$44</f>
        <v>20</v>
      </c>
      <c r="GF47" s="51">
        <f>GD47*GE47</f>
        <v>2928.2000000000016</v>
      </c>
      <c r="GG47" s="54"/>
      <c r="GH47" s="51">
        <f t="shared" ref="GH47" si="499">GD47*$GH$44</f>
        <v>146.41000000000008</v>
      </c>
      <c r="GI47" s="51">
        <f>GE47*$GI$44</f>
        <v>20</v>
      </c>
      <c r="GJ47" s="51">
        <f>GH47*GI47</f>
        <v>2928.2000000000016</v>
      </c>
      <c r="GK47" s="54"/>
      <c r="GL47" s="51">
        <f t="shared" ref="GL47:GL50" si="500">GH47*$GL$44</f>
        <v>146.41000000000008</v>
      </c>
      <c r="GM47" s="51">
        <f>GI47*$GM$44</f>
        <v>20</v>
      </c>
      <c r="GN47" s="51">
        <f>GL47*GM47</f>
        <v>2928.2000000000016</v>
      </c>
      <c r="GO47" s="54"/>
      <c r="GP47" s="51">
        <f t="shared" ref="GP47:GP50" si="501">GL47*$GP$44</f>
        <v>146.41000000000008</v>
      </c>
      <c r="GQ47" s="51">
        <f t="shared" ref="GQ47:GQ50" si="502">GM47*$GQ$44</f>
        <v>20</v>
      </c>
      <c r="GR47" s="51">
        <f>GP47*GQ47</f>
        <v>2928.2000000000016</v>
      </c>
      <c r="GS47" s="54"/>
      <c r="GT47" s="51">
        <f>GP47*$GT$44</f>
        <v>146.41000000000008</v>
      </c>
      <c r="GU47" s="51">
        <f>GQ47*$GU$44</f>
        <v>20</v>
      </c>
      <c r="GV47" s="51">
        <f>GT47*GU47</f>
        <v>2928.2000000000016</v>
      </c>
      <c r="GW47" s="54"/>
      <c r="GX47" s="51">
        <f t="shared" ref="GX47:GX50" si="503">GT47*$GX$44</f>
        <v>146.41000000000008</v>
      </c>
      <c r="GY47" s="51">
        <f t="shared" ref="GY47:GY50" si="504">GU47*$GY$44</f>
        <v>20</v>
      </c>
      <c r="GZ47" s="51">
        <f>GX47*GY47</f>
        <v>2928.2000000000016</v>
      </c>
      <c r="HB47" s="80">
        <f>FF47+FJ47+FN47+FR47+FV47+FZ47+GD47+GH47+GL47+GP47+GT47+GX47</f>
        <v>1756.920000000001</v>
      </c>
      <c r="HC47" s="80">
        <f>(FG47+FK47+FO47+FS47+FW47+GA47+GE47+GI47+GM47+GQ47+GU47+GY47)/12</f>
        <v>20</v>
      </c>
      <c r="HD47" s="80">
        <f>FH47+FL47+FP47+FT47+FX47+GB47+GF47+GJ47+GN47+GR47+GV47+GZ47</f>
        <v>35138.400000000016</v>
      </c>
      <c r="HF47" s="51">
        <f t="shared" ref="HF47:HF50" si="505">GX47*$HF$44</f>
        <v>161.0510000000001</v>
      </c>
      <c r="HG47" s="51">
        <f>GY47*$HG$44</f>
        <v>20</v>
      </c>
      <c r="HH47" s="51">
        <f>HF47*HG47</f>
        <v>3221.0200000000023</v>
      </c>
      <c r="HI47" s="54"/>
      <c r="HJ47" s="51">
        <f t="shared" ref="HJ47:HJ50" si="506">HF47*$HJ$44</f>
        <v>161.0510000000001</v>
      </c>
      <c r="HK47" s="51">
        <f t="shared" ref="HK47:HK50" si="507">HG47*$HK$44</f>
        <v>20</v>
      </c>
      <c r="HL47" s="51">
        <f>HJ47*HK47</f>
        <v>3221.0200000000023</v>
      </c>
      <c r="HM47" s="54"/>
      <c r="HN47" s="51">
        <f t="shared" ref="HN47:HN50" si="508">HJ47*$HN$44</f>
        <v>161.0510000000001</v>
      </c>
      <c r="HO47" s="51">
        <f t="shared" ref="HO47:HO50" si="509">HK47*$HO$44</f>
        <v>20</v>
      </c>
      <c r="HP47" s="51">
        <f>HN47*HO47</f>
        <v>3221.0200000000023</v>
      </c>
      <c r="HQ47" s="54"/>
      <c r="HR47" s="51">
        <f t="shared" ref="HR47:HR50" si="510">HN47*$HR$44</f>
        <v>161.0510000000001</v>
      </c>
      <c r="HS47" s="51">
        <f t="shared" ref="HS47:HS50" si="511">HO47*$HS$44</f>
        <v>20</v>
      </c>
      <c r="HT47" s="51">
        <f>HR47*HS47</f>
        <v>3221.0200000000023</v>
      </c>
      <c r="HU47" s="54"/>
      <c r="HV47" s="51">
        <f t="shared" ref="HV47:HV50" si="512">HR47*$HV$44</f>
        <v>161.0510000000001</v>
      </c>
      <c r="HW47" s="51">
        <f t="shared" ref="HW47:HW50" si="513">HS47*$HW$44</f>
        <v>20</v>
      </c>
      <c r="HX47" s="51">
        <f>HV47*HW47</f>
        <v>3221.0200000000023</v>
      </c>
      <c r="HY47" s="54"/>
      <c r="HZ47" s="51">
        <f t="shared" ref="HZ47:HZ50" si="514">HV47*$HZ$44</f>
        <v>161.0510000000001</v>
      </c>
      <c r="IA47" s="51">
        <f t="shared" ref="IA47:IA50" si="515">HW47*$IA$44</f>
        <v>20</v>
      </c>
      <c r="IB47" s="51">
        <f>HZ47*IA47</f>
        <v>3221.0200000000023</v>
      </c>
      <c r="IC47" s="54"/>
      <c r="ID47" s="51">
        <f t="shared" ref="ID47:ID50" si="516">HZ47*$ID$44</f>
        <v>161.0510000000001</v>
      </c>
      <c r="IE47" s="51">
        <f t="shared" ref="IE47:IE50" si="517">IA47*$IE$44</f>
        <v>20</v>
      </c>
      <c r="IF47" s="51">
        <f>ID47*IE47</f>
        <v>3221.0200000000023</v>
      </c>
      <c r="IG47" s="54"/>
      <c r="IH47" s="51">
        <f t="shared" ref="IH47:IH50" si="518">ID47*$IH$44</f>
        <v>161.0510000000001</v>
      </c>
      <c r="II47" s="51">
        <f t="shared" ref="II47:II50" si="519">IE47*$II$44</f>
        <v>20</v>
      </c>
      <c r="IJ47" s="51">
        <f>IH47*II47</f>
        <v>3221.0200000000023</v>
      </c>
      <c r="IK47" s="54"/>
      <c r="IL47" s="51">
        <f t="shared" ref="IL47:IL50" si="520">IH47*$IL$44</f>
        <v>161.0510000000001</v>
      </c>
      <c r="IM47" s="51">
        <f t="shared" ref="IM47:IM50" si="521">II47*$IM$44</f>
        <v>20</v>
      </c>
      <c r="IN47" s="51">
        <f>IL47*IM47</f>
        <v>3221.0200000000023</v>
      </c>
      <c r="IO47" s="54"/>
      <c r="IP47" s="51">
        <f t="shared" ref="IP47:IP50" si="522">IL47*$IP$44</f>
        <v>161.0510000000001</v>
      </c>
      <c r="IQ47" s="51">
        <f t="shared" ref="IQ47:IQ50" si="523">IM47*$IQ$44</f>
        <v>20</v>
      </c>
      <c r="IR47" s="51">
        <f>IP47*IQ47</f>
        <v>3221.0200000000023</v>
      </c>
      <c r="IS47" s="54"/>
      <c r="IT47" s="51">
        <f t="shared" ref="IT47:IT50" si="524">IP47*$IT$44</f>
        <v>161.0510000000001</v>
      </c>
      <c r="IU47" s="51">
        <f t="shared" ref="IU47:IU50" si="525">IQ47*$IU$44</f>
        <v>20</v>
      </c>
      <c r="IV47" s="51">
        <f>IT47*IU47</f>
        <v>3221.0200000000023</v>
      </c>
      <c r="IW47" s="54"/>
      <c r="IX47" s="51">
        <f t="shared" ref="IX47:IX50" si="526">IT47*$IX$44</f>
        <v>161.0510000000001</v>
      </c>
      <c r="IY47" s="51">
        <f t="shared" ref="IY47:IY50" si="527">IU47*$IY$44</f>
        <v>20</v>
      </c>
      <c r="IZ47" s="51">
        <f>IX47*IY47</f>
        <v>3221.0200000000023</v>
      </c>
      <c r="JB47" s="80">
        <f>HF47+HJ47+HN47+HR47+HV47+HZ47+ID47+IH47+IL47+IP47+IT47+IX47</f>
        <v>1932.6120000000017</v>
      </c>
      <c r="JC47" s="80">
        <f>(HG47+HK47+HO47+HS47+HW47+IA47+IE47+II47+IM47+IQ47+IU47+IY47)/12</f>
        <v>20</v>
      </c>
      <c r="JD47" s="80">
        <f>HH47+HL47+HP47+HT47+HX47+IB47+IF47+IJ47+IN47+IR47+IV47+IZ47</f>
        <v>38652.240000000034</v>
      </c>
      <c r="JF47" s="51">
        <f t="shared" ref="JF47:JF50" si="528">IX47*$JF$44</f>
        <v>177.15610000000012</v>
      </c>
      <c r="JG47" s="51">
        <f t="shared" ref="JG47:JG50" si="529">IY47*$JG$44</f>
        <v>20</v>
      </c>
      <c r="JH47" s="51">
        <f>JF47*JG47</f>
        <v>3543.1220000000026</v>
      </c>
      <c r="JI47" s="54"/>
      <c r="JJ47" s="51">
        <f t="shared" ref="JJ47:JJ50" si="530">JF47*$JJ$44</f>
        <v>177.15610000000012</v>
      </c>
      <c r="JK47" s="51">
        <f t="shared" ref="JK47:JK50" si="531">JG47*$JK$44</f>
        <v>20</v>
      </c>
      <c r="JL47" s="51">
        <f>JJ47*JK47</f>
        <v>3543.1220000000026</v>
      </c>
      <c r="JM47" s="54"/>
      <c r="JN47" s="51">
        <f t="shared" ref="JN47:JN50" si="532">JJ47*$JN$44</f>
        <v>177.15610000000012</v>
      </c>
      <c r="JO47" s="51">
        <f t="shared" ref="JO47:JO50" si="533">JK47*$JO$44</f>
        <v>20</v>
      </c>
      <c r="JP47" s="51">
        <f>JN47*JO47</f>
        <v>3543.1220000000026</v>
      </c>
      <c r="JQ47" s="54"/>
      <c r="JR47" s="51">
        <f t="shared" ref="JR47:JR50" si="534">JN47*$JR$44</f>
        <v>177.15610000000012</v>
      </c>
      <c r="JS47" s="51">
        <f t="shared" ref="JS47:JS50" si="535">JO47*$JS$44</f>
        <v>20</v>
      </c>
      <c r="JT47" s="51">
        <f>JR47*JS47</f>
        <v>3543.1220000000026</v>
      </c>
      <c r="JU47" s="54"/>
      <c r="JV47" s="51">
        <f t="shared" ref="JV47:JV50" si="536">JR47*$JV$44</f>
        <v>177.15610000000012</v>
      </c>
      <c r="JW47" s="51">
        <f t="shared" ref="JW47:JW50" si="537">JS47*$JW$44</f>
        <v>20</v>
      </c>
      <c r="JX47" s="51">
        <f>JV47*JW47</f>
        <v>3543.1220000000026</v>
      </c>
      <c r="JY47" s="54"/>
      <c r="JZ47" s="51">
        <f t="shared" ref="JZ47:JZ50" si="538">JV47*$JZ$44</f>
        <v>177.15610000000012</v>
      </c>
      <c r="KA47" s="51">
        <f t="shared" ref="KA47:KA50" si="539">JW47*$KA$44</f>
        <v>20</v>
      </c>
      <c r="KB47" s="51">
        <f>JZ47*KA47</f>
        <v>3543.1220000000026</v>
      </c>
      <c r="KC47" s="54"/>
      <c r="KD47" s="51">
        <f t="shared" ref="KD47:KD50" si="540">JZ47*$KD$44</f>
        <v>177.15610000000012</v>
      </c>
      <c r="KE47" s="51">
        <f t="shared" ref="KE47:KE50" si="541">KA47*$KE$44</f>
        <v>20</v>
      </c>
      <c r="KF47" s="51">
        <f>KD47*KE47</f>
        <v>3543.1220000000026</v>
      </c>
      <c r="KG47" s="54"/>
      <c r="KH47" s="51">
        <f t="shared" ref="KH47:KH50" si="542">KD47*$KH$44</f>
        <v>177.15610000000012</v>
      </c>
      <c r="KI47" s="51">
        <f t="shared" ref="KI47:KI50" si="543">KE47*$KI$44</f>
        <v>20</v>
      </c>
      <c r="KJ47" s="51">
        <f>KH47*KI47</f>
        <v>3543.1220000000026</v>
      </c>
      <c r="KK47" s="54"/>
      <c r="KL47" s="51">
        <f t="shared" ref="KL47:KL50" si="544">KH47*$KL$44</f>
        <v>177.15610000000012</v>
      </c>
      <c r="KM47" s="51">
        <f t="shared" ref="KM47:KM50" si="545">KI47*$KM$44</f>
        <v>20</v>
      </c>
      <c r="KN47" s="51">
        <f>KL47*KM47</f>
        <v>3543.1220000000026</v>
      </c>
      <c r="KO47" s="54"/>
      <c r="KP47" s="51">
        <f t="shared" ref="KP47:KP50" si="546">KL47*$KP$44</f>
        <v>177.15610000000012</v>
      </c>
      <c r="KQ47" s="51">
        <f t="shared" ref="KQ47:KQ50" si="547">KM47*$KQ$44</f>
        <v>20</v>
      </c>
      <c r="KR47" s="51">
        <f>KP47*KQ47</f>
        <v>3543.1220000000026</v>
      </c>
      <c r="KS47" s="54"/>
      <c r="KT47" s="51">
        <f t="shared" ref="KT47:KT50" si="548">KP47*$KT$44</f>
        <v>177.15610000000012</v>
      </c>
      <c r="KU47" s="51">
        <f t="shared" ref="KU47:KU50" si="549">KQ47*$KU$44</f>
        <v>20</v>
      </c>
      <c r="KV47" s="51">
        <f>KT47*KU47</f>
        <v>3543.1220000000026</v>
      </c>
      <c r="KW47" s="54"/>
      <c r="KX47" s="51">
        <f t="shared" ref="KX47:KX50" si="550">KT47*$KX$44</f>
        <v>177.15610000000012</v>
      </c>
      <c r="KY47" s="51">
        <f t="shared" ref="KY47:KY50" si="551">KU47*$KY$44</f>
        <v>20</v>
      </c>
      <c r="KZ47" s="51">
        <f>KX47*KY47</f>
        <v>3543.1220000000026</v>
      </c>
      <c r="LB47" s="80">
        <f>JF47+JJ47+JN47+JR47+JV47+JZ47+KD47+KH47+KL47+KP47+KT47+KX47</f>
        <v>2125.8732000000014</v>
      </c>
      <c r="LC47" s="80">
        <f>(JG47+JK47+JO47+JS47+JW47+KA47+KE47+KI47+KM47+KQ47+KU47+KY47)/12</f>
        <v>20</v>
      </c>
      <c r="LD47" s="80">
        <f>JH47+JL47+JP47+JT47+JX47+KB47+KF47+KJ47+KN47+KR47+KV47+KZ47</f>
        <v>42517.46400000003</v>
      </c>
    </row>
    <row r="48" ht="18.75" customHeight="1" spans="2:316" x14ac:dyDescent="0.25">
      <c r="B48" s="5" t="s">
        <v>77</v>
      </c>
      <c r="C48" s="27"/>
      <c r="D48" s="29">
        <f>'A.I Revenue Streams - P1'!E48</f>
        <v>0</v>
      </c>
      <c r="E48" s="30"/>
      <c r="F48" s="51">
        <f>'A.I Revenue Streams - P2'!G48*25</f>
        <v>75</v>
      </c>
      <c r="G48" s="51">
        <f>'A.I Revenue Streams - P2'!I48</f>
        <v>20</v>
      </c>
      <c r="H48" s="51">
        <f>F48*G48</f>
        <v>1500</v>
      </c>
      <c r="I48" s="54"/>
      <c r="J48" s="51">
        <f>F48*$J$44</f>
        <v>82.5</v>
      </c>
      <c r="K48" s="51">
        <f>G48*$K$44</f>
        <v>20</v>
      </c>
      <c r="L48" s="51">
        <f>J48*K48</f>
        <v>1650</v>
      </c>
      <c r="M48" s="54"/>
      <c r="N48" s="51">
        <f>J48*$N$44</f>
        <v>82.5</v>
      </c>
      <c r="O48" s="51">
        <f>K48*$O$44</f>
        <v>20</v>
      </c>
      <c r="P48" s="51">
        <f>N48*O48</f>
        <v>1650</v>
      </c>
      <c r="Q48" s="54"/>
      <c r="R48" s="51">
        <f>N48*$R$44</f>
        <v>82.5</v>
      </c>
      <c r="S48" s="51">
        <f>O48*$S$44</f>
        <v>20</v>
      </c>
      <c r="T48" s="51">
        <f>R48*S48</f>
        <v>1650</v>
      </c>
      <c r="U48" s="54"/>
      <c r="V48" s="51">
        <f>R48*$V$44</f>
        <v>82.5</v>
      </c>
      <c r="W48" s="51">
        <f>S48*$W$44</f>
        <v>20</v>
      </c>
      <c r="X48" s="51">
        <f>V48*W48</f>
        <v>1650</v>
      </c>
      <c r="Y48" s="54"/>
      <c r="Z48" s="51">
        <f>V48*$Z$44</f>
        <v>82.5</v>
      </c>
      <c r="AA48" s="51">
        <f>W48*$AA$44</f>
        <v>20</v>
      </c>
      <c r="AB48" s="51">
        <f>Z48*AA48</f>
        <v>1650</v>
      </c>
      <c r="AC48" s="54"/>
      <c r="AD48" s="51">
        <f>Z48*$AD$44</f>
        <v>82.5</v>
      </c>
      <c r="AE48" s="51">
        <f>AA48*$AE$44</f>
        <v>20</v>
      </c>
      <c r="AF48" s="51">
        <f>AD48*AE48</f>
        <v>1650</v>
      </c>
      <c r="AG48" s="54"/>
      <c r="AH48" s="51">
        <f>AD48*$AH$44</f>
        <v>82.5</v>
      </c>
      <c r="AI48" s="51">
        <f>AE48*$AI$44</f>
        <v>20</v>
      </c>
      <c r="AJ48" s="51">
        <f>AH48*AI48</f>
        <v>1650</v>
      </c>
      <c r="AK48" s="54"/>
      <c r="AL48" s="51">
        <f>AH48*$AL$44</f>
        <v>82.5</v>
      </c>
      <c r="AM48" s="51">
        <f>AI48*$AM$44</f>
        <v>20</v>
      </c>
      <c r="AN48" s="51">
        <f>AL48*AM48</f>
        <v>1650</v>
      </c>
      <c r="AO48" s="54"/>
      <c r="AP48" s="51">
        <f t="shared" si="437"/>
        <v>82.5</v>
      </c>
      <c r="AQ48" s="51">
        <f t="shared" si="438"/>
        <v>20</v>
      </c>
      <c r="AR48" s="51">
        <f t="shared" si="439"/>
        <v>1650</v>
      </c>
      <c r="AS48" s="54"/>
      <c r="AT48" s="51">
        <f t="shared" si="440"/>
        <v>82.5</v>
      </c>
      <c r="AU48" s="51">
        <f t="shared" si="441"/>
        <v>20</v>
      </c>
      <c r="AV48" s="51">
        <f t="shared" si="442"/>
        <v>1650</v>
      </c>
      <c r="AW48" s="54"/>
      <c r="AX48" s="51">
        <f t="shared" si="443"/>
        <v>82.5</v>
      </c>
      <c r="AY48" s="51">
        <f t="shared" si="444"/>
        <v>20</v>
      </c>
      <c r="AZ48" s="51">
        <f t="shared" si="445"/>
        <v>1650</v>
      </c>
      <c r="BA48" s="54"/>
      <c r="BB48" s="85">
        <f>SUMIF($F$6:$AZ$6,$BB$6,F48:AZ48)</f>
        <v>982.5</v>
      </c>
      <c r="BC48" s="85">
        <f>SUMIF($F$6:$AZ$6,$BC$6,F48:AZ48)/12</f>
        <v>20</v>
      </c>
      <c r="BD48" s="80">
        <f>H48+L48+P48+T48+X48+AB48+AF48+AJ48+AN48</f>
        <v>14700</v>
      </c>
      <c r="BE48" t="b">
        <f>(BB48*BC48)=BD48</f>
        <v>0</v>
      </c>
      <c r="BF48" s="51">
        <f>AX48*$BF$44</f>
        <v>90.75000000000001</v>
      </c>
      <c r="BG48" s="51">
        <f>AY48*$BG$44</f>
        <v>20</v>
      </c>
      <c r="BH48" s="51">
        <f>BF48*BG48</f>
        <v>1815.0000000000002</v>
      </c>
      <c r="BI48" s="54"/>
      <c r="BJ48" s="51">
        <f t="shared" ref="BJ48:BJ50" si="552">BF48*$BJ$44</f>
        <v>90.75000000000001</v>
      </c>
      <c r="BK48" s="51">
        <f t="shared" si="446"/>
        <v>20</v>
      </c>
      <c r="BL48" s="51">
        <f>BJ48*BK48</f>
        <v>1815.0000000000002</v>
      </c>
      <c r="BM48" s="54"/>
      <c r="BN48" s="51">
        <f t="shared" si="447"/>
        <v>90.75000000000001</v>
      </c>
      <c r="BO48" s="51">
        <f t="shared" si="448"/>
        <v>20</v>
      </c>
      <c r="BP48" s="51">
        <f>BN48*BO48</f>
        <v>1815.0000000000002</v>
      </c>
      <c r="BQ48" s="54"/>
      <c r="BR48" s="51">
        <f t="shared" si="449"/>
        <v>90.75000000000001</v>
      </c>
      <c r="BS48" s="51">
        <f t="shared" si="450"/>
        <v>20</v>
      </c>
      <c r="BT48" s="51">
        <f>BR48*BS48</f>
        <v>1815.0000000000002</v>
      </c>
      <c r="BU48" s="54"/>
      <c r="BV48" s="51">
        <f t="shared" si="451"/>
        <v>90.75000000000001</v>
      </c>
      <c r="BW48" s="51">
        <f t="shared" si="452"/>
        <v>20</v>
      </c>
      <c r="BX48" s="51">
        <f>BV48*BW48</f>
        <v>1815.0000000000002</v>
      </c>
      <c r="BY48" s="54"/>
      <c r="BZ48" s="51">
        <f t="shared" si="453"/>
        <v>90.75000000000001</v>
      </c>
      <c r="CA48" s="51">
        <f t="shared" si="454"/>
        <v>20</v>
      </c>
      <c r="CB48" s="51">
        <f>BZ48*CA48</f>
        <v>1815.0000000000002</v>
      </c>
      <c r="CC48" s="54"/>
      <c r="CD48" s="51">
        <f t="shared" si="455"/>
        <v>90.75000000000001</v>
      </c>
      <c r="CE48" s="51">
        <f t="shared" si="456"/>
        <v>20</v>
      </c>
      <c r="CF48" s="51">
        <f>CD48*CE48</f>
        <v>1815.0000000000002</v>
      </c>
      <c r="CG48" s="54"/>
      <c r="CH48" s="51">
        <f t="shared" si="457"/>
        <v>90.75000000000001</v>
      </c>
      <c r="CI48" s="51">
        <f t="shared" si="458"/>
        <v>20</v>
      </c>
      <c r="CJ48" s="51">
        <f>CH48*CI48</f>
        <v>1815.0000000000002</v>
      </c>
      <c r="CK48" s="54"/>
      <c r="CL48" s="51">
        <f t="shared" si="459"/>
        <v>90.75000000000001</v>
      </c>
      <c r="CM48" s="51">
        <f t="shared" si="460"/>
        <v>20</v>
      </c>
      <c r="CN48" s="51">
        <f>CL48*CM48</f>
        <v>1815.0000000000002</v>
      </c>
      <c r="CO48" s="54"/>
      <c r="CP48" s="51">
        <f t="shared" si="461"/>
        <v>90.75000000000001</v>
      </c>
      <c r="CQ48" s="51">
        <f t="shared" si="462"/>
        <v>20</v>
      </c>
      <c r="CR48" s="51">
        <f>CP48*CQ48</f>
        <v>1815.0000000000002</v>
      </c>
      <c r="CS48" s="54"/>
      <c r="CT48" s="51">
        <f t="shared" si="463"/>
        <v>90.75000000000001</v>
      </c>
      <c r="CU48" s="51">
        <f t="shared" si="464"/>
        <v>20</v>
      </c>
      <c r="CV48" s="51">
        <f>CT48*CU48</f>
        <v>1815.0000000000002</v>
      </c>
      <c r="CW48" s="54"/>
      <c r="CX48" s="51">
        <f t="shared" si="465"/>
        <v>90.75000000000001</v>
      </c>
      <c r="CY48" s="51">
        <f t="shared" si="466"/>
        <v>20</v>
      </c>
      <c r="CZ48" s="51">
        <f>CX48*CY48</f>
        <v>1815.0000000000002</v>
      </c>
      <c r="DA48" s="54"/>
      <c r="DB48" s="80">
        <f>BF48+BJ48+BN48+BR48+BV48+BZ48+CD48+CH48+CL48+CP48+CT48+CX48</f>
        <v>1089.0000000000002</v>
      </c>
      <c r="DC48" s="80">
        <f>(BG48+BK48+BO48+BS48+BW48+CA48+CE48+CI48+CM48+CQ48+CU48+CY48)/12</f>
        <v>20</v>
      </c>
      <c r="DD48" s="80">
        <f>BH48+BL48+BP48+BT48+BX48+CB48+CF48+CJ48+CN48+CR48+CV48+CZ48</f>
        <v>21780.000000000004</v>
      </c>
      <c r="DF48" s="51">
        <f t="shared" ref="DF48:DF50" si="553">CX48*$DF$44</f>
        <v>99.82500000000002</v>
      </c>
      <c r="DG48" s="51">
        <f t="shared" si="467"/>
        <v>20</v>
      </c>
      <c r="DH48" s="51">
        <f>DF48*DG48</f>
        <v>1996.5000000000005</v>
      </c>
      <c r="DI48" s="54"/>
      <c r="DJ48" s="51">
        <f t="shared" ref="DJ48:DJ50" si="554">DF48*$DJ$44</f>
        <v>99.82500000000002</v>
      </c>
      <c r="DK48" s="51">
        <f>DG48*$DK$44</f>
        <v>20</v>
      </c>
      <c r="DL48" s="51">
        <f>DJ48*DK48</f>
        <v>1996.5000000000005</v>
      </c>
      <c r="DM48" s="54"/>
      <c r="DN48" s="51">
        <f t="shared" si="469"/>
        <v>99.82500000000002</v>
      </c>
      <c r="DO48" s="51">
        <f t="shared" si="470"/>
        <v>20</v>
      </c>
      <c r="DP48" s="51">
        <f>DN48*DO48</f>
        <v>1996.5000000000005</v>
      </c>
      <c r="DQ48" s="54"/>
      <c r="DR48" s="51">
        <f t="shared" si="471"/>
        <v>99.82500000000002</v>
      </c>
      <c r="DS48" s="51">
        <f t="shared" si="472"/>
        <v>20</v>
      </c>
      <c r="DT48" s="51">
        <f>DR48*DS48</f>
        <v>1996.5000000000005</v>
      </c>
      <c r="DU48" s="54"/>
      <c r="DV48" s="51">
        <f t="shared" si="473"/>
        <v>99.82500000000002</v>
      </c>
      <c r="DW48" s="51">
        <f t="shared" si="474"/>
        <v>20</v>
      </c>
      <c r="DX48" s="51">
        <f>DV48*DW48</f>
        <v>1996.5000000000005</v>
      </c>
      <c r="DY48" s="54"/>
      <c r="DZ48" s="51">
        <f t="shared" si="475"/>
        <v>99.82500000000002</v>
      </c>
      <c r="EA48" s="51">
        <f t="shared" si="476"/>
        <v>20</v>
      </c>
      <c r="EB48" s="51">
        <f>DZ48*EA48</f>
        <v>1996.5000000000005</v>
      </c>
      <c r="EC48" s="54"/>
      <c r="ED48" s="51">
        <f t="shared" si="477"/>
        <v>99.82500000000002</v>
      </c>
      <c r="EE48" s="51">
        <f>EA48*$EE$44</f>
        <v>20</v>
      </c>
      <c r="EF48" s="51">
        <f>ED48*EE48</f>
        <v>1996.5000000000005</v>
      </c>
      <c r="EG48" s="54"/>
      <c r="EH48" s="51">
        <f t="shared" ref="EH48:EH50" si="555">ED48*$EH$44</f>
        <v>99.82500000000002</v>
      </c>
      <c r="EI48" s="51">
        <f t="shared" ref="EI48:EI50" si="556">EE48*$EI$44</f>
        <v>20</v>
      </c>
      <c r="EJ48" s="51">
        <f>EH48*EI48</f>
        <v>1996.5000000000005</v>
      </c>
      <c r="EK48" s="54"/>
      <c r="EL48" s="51">
        <f t="shared" si="478"/>
        <v>99.82500000000002</v>
      </c>
      <c r="EM48" s="51">
        <f t="shared" si="479"/>
        <v>20</v>
      </c>
      <c r="EN48" s="51">
        <f>EL48*EM48</f>
        <v>1996.5000000000005</v>
      </c>
      <c r="EO48" s="54"/>
      <c r="EP48" s="51">
        <f t="shared" si="480"/>
        <v>99.82500000000002</v>
      </c>
      <c r="EQ48" s="51">
        <f t="shared" si="481"/>
        <v>20</v>
      </c>
      <c r="ER48" s="51">
        <f>EP48*EQ48</f>
        <v>1996.5000000000005</v>
      </c>
      <c r="ES48" s="54"/>
      <c r="ET48" s="51">
        <f t="shared" si="482"/>
        <v>99.82500000000002</v>
      </c>
      <c r="EU48" s="51">
        <f t="shared" si="483"/>
        <v>20</v>
      </c>
      <c r="EV48" s="51">
        <f>ET48*EU48</f>
        <v>1996.5000000000005</v>
      </c>
      <c r="EW48" s="54"/>
      <c r="EX48" s="51">
        <f t="shared" si="484"/>
        <v>99.82500000000002</v>
      </c>
      <c r="EY48" s="51">
        <f t="shared" si="485"/>
        <v>20</v>
      </c>
      <c r="EZ48" s="51">
        <f>EX48*EY48</f>
        <v>1996.5000000000005</v>
      </c>
      <c r="FA48" s="54"/>
      <c r="FB48" s="80">
        <f>DF48+DJ48+DN48+DR48+DV48+DZ48+ED48+EH48+EL48+EP48+ET48+EX48</f>
        <v>1197.9000000000003</v>
      </c>
      <c r="FC48" s="80">
        <f>(DG48+DK48+DO48+DS48+DW48+EA48+EE48+EI48+EM48+EQ48+EU48+EY48)/12</f>
        <v>20</v>
      </c>
      <c r="FD48" s="80">
        <f>DH48+DL48+DP48+DT48+DX48+EB48+EF48+EJ48+EN48+ER48+EV48+EZ48</f>
        <v>23958.000000000004</v>
      </c>
      <c r="FF48" s="51">
        <f t="shared" si="486"/>
        <v>109.80750000000003</v>
      </c>
      <c r="FG48" s="51">
        <f t="shared" si="487"/>
        <v>20</v>
      </c>
      <c r="FH48" s="51">
        <f>FF48*FG48</f>
        <v>2196.1500000000005</v>
      </c>
      <c r="FI48" s="54"/>
      <c r="FJ48" s="51">
        <f t="shared" si="488"/>
        <v>109.80750000000003</v>
      </c>
      <c r="FK48" s="51">
        <f t="shared" si="489"/>
        <v>20</v>
      </c>
      <c r="FL48" s="51">
        <f>FJ48*FK48</f>
        <v>2196.1500000000005</v>
      </c>
      <c r="FM48" s="54"/>
      <c r="FN48" s="51">
        <f t="shared" si="490"/>
        <v>109.80750000000003</v>
      </c>
      <c r="FO48" s="51">
        <f t="shared" si="491"/>
        <v>20</v>
      </c>
      <c r="FP48" s="51">
        <f>FN48*FO48</f>
        <v>2196.1500000000005</v>
      </c>
      <c r="FQ48" s="54"/>
      <c r="FR48" s="51">
        <f t="shared" si="492"/>
        <v>109.80750000000003</v>
      </c>
      <c r="FS48" s="51">
        <f t="shared" si="493"/>
        <v>20</v>
      </c>
      <c r="FT48" s="51">
        <f>FR48*FS48</f>
        <v>2196.1500000000005</v>
      </c>
      <c r="FU48" s="54"/>
      <c r="FV48" s="51">
        <f>FR48*$FV$44</f>
        <v>109.80750000000003</v>
      </c>
      <c r="FW48" s="51">
        <f>FS48*$FW$44</f>
        <v>20</v>
      </c>
      <c r="FX48" s="51">
        <f>FV48*FW48</f>
        <v>2196.1500000000005</v>
      </c>
      <c r="FY48" s="54"/>
      <c r="FZ48" s="51">
        <f t="shared" si="495"/>
        <v>109.80750000000003</v>
      </c>
      <c r="GA48" s="51">
        <f>FW48*$GA$44</f>
        <v>20</v>
      </c>
      <c r="GB48" s="51">
        <f>FZ48*GA48</f>
        <v>2196.1500000000005</v>
      </c>
      <c r="GC48" s="54"/>
      <c r="GD48" s="51">
        <f t="shared" si="497"/>
        <v>109.80750000000003</v>
      </c>
      <c r="GE48" s="51">
        <f t="shared" si="498"/>
        <v>20</v>
      </c>
      <c r="GF48" s="51">
        <f>GD48*GE48</f>
        <v>2196.1500000000005</v>
      </c>
      <c r="GG48" s="54"/>
      <c r="GH48" s="51">
        <f>GD48*$GH$44</f>
        <v>109.80750000000003</v>
      </c>
      <c r="GI48" s="51">
        <f>GE48*$GI$44</f>
        <v>20</v>
      </c>
      <c r="GJ48" s="51">
        <f>GH48*GI48</f>
        <v>2196.1500000000005</v>
      </c>
      <c r="GK48" s="54"/>
      <c r="GL48" s="51">
        <f t="shared" si="500"/>
        <v>109.80750000000003</v>
      </c>
      <c r="GM48" s="51">
        <f>GI48*$GM$44</f>
        <v>20</v>
      </c>
      <c r="GN48" s="51">
        <f>GL48*GM48</f>
        <v>2196.1500000000005</v>
      </c>
      <c r="GO48" s="54"/>
      <c r="GP48" s="51">
        <f t="shared" si="501"/>
        <v>109.80750000000003</v>
      </c>
      <c r="GQ48" s="51">
        <f t="shared" si="502"/>
        <v>20</v>
      </c>
      <c r="GR48" s="51">
        <f>GP48*GQ48</f>
        <v>2196.1500000000005</v>
      </c>
      <c r="GS48" s="54"/>
      <c r="GT48" s="51">
        <f>GP48*$GT$44</f>
        <v>109.80750000000003</v>
      </c>
      <c r="GU48" s="51">
        <f>GQ48*$GU$44</f>
        <v>20</v>
      </c>
      <c r="GV48" s="51">
        <f>GT48*GU48</f>
        <v>2196.1500000000005</v>
      </c>
      <c r="GW48" s="54"/>
      <c r="GX48" s="51">
        <f t="shared" si="503"/>
        <v>109.80750000000003</v>
      </c>
      <c r="GY48" s="51">
        <f t="shared" si="504"/>
        <v>20</v>
      </c>
      <c r="GZ48" s="51">
        <f>GX48*GY48</f>
        <v>2196.1500000000005</v>
      </c>
      <c r="HB48" s="80">
        <f>FF48+FJ48+FN48+FR48+FV48+FZ48+GD48+GH48+GL48+GP48+GT48+GX48</f>
        <v>1317.6900000000005</v>
      </c>
      <c r="HC48" s="80">
        <f>(FG48+FK48+FO48+FS48+FW48+GA48+GE48+GI48+GM48+GQ48+GU48+GY48)/12</f>
        <v>20</v>
      </c>
      <c r="HD48" s="80">
        <f>FH48+FL48+FP48+FT48+FX48+GB48+GF48+GJ48+GN48+GR48+GV48+GZ48</f>
        <v>26353.800000000014</v>
      </c>
      <c r="HF48" s="51">
        <f t="shared" si="505"/>
        <v>120.78825000000005</v>
      </c>
      <c r="HG48" s="51">
        <f t="shared" ref="HG48:HG50" si="557">GY48*$HG$44</f>
        <v>20</v>
      </c>
      <c r="HH48" s="51">
        <f>HF48*HG48</f>
        <v>2415.765000000001</v>
      </c>
      <c r="HI48" s="54"/>
      <c r="HJ48" s="51">
        <f t="shared" si="506"/>
        <v>120.78825000000005</v>
      </c>
      <c r="HK48" s="51">
        <f t="shared" si="507"/>
        <v>20</v>
      </c>
      <c r="HL48" s="51">
        <f>HJ48*HK48</f>
        <v>2415.765000000001</v>
      </c>
      <c r="HM48" s="54"/>
      <c r="HN48" s="51">
        <f t="shared" si="508"/>
        <v>120.78825000000005</v>
      </c>
      <c r="HO48" s="51">
        <f t="shared" si="509"/>
        <v>20</v>
      </c>
      <c r="HP48" s="51">
        <f>HN48*HO48</f>
        <v>2415.765000000001</v>
      </c>
      <c r="HQ48" s="54"/>
      <c r="HR48" s="51">
        <f t="shared" si="510"/>
        <v>120.78825000000005</v>
      </c>
      <c r="HS48" s="51">
        <f t="shared" si="511"/>
        <v>20</v>
      </c>
      <c r="HT48" s="51">
        <f>HR48*HS48</f>
        <v>2415.765000000001</v>
      </c>
      <c r="HU48" s="54"/>
      <c r="HV48" s="51">
        <f t="shared" si="512"/>
        <v>120.78825000000005</v>
      </c>
      <c r="HW48" s="51">
        <f t="shared" si="513"/>
        <v>20</v>
      </c>
      <c r="HX48" s="51">
        <f>HV48*HW48</f>
        <v>2415.765000000001</v>
      </c>
      <c r="HY48" s="54"/>
      <c r="HZ48" s="51">
        <f t="shared" si="514"/>
        <v>120.78825000000005</v>
      </c>
      <c r="IA48" s="51">
        <f t="shared" si="515"/>
        <v>20</v>
      </c>
      <c r="IB48" s="51">
        <f>HZ48*IA48</f>
        <v>2415.765000000001</v>
      </c>
      <c r="IC48" s="54"/>
      <c r="ID48" s="51">
        <f t="shared" si="516"/>
        <v>120.78825000000005</v>
      </c>
      <c r="IE48" s="51">
        <f t="shared" si="517"/>
        <v>20</v>
      </c>
      <c r="IF48" s="51">
        <f>ID48*IE48</f>
        <v>2415.765000000001</v>
      </c>
      <c r="IG48" s="54"/>
      <c r="IH48" s="51">
        <f t="shared" si="518"/>
        <v>120.78825000000005</v>
      </c>
      <c r="II48" s="51">
        <f t="shared" si="519"/>
        <v>20</v>
      </c>
      <c r="IJ48" s="51">
        <f>IH48*II48</f>
        <v>2415.765000000001</v>
      </c>
      <c r="IK48" s="54"/>
      <c r="IL48" s="51">
        <f t="shared" si="520"/>
        <v>120.78825000000005</v>
      </c>
      <c r="IM48" s="51">
        <f t="shared" si="521"/>
        <v>20</v>
      </c>
      <c r="IN48" s="51">
        <f>IL48*IM48</f>
        <v>2415.765000000001</v>
      </c>
      <c r="IO48" s="54"/>
      <c r="IP48" s="51">
        <f t="shared" si="522"/>
        <v>120.78825000000005</v>
      </c>
      <c r="IQ48" s="51">
        <f t="shared" si="523"/>
        <v>20</v>
      </c>
      <c r="IR48" s="51">
        <f>IP48*IQ48</f>
        <v>2415.765000000001</v>
      </c>
      <c r="IS48" s="54"/>
      <c r="IT48" s="51">
        <f t="shared" si="524"/>
        <v>120.78825000000005</v>
      </c>
      <c r="IU48" s="51">
        <f t="shared" si="525"/>
        <v>20</v>
      </c>
      <c r="IV48" s="51">
        <f>IT48*IU48</f>
        <v>2415.765000000001</v>
      </c>
      <c r="IW48" s="54"/>
      <c r="IX48" s="51">
        <f t="shared" si="526"/>
        <v>120.78825000000005</v>
      </c>
      <c r="IY48" s="51">
        <f t="shared" si="527"/>
        <v>20</v>
      </c>
      <c r="IZ48" s="51">
        <f>IX48*IY48</f>
        <v>2415.765000000001</v>
      </c>
      <c r="JB48" s="80">
        <f>HF48+HJ48+HN48+HR48+HV48+HZ48+ID48+IH48+IL48+IP48+IT48+IX48</f>
        <v>1449.4590000000005</v>
      </c>
      <c r="JC48" s="80">
        <f>(HG48+HK48+HO48+HS48+HW48+IA48+IE48+II48+IM48+IQ48+IU48+IY48)/12</f>
        <v>20</v>
      </c>
      <c r="JD48" s="80">
        <f>HH48+HL48+HP48+HT48+HX48+IB48+IF48+IJ48+IN48+IR48+IV48+IZ48</f>
        <v>28989.180000000004</v>
      </c>
      <c r="JF48" s="51">
        <f t="shared" si="528"/>
        <v>132.86707500000006</v>
      </c>
      <c r="JG48" s="51">
        <f t="shared" si="529"/>
        <v>20</v>
      </c>
      <c r="JH48" s="51">
        <f>JF48*JG48</f>
        <v>2657.3415000000014</v>
      </c>
      <c r="JI48" s="54"/>
      <c r="JJ48" s="51">
        <f t="shared" si="530"/>
        <v>132.86707500000006</v>
      </c>
      <c r="JK48" s="51">
        <f t="shared" si="531"/>
        <v>20</v>
      </c>
      <c r="JL48" s="51">
        <f>JJ48*JK48</f>
        <v>2657.3415000000014</v>
      </c>
      <c r="JM48" s="54"/>
      <c r="JN48" s="51">
        <f t="shared" si="532"/>
        <v>132.86707500000006</v>
      </c>
      <c r="JO48" s="51">
        <f t="shared" si="533"/>
        <v>20</v>
      </c>
      <c r="JP48" s="51">
        <f>JN48*JO48</f>
        <v>2657.3415000000014</v>
      </c>
      <c r="JQ48" s="54"/>
      <c r="JR48" s="51">
        <f t="shared" si="534"/>
        <v>132.86707500000006</v>
      </c>
      <c r="JS48" s="51">
        <f t="shared" si="535"/>
        <v>20</v>
      </c>
      <c r="JT48" s="51">
        <f>JR48*JS48</f>
        <v>2657.3415000000014</v>
      </c>
      <c r="JU48" s="54"/>
      <c r="JV48" s="51">
        <f t="shared" si="536"/>
        <v>132.86707500000006</v>
      </c>
      <c r="JW48" s="51">
        <f t="shared" si="537"/>
        <v>20</v>
      </c>
      <c r="JX48" s="51">
        <f>JV48*JW48</f>
        <v>2657.3415000000014</v>
      </c>
      <c r="JY48" s="54"/>
      <c r="JZ48" s="51">
        <f t="shared" si="538"/>
        <v>132.86707500000006</v>
      </c>
      <c r="KA48" s="51">
        <f t="shared" si="539"/>
        <v>20</v>
      </c>
      <c r="KB48" s="51">
        <f>JZ48*KA48</f>
        <v>2657.3415000000014</v>
      </c>
      <c r="KC48" s="54"/>
      <c r="KD48" s="51">
        <f t="shared" si="540"/>
        <v>132.86707500000006</v>
      </c>
      <c r="KE48" s="51">
        <f t="shared" si="541"/>
        <v>20</v>
      </c>
      <c r="KF48" s="51">
        <f>KD48*KE48</f>
        <v>2657.3415000000014</v>
      </c>
      <c r="KG48" s="54"/>
      <c r="KH48" s="51">
        <f t="shared" si="542"/>
        <v>132.86707500000006</v>
      </c>
      <c r="KI48" s="51">
        <f t="shared" si="543"/>
        <v>20</v>
      </c>
      <c r="KJ48" s="51">
        <f>KH48*KI48</f>
        <v>2657.3415000000014</v>
      </c>
      <c r="KK48" s="54"/>
      <c r="KL48" s="51">
        <f t="shared" si="544"/>
        <v>132.86707500000006</v>
      </c>
      <c r="KM48" s="51">
        <f t="shared" si="545"/>
        <v>20</v>
      </c>
      <c r="KN48" s="51">
        <f>KL48*KM48</f>
        <v>2657.3415000000014</v>
      </c>
      <c r="KO48" s="54"/>
      <c r="KP48" s="51">
        <f t="shared" si="546"/>
        <v>132.86707500000006</v>
      </c>
      <c r="KQ48" s="51">
        <f t="shared" si="547"/>
        <v>20</v>
      </c>
      <c r="KR48" s="51">
        <f>KP48*KQ48</f>
        <v>2657.3415000000014</v>
      </c>
      <c r="KS48" s="54"/>
      <c r="KT48" s="51">
        <f t="shared" si="548"/>
        <v>132.86707500000006</v>
      </c>
      <c r="KU48" s="51">
        <f t="shared" si="549"/>
        <v>20</v>
      </c>
      <c r="KV48" s="51">
        <f>KT48*KU48</f>
        <v>2657.3415000000014</v>
      </c>
      <c r="KW48" s="54"/>
      <c r="KX48" s="51">
        <f t="shared" si="550"/>
        <v>132.86707500000006</v>
      </c>
      <c r="KY48" s="51">
        <f t="shared" si="551"/>
        <v>20</v>
      </c>
      <c r="KZ48" s="51">
        <f>KX48*KY48</f>
        <v>2657.3415000000014</v>
      </c>
      <c r="LB48" s="80">
        <f>JF48+JJ48+JN48+JR48+JV48+JZ48+KD48+KH48+KL48+KP48+KT48+KX48</f>
        <v>1594.4049000000011</v>
      </c>
      <c r="LC48" s="80">
        <f>(JG48+JK48+JO48+JS48+JW48+KA48+KE48+KI48+KM48+KQ48+KU48+KY48)/12</f>
        <v>20</v>
      </c>
      <c r="LD48" s="80">
        <f>JH48+JL48+JP48+JT48+JX48+KB48+KF48+KJ48+KN48+KR48+KV48+KZ48</f>
        <v>31888.098000000024</v>
      </c>
    </row>
    <row r="49" ht="18.75" customHeight="1" spans="2:316" x14ac:dyDescent="0.25">
      <c r="B49" s="5" t="s">
        <v>78</v>
      </c>
      <c r="C49" s="27"/>
      <c r="D49" s="29">
        <f>'A.I Revenue Streams - P1'!E49</f>
        <v>0</v>
      </c>
      <c r="E49" s="30"/>
      <c r="F49" s="51">
        <f>'A.I Revenue Streams - P2'!G49*25</f>
        <v>50</v>
      </c>
      <c r="G49" s="51">
        <f>'A.I Revenue Streams - P2'!I49</f>
        <v>20</v>
      </c>
      <c r="H49" s="51">
        <f>F49*G49</f>
        <v>1000</v>
      </c>
      <c r="I49" s="54"/>
      <c r="J49" s="51">
        <f>F49*$J$44</f>
        <v>55.00000000000001</v>
      </c>
      <c r="K49" s="51">
        <f>G49*$K$44</f>
        <v>20</v>
      </c>
      <c r="L49" s="51">
        <f>J49*K49</f>
        <v>1100.0000000000002</v>
      </c>
      <c r="M49" s="54"/>
      <c r="N49" s="51">
        <f>J49*$N$44</f>
        <v>55.00000000000001</v>
      </c>
      <c r="O49" s="51">
        <f>K49*$O$44</f>
        <v>20</v>
      </c>
      <c r="P49" s="51">
        <f>N49*O49</f>
        <v>1100.0000000000002</v>
      </c>
      <c r="Q49" s="54"/>
      <c r="R49" s="51">
        <f>N49*$R$44</f>
        <v>55.00000000000001</v>
      </c>
      <c r="S49" s="51">
        <f>O49*$S$44</f>
        <v>20</v>
      </c>
      <c r="T49" s="51">
        <f>R49*S49</f>
        <v>1100.0000000000002</v>
      </c>
      <c r="U49" s="54"/>
      <c r="V49" s="51">
        <f>R49*$V$44</f>
        <v>55.00000000000001</v>
      </c>
      <c r="W49" s="51">
        <f>S49*$W$44</f>
        <v>20</v>
      </c>
      <c r="X49" s="51">
        <f>V49*W49</f>
        <v>1100.0000000000002</v>
      </c>
      <c r="Y49" s="54"/>
      <c r="Z49" s="51">
        <f>V49*$Z$44</f>
        <v>55.00000000000001</v>
      </c>
      <c r="AA49" s="51">
        <f>W49*$AA$44</f>
        <v>20</v>
      </c>
      <c r="AB49" s="51">
        <f>Z49*AA49</f>
        <v>1100.0000000000002</v>
      </c>
      <c r="AC49" s="54"/>
      <c r="AD49" s="51">
        <f>Z49*$AD$44</f>
        <v>55.00000000000001</v>
      </c>
      <c r="AE49" s="51">
        <f>AA49*$AE$44</f>
        <v>20</v>
      </c>
      <c r="AF49" s="51">
        <f>AD49*AE49</f>
        <v>1100.0000000000002</v>
      </c>
      <c r="AG49" s="54"/>
      <c r="AH49" s="51">
        <f>AD49*$AH$44</f>
        <v>55.00000000000001</v>
      </c>
      <c r="AI49" s="51">
        <f>AE49*$AI$44</f>
        <v>20</v>
      </c>
      <c r="AJ49" s="51">
        <f>AH49*AI49</f>
        <v>1100.0000000000002</v>
      </c>
      <c r="AK49" s="54"/>
      <c r="AL49" s="51">
        <f>AH49*$AL$44</f>
        <v>55.00000000000001</v>
      </c>
      <c r="AM49" s="51">
        <f>AI49*$AM$44</f>
        <v>20</v>
      </c>
      <c r="AN49" s="51">
        <f>AL49*AM49</f>
        <v>1100.0000000000002</v>
      </c>
      <c r="AO49" s="54"/>
      <c r="AP49" s="51">
        <f t="shared" si="437"/>
        <v>55.00000000000001</v>
      </c>
      <c r="AQ49" s="51">
        <f t="shared" si="438"/>
        <v>20</v>
      </c>
      <c r="AR49" s="51">
        <f t="shared" si="439"/>
        <v>1100.0000000000002</v>
      </c>
      <c r="AS49" s="54"/>
      <c r="AT49" s="51">
        <f t="shared" si="440"/>
        <v>55.00000000000001</v>
      </c>
      <c r="AU49" s="51">
        <f t="shared" si="441"/>
        <v>20</v>
      </c>
      <c r="AV49" s="51">
        <f t="shared" si="442"/>
        <v>1100.0000000000002</v>
      </c>
      <c r="AW49" s="54"/>
      <c r="AX49" s="51">
        <f t="shared" si="443"/>
        <v>55.00000000000001</v>
      </c>
      <c r="AY49" s="51">
        <f t="shared" si="444"/>
        <v>20</v>
      </c>
      <c r="AZ49" s="51">
        <f t="shared" si="445"/>
        <v>1100.0000000000002</v>
      </c>
      <c r="BA49" s="54"/>
      <c r="BB49" s="85">
        <f>SUMIF($F$6:$AZ$6,$BB$6,F49:AZ49)</f>
        <v>655</v>
      </c>
      <c r="BC49" s="85">
        <f>SUMIF($F$6:$AZ$6,$BC$6,F49:AZ49)/12</f>
        <v>20</v>
      </c>
      <c r="BD49" s="80">
        <f>H49+L49+P49+T49+X49+AB49+AF49+AJ49+AN49</f>
        <v>9800</v>
      </c>
      <c r="BE49" t="b">
        <f>(BB49*BC49)=BD49</f>
        <v>0</v>
      </c>
      <c r="BF49" s="51">
        <f>AX49*$BF$44</f>
        <v>60.500000000000014</v>
      </c>
      <c r="BG49" s="51">
        <f>AY49*$BG$44</f>
        <v>20</v>
      </c>
      <c r="BH49" s="51">
        <f>BF49*BG49</f>
        <v>1210.0000000000002</v>
      </c>
      <c r="BI49" s="54"/>
      <c r="BJ49" s="51">
        <f t="shared" si="552"/>
        <v>60.500000000000014</v>
      </c>
      <c r="BK49" s="51">
        <f>BG49*$BK$44</f>
        <v>20</v>
      </c>
      <c r="BL49" s="51">
        <f>BJ49*BK49</f>
        <v>1210.0000000000002</v>
      </c>
      <c r="BM49" s="54"/>
      <c r="BN49" s="51">
        <f t="shared" si="447"/>
        <v>60.500000000000014</v>
      </c>
      <c r="BO49" s="51">
        <f t="shared" si="448"/>
        <v>20</v>
      </c>
      <c r="BP49" s="51">
        <f>BN49*BO49</f>
        <v>1210.0000000000002</v>
      </c>
      <c r="BQ49" s="54"/>
      <c r="BR49" s="51">
        <f t="shared" si="449"/>
        <v>60.500000000000014</v>
      </c>
      <c r="BS49" s="51">
        <f t="shared" si="450"/>
        <v>20</v>
      </c>
      <c r="BT49" s="51">
        <f>BR49*BS49</f>
        <v>1210.0000000000002</v>
      </c>
      <c r="BU49" s="54"/>
      <c r="BV49" s="51">
        <f t="shared" si="451"/>
        <v>60.500000000000014</v>
      </c>
      <c r="BW49" s="51">
        <f t="shared" si="452"/>
        <v>20</v>
      </c>
      <c r="BX49" s="51">
        <f>BV49*BW49</f>
        <v>1210.0000000000002</v>
      </c>
      <c r="BY49" s="54"/>
      <c r="BZ49" s="51">
        <f t="shared" si="453"/>
        <v>60.500000000000014</v>
      </c>
      <c r="CA49" s="51">
        <f t="shared" si="454"/>
        <v>20</v>
      </c>
      <c r="CB49" s="51">
        <f>BZ49*CA49</f>
        <v>1210.0000000000002</v>
      </c>
      <c r="CC49" s="54"/>
      <c r="CD49" s="51">
        <f t="shared" si="455"/>
        <v>60.500000000000014</v>
      </c>
      <c r="CE49" s="51">
        <f t="shared" si="456"/>
        <v>20</v>
      </c>
      <c r="CF49" s="51">
        <f>CD49*CE49</f>
        <v>1210.0000000000002</v>
      </c>
      <c r="CG49" s="54"/>
      <c r="CH49" s="51">
        <f t="shared" si="457"/>
        <v>60.500000000000014</v>
      </c>
      <c r="CI49" s="51">
        <f t="shared" si="458"/>
        <v>20</v>
      </c>
      <c r="CJ49" s="51">
        <f>CH49*CI49</f>
        <v>1210.0000000000002</v>
      </c>
      <c r="CK49" s="54"/>
      <c r="CL49" s="51">
        <f t="shared" si="459"/>
        <v>60.500000000000014</v>
      </c>
      <c r="CM49" s="51">
        <f t="shared" si="460"/>
        <v>20</v>
      </c>
      <c r="CN49" s="51">
        <f>CL49*CM49</f>
        <v>1210.0000000000002</v>
      </c>
      <c r="CO49" s="54"/>
      <c r="CP49" s="51">
        <f t="shared" si="461"/>
        <v>60.500000000000014</v>
      </c>
      <c r="CQ49" s="51">
        <f t="shared" si="462"/>
        <v>20</v>
      </c>
      <c r="CR49" s="51">
        <f>CP49*CQ49</f>
        <v>1210.0000000000002</v>
      </c>
      <c r="CS49" s="54"/>
      <c r="CT49" s="51">
        <f t="shared" si="463"/>
        <v>60.500000000000014</v>
      </c>
      <c r="CU49" s="51">
        <f t="shared" si="464"/>
        <v>20</v>
      </c>
      <c r="CV49" s="51">
        <f>CT49*CU49</f>
        <v>1210.0000000000002</v>
      </c>
      <c r="CW49" s="54"/>
      <c r="CX49" s="51">
        <f t="shared" si="465"/>
        <v>60.500000000000014</v>
      </c>
      <c r="CY49" s="51">
        <f t="shared" si="466"/>
        <v>20</v>
      </c>
      <c r="CZ49" s="51">
        <f>CX49*CY49</f>
        <v>1210.0000000000002</v>
      </c>
      <c r="DA49" s="54"/>
      <c r="DB49" s="80">
        <f>BF49+BJ49+BN49+BR49+BV49+BZ49+CD49+CH49+CL49+CP49+CT49+CX49</f>
        <v>726.0000000000001</v>
      </c>
      <c r="DC49" s="80">
        <f>(BG49+BK49+BO49+BS49+BW49+CA49+CE49+CI49+CM49+CQ49+CU49+CY49)/12</f>
        <v>20</v>
      </c>
      <c r="DD49" s="80">
        <f>BH49+BL49+BP49+BT49+BX49+CB49+CF49+CJ49+CN49+CR49+CV49+CZ49</f>
        <v>14520.000000000002</v>
      </c>
      <c r="DF49" s="51">
        <f t="shared" si="553"/>
        <v>66.55000000000003</v>
      </c>
      <c r="DG49" s="51">
        <f t="shared" si="467"/>
        <v>20</v>
      </c>
      <c r="DH49" s="51">
        <f>DF49*DG49</f>
        <v>1331.0000000000005</v>
      </c>
      <c r="DI49" s="54"/>
      <c r="DJ49" s="51">
        <f t="shared" si="554"/>
        <v>66.55000000000003</v>
      </c>
      <c r="DK49" s="51">
        <f>DG49*$DK$44</f>
        <v>20</v>
      </c>
      <c r="DL49" s="51">
        <f>DJ49*DK49</f>
        <v>1331.0000000000005</v>
      </c>
      <c r="DM49" s="54"/>
      <c r="DN49" s="51">
        <f t="shared" si="469"/>
        <v>66.55000000000003</v>
      </c>
      <c r="DO49" s="51">
        <f t="shared" si="470"/>
        <v>20</v>
      </c>
      <c r="DP49" s="51">
        <f>DN49*DO49</f>
        <v>1331.0000000000005</v>
      </c>
      <c r="DQ49" s="54"/>
      <c r="DR49" s="51">
        <f t="shared" si="471"/>
        <v>66.55000000000003</v>
      </c>
      <c r="DS49" s="51">
        <f t="shared" si="472"/>
        <v>20</v>
      </c>
      <c r="DT49" s="51">
        <f>DR49*DS49</f>
        <v>1331.0000000000005</v>
      </c>
      <c r="DU49" s="54"/>
      <c r="DV49" s="51">
        <f t="shared" si="473"/>
        <v>66.55000000000003</v>
      </c>
      <c r="DW49" s="51">
        <f t="shared" si="474"/>
        <v>20</v>
      </c>
      <c r="DX49" s="51">
        <f>DV49*DW49</f>
        <v>1331.0000000000005</v>
      </c>
      <c r="DY49" s="54"/>
      <c r="DZ49" s="51">
        <f t="shared" si="475"/>
        <v>66.55000000000003</v>
      </c>
      <c r="EA49" s="51">
        <f t="shared" si="476"/>
        <v>20</v>
      </c>
      <c r="EB49" s="51">
        <f>DZ49*EA49</f>
        <v>1331.0000000000005</v>
      </c>
      <c r="EC49" s="54"/>
      <c r="ED49" s="51">
        <f t="shared" si="477"/>
        <v>66.55000000000003</v>
      </c>
      <c r="EE49" s="51">
        <f>EA49*$EE$44</f>
        <v>20</v>
      </c>
      <c r="EF49" s="51">
        <f>ED49*EE49</f>
        <v>1331.0000000000005</v>
      </c>
      <c r="EG49" s="54"/>
      <c r="EH49" s="51">
        <f t="shared" si="555"/>
        <v>66.55000000000003</v>
      </c>
      <c r="EI49" s="51">
        <f t="shared" si="556"/>
        <v>20</v>
      </c>
      <c r="EJ49" s="51">
        <f>EH49*EI49</f>
        <v>1331.0000000000005</v>
      </c>
      <c r="EK49" s="54"/>
      <c r="EL49" s="51">
        <f t="shared" si="478"/>
        <v>66.55000000000003</v>
      </c>
      <c r="EM49" s="51">
        <f t="shared" si="479"/>
        <v>20</v>
      </c>
      <c r="EN49" s="51">
        <f>EL49*EM49</f>
        <v>1331.0000000000005</v>
      </c>
      <c r="EO49" s="54"/>
      <c r="EP49" s="51">
        <f t="shared" si="480"/>
        <v>66.55000000000003</v>
      </c>
      <c r="EQ49" s="51">
        <f t="shared" si="481"/>
        <v>20</v>
      </c>
      <c r="ER49" s="51">
        <f>EP49*EQ49</f>
        <v>1331.0000000000005</v>
      </c>
      <c r="ES49" s="54"/>
      <c r="ET49" s="51">
        <f t="shared" si="482"/>
        <v>66.55000000000003</v>
      </c>
      <c r="EU49" s="51">
        <f t="shared" si="483"/>
        <v>20</v>
      </c>
      <c r="EV49" s="51">
        <f>ET49*EU49</f>
        <v>1331.0000000000005</v>
      </c>
      <c r="EW49" s="54"/>
      <c r="EX49" s="51">
        <f t="shared" si="484"/>
        <v>66.55000000000003</v>
      </c>
      <c r="EY49" s="51">
        <f t="shared" si="485"/>
        <v>20</v>
      </c>
      <c r="EZ49" s="51">
        <f>EX49*EY49</f>
        <v>1331.0000000000005</v>
      </c>
      <c r="FA49" s="54"/>
      <c r="FB49" s="80">
        <f>DF49+DJ49+DN49+DR49+DV49+DZ49+ED49+EH49+EL49+EP49+ET49+EX49</f>
        <v>798.6000000000005</v>
      </c>
      <c r="FC49" s="80">
        <f>(DG49+DK49+DO49+DS49+DW49+EA49+EE49+EI49+EM49+EQ49+EU49+EY49)/12</f>
        <v>20</v>
      </c>
      <c r="FD49" s="80">
        <f>DH49+DL49+DP49+DT49+DX49+EB49+EF49+EJ49+EN49+ER49+EV49+EZ49</f>
        <v>15972.000000000002</v>
      </c>
      <c r="FF49" s="51">
        <f t="shared" si="486"/>
        <v>73.20500000000004</v>
      </c>
      <c r="FG49" s="51">
        <f t="shared" si="487"/>
        <v>20</v>
      </c>
      <c r="FH49" s="51">
        <f>FF49*FG49</f>
        <v>1464.1000000000008</v>
      </c>
      <c r="FI49" s="54"/>
      <c r="FJ49" s="51">
        <f t="shared" si="488"/>
        <v>73.20500000000004</v>
      </c>
      <c r="FK49" s="51">
        <f t="shared" si="489"/>
        <v>20</v>
      </c>
      <c r="FL49" s="51">
        <f>FJ49*FK49</f>
        <v>1464.1000000000008</v>
      </c>
      <c r="FM49" s="54"/>
      <c r="FN49" s="51">
        <f t="shared" si="490"/>
        <v>73.20500000000004</v>
      </c>
      <c r="FO49" s="51">
        <f t="shared" si="491"/>
        <v>20</v>
      </c>
      <c r="FP49" s="51">
        <f>FN49*FO49</f>
        <v>1464.1000000000008</v>
      </c>
      <c r="FQ49" s="54"/>
      <c r="FR49" s="51">
        <f t="shared" si="492"/>
        <v>73.20500000000004</v>
      </c>
      <c r="FS49" s="51">
        <f t="shared" si="493"/>
        <v>20</v>
      </c>
      <c r="FT49" s="51">
        <f>FR49*FS49</f>
        <v>1464.1000000000008</v>
      </c>
      <c r="FU49" s="54"/>
      <c r="FV49" s="51">
        <f>FR49*$FV$44</f>
        <v>73.20500000000004</v>
      </c>
      <c r="FW49" s="51">
        <f>FS49*$FW$44</f>
        <v>20</v>
      </c>
      <c r="FX49" s="51">
        <f>FV49*FW49</f>
        <v>1464.1000000000008</v>
      </c>
      <c r="FY49" s="54"/>
      <c r="FZ49" s="51">
        <f t="shared" si="495"/>
        <v>73.20500000000004</v>
      </c>
      <c r="GA49" s="51">
        <f>FW49*$GA$44</f>
        <v>20</v>
      </c>
      <c r="GB49" s="51">
        <f>FZ49*GA49</f>
        <v>1464.1000000000008</v>
      </c>
      <c r="GC49" s="54"/>
      <c r="GD49" s="51">
        <f t="shared" si="497"/>
        <v>73.20500000000004</v>
      </c>
      <c r="GE49" s="51">
        <f t="shared" si="498"/>
        <v>20</v>
      </c>
      <c r="GF49" s="51">
        <f>GD49*GE49</f>
        <v>1464.1000000000008</v>
      </c>
      <c r="GG49" s="54"/>
      <c r="GH49" s="51">
        <f>GD49*$GH$44</f>
        <v>73.20500000000004</v>
      </c>
      <c r="GI49" s="51">
        <f>GE49*$GI$44</f>
        <v>20</v>
      </c>
      <c r="GJ49" s="51">
        <f>GH49*GI49</f>
        <v>1464.1000000000008</v>
      </c>
      <c r="GK49" s="54"/>
      <c r="GL49" s="51">
        <f t="shared" si="500"/>
        <v>73.20500000000004</v>
      </c>
      <c r="GM49" s="51">
        <f>GI49*$GM$44</f>
        <v>20</v>
      </c>
      <c r="GN49" s="51">
        <f>GL49*GM49</f>
        <v>1464.1000000000008</v>
      </c>
      <c r="GO49" s="54"/>
      <c r="GP49" s="51">
        <f t="shared" si="501"/>
        <v>73.20500000000004</v>
      </c>
      <c r="GQ49" s="51">
        <f t="shared" si="502"/>
        <v>20</v>
      </c>
      <c r="GR49" s="51">
        <f>GP49*GQ49</f>
        <v>1464.1000000000008</v>
      </c>
      <c r="GS49" s="54"/>
      <c r="GT49" s="51">
        <f>GP49*$GT$44</f>
        <v>73.20500000000004</v>
      </c>
      <c r="GU49" s="51">
        <f>GQ49*$GU$44</f>
        <v>20</v>
      </c>
      <c r="GV49" s="51">
        <f>GT49*GU49</f>
        <v>1464.1000000000008</v>
      </c>
      <c r="GW49" s="54"/>
      <c r="GX49" s="51">
        <f t="shared" si="503"/>
        <v>73.20500000000004</v>
      </c>
      <c r="GY49" s="51">
        <f t="shared" si="504"/>
        <v>20</v>
      </c>
      <c r="GZ49" s="51">
        <f>GX49*GY49</f>
        <v>1464.1000000000008</v>
      </c>
      <c r="HB49" s="80">
        <f>FF49+FJ49+FN49+FR49+FV49+FZ49+GD49+GH49+GL49+GP49+GT49+GX49</f>
        <v>878.4600000000005</v>
      </c>
      <c r="HC49" s="80">
        <f>(FG49+FK49+FO49+FS49+FW49+GA49+GE49+GI49+GM49+GQ49+GU49+GY49)/12</f>
        <v>20</v>
      </c>
      <c r="HD49" s="80">
        <f>FH49+FL49+FP49+FT49+FX49+GB49+GF49+GJ49+GN49+GR49+GV49+GZ49</f>
        <v>17569.200000000008</v>
      </c>
      <c r="HF49" s="51">
        <f t="shared" si="505"/>
        <v>80.52550000000005</v>
      </c>
      <c r="HG49" s="51">
        <f t="shared" si="557"/>
        <v>20</v>
      </c>
      <c r="HH49" s="51">
        <f>HF49*HG49</f>
        <v>1610.5100000000011</v>
      </c>
      <c r="HI49" s="54"/>
      <c r="HJ49" s="51">
        <f t="shared" si="506"/>
        <v>80.52550000000005</v>
      </c>
      <c r="HK49" s="51">
        <f t="shared" si="507"/>
        <v>20</v>
      </c>
      <c r="HL49" s="51">
        <f>HJ49*HK49</f>
        <v>1610.5100000000011</v>
      </c>
      <c r="HM49" s="54"/>
      <c r="HN49" s="51">
        <f t="shared" si="508"/>
        <v>80.52550000000005</v>
      </c>
      <c r="HO49" s="51">
        <f t="shared" si="509"/>
        <v>20</v>
      </c>
      <c r="HP49" s="51">
        <f>HN49*HO49</f>
        <v>1610.5100000000011</v>
      </c>
      <c r="HQ49" s="54"/>
      <c r="HR49" s="51">
        <f t="shared" si="510"/>
        <v>80.52550000000005</v>
      </c>
      <c r="HS49" s="51">
        <f t="shared" si="511"/>
        <v>20</v>
      </c>
      <c r="HT49" s="51">
        <f>HR49*HS49</f>
        <v>1610.5100000000011</v>
      </c>
      <c r="HU49" s="54"/>
      <c r="HV49" s="51">
        <f t="shared" si="512"/>
        <v>80.52550000000005</v>
      </c>
      <c r="HW49" s="51">
        <f t="shared" si="513"/>
        <v>20</v>
      </c>
      <c r="HX49" s="51">
        <f>HV49*HW49</f>
        <v>1610.5100000000011</v>
      </c>
      <c r="HY49" s="54"/>
      <c r="HZ49" s="51">
        <f t="shared" si="514"/>
        <v>80.52550000000005</v>
      </c>
      <c r="IA49" s="51">
        <f t="shared" si="515"/>
        <v>20</v>
      </c>
      <c r="IB49" s="51">
        <f>HZ49*IA49</f>
        <v>1610.5100000000011</v>
      </c>
      <c r="IC49" s="54"/>
      <c r="ID49" s="51">
        <f t="shared" si="516"/>
        <v>80.52550000000005</v>
      </c>
      <c r="IE49" s="51">
        <f t="shared" si="517"/>
        <v>20</v>
      </c>
      <c r="IF49" s="51">
        <f>ID49*IE49</f>
        <v>1610.5100000000011</v>
      </c>
      <c r="IG49" s="54"/>
      <c r="IH49" s="51">
        <f t="shared" si="518"/>
        <v>80.52550000000005</v>
      </c>
      <c r="II49" s="51">
        <f t="shared" si="519"/>
        <v>20</v>
      </c>
      <c r="IJ49" s="51">
        <f>IH49*II49</f>
        <v>1610.5100000000011</v>
      </c>
      <c r="IK49" s="54"/>
      <c r="IL49" s="51">
        <f t="shared" si="520"/>
        <v>80.52550000000005</v>
      </c>
      <c r="IM49" s="51">
        <f t="shared" si="521"/>
        <v>20</v>
      </c>
      <c r="IN49" s="51">
        <f>IL49*IM49</f>
        <v>1610.5100000000011</v>
      </c>
      <c r="IO49" s="54"/>
      <c r="IP49" s="51">
        <f t="shared" si="522"/>
        <v>80.52550000000005</v>
      </c>
      <c r="IQ49" s="51">
        <f t="shared" si="523"/>
        <v>20</v>
      </c>
      <c r="IR49" s="51">
        <f>IP49*IQ49</f>
        <v>1610.5100000000011</v>
      </c>
      <c r="IS49" s="54"/>
      <c r="IT49" s="51">
        <f t="shared" si="524"/>
        <v>80.52550000000005</v>
      </c>
      <c r="IU49" s="51">
        <f t="shared" si="525"/>
        <v>20</v>
      </c>
      <c r="IV49" s="51">
        <f>IT49*IU49</f>
        <v>1610.5100000000011</v>
      </c>
      <c r="IW49" s="54"/>
      <c r="IX49" s="51">
        <f t="shared" si="526"/>
        <v>80.52550000000005</v>
      </c>
      <c r="IY49" s="51">
        <f t="shared" si="527"/>
        <v>20</v>
      </c>
      <c r="IZ49" s="51">
        <f>IX49*IY49</f>
        <v>1610.5100000000011</v>
      </c>
      <c r="JB49" s="80">
        <f>HF49+HJ49+HN49+HR49+HV49+HZ49+ID49+IH49+IL49+IP49+IT49+IX49</f>
        <v>966.3060000000008</v>
      </c>
      <c r="JC49" s="80">
        <f>(HG49+HK49+HO49+HS49+HW49+IA49+IE49+II49+IM49+IQ49+IU49+IY49)/12</f>
        <v>20</v>
      </c>
      <c r="JD49" s="80">
        <f>HH49+HL49+HP49+HT49+HX49+IB49+IF49+IJ49+IN49+IR49+IV49+IZ49</f>
        <v>19326.120000000017</v>
      </c>
      <c r="JF49" s="51">
        <f t="shared" si="528"/>
        <v>88.57805000000006</v>
      </c>
      <c r="JG49" s="51">
        <f t="shared" si="529"/>
        <v>20</v>
      </c>
      <c r="JH49" s="51">
        <f>JF49*JG49</f>
        <v>1771.5610000000013</v>
      </c>
      <c r="JI49" s="54"/>
      <c r="JJ49" s="51">
        <f t="shared" si="530"/>
        <v>88.57805000000006</v>
      </c>
      <c r="JK49" s="51">
        <f t="shared" si="531"/>
        <v>20</v>
      </c>
      <c r="JL49" s="51">
        <f>JJ49*JK49</f>
        <v>1771.5610000000013</v>
      </c>
      <c r="JM49" s="54"/>
      <c r="JN49" s="51">
        <f t="shared" si="532"/>
        <v>88.57805000000006</v>
      </c>
      <c r="JO49" s="51">
        <f t="shared" si="533"/>
        <v>20</v>
      </c>
      <c r="JP49" s="51">
        <f>JN49*JO49</f>
        <v>1771.5610000000013</v>
      </c>
      <c r="JQ49" s="54"/>
      <c r="JR49" s="51">
        <f t="shared" si="534"/>
        <v>88.57805000000006</v>
      </c>
      <c r="JS49" s="51">
        <f t="shared" si="535"/>
        <v>20</v>
      </c>
      <c r="JT49" s="51">
        <f>JR49*JS49</f>
        <v>1771.5610000000013</v>
      </c>
      <c r="JU49" s="54"/>
      <c r="JV49" s="51">
        <f t="shared" si="536"/>
        <v>88.57805000000006</v>
      </c>
      <c r="JW49" s="51">
        <f t="shared" si="537"/>
        <v>20</v>
      </c>
      <c r="JX49" s="51">
        <f>JV49*JW49</f>
        <v>1771.5610000000013</v>
      </c>
      <c r="JY49" s="54"/>
      <c r="JZ49" s="51">
        <f t="shared" si="538"/>
        <v>88.57805000000006</v>
      </c>
      <c r="KA49" s="51">
        <f t="shared" si="539"/>
        <v>20</v>
      </c>
      <c r="KB49" s="51">
        <f>JZ49*KA49</f>
        <v>1771.5610000000013</v>
      </c>
      <c r="KC49" s="54"/>
      <c r="KD49" s="51">
        <f t="shared" si="540"/>
        <v>88.57805000000006</v>
      </c>
      <c r="KE49" s="51">
        <f t="shared" si="541"/>
        <v>20</v>
      </c>
      <c r="KF49" s="51">
        <f>KD49*KE49</f>
        <v>1771.5610000000013</v>
      </c>
      <c r="KG49" s="54"/>
      <c r="KH49" s="51">
        <f t="shared" si="542"/>
        <v>88.57805000000006</v>
      </c>
      <c r="KI49" s="51">
        <f t="shared" si="543"/>
        <v>20</v>
      </c>
      <c r="KJ49" s="51">
        <f>KH49*KI49</f>
        <v>1771.5610000000013</v>
      </c>
      <c r="KK49" s="54"/>
      <c r="KL49" s="51">
        <f t="shared" si="544"/>
        <v>88.57805000000006</v>
      </c>
      <c r="KM49" s="51">
        <f t="shared" si="545"/>
        <v>20</v>
      </c>
      <c r="KN49" s="51">
        <f>KL49*KM49</f>
        <v>1771.5610000000013</v>
      </c>
      <c r="KO49" s="54"/>
      <c r="KP49" s="51">
        <f t="shared" si="546"/>
        <v>88.57805000000006</v>
      </c>
      <c r="KQ49" s="51">
        <f t="shared" si="547"/>
        <v>20</v>
      </c>
      <c r="KR49" s="51">
        <f>KP49*KQ49</f>
        <v>1771.5610000000013</v>
      </c>
      <c r="KS49" s="54"/>
      <c r="KT49" s="51">
        <f t="shared" si="548"/>
        <v>88.57805000000006</v>
      </c>
      <c r="KU49" s="51">
        <f t="shared" si="549"/>
        <v>20</v>
      </c>
      <c r="KV49" s="51">
        <f>KT49*KU49</f>
        <v>1771.5610000000013</v>
      </c>
      <c r="KW49" s="54"/>
      <c r="KX49" s="51">
        <f t="shared" si="550"/>
        <v>88.57805000000006</v>
      </c>
      <c r="KY49" s="51">
        <f t="shared" si="551"/>
        <v>20</v>
      </c>
      <c r="KZ49" s="51">
        <f>KX49*KY49</f>
        <v>1771.5610000000013</v>
      </c>
      <c r="LB49" s="80">
        <f>JF49+JJ49+JN49+JR49+JV49+JZ49+KD49+KH49+KL49+KP49+KT49+KX49</f>
        <v>1062.9366000000007</v>
      </c>
      <c r="LC49" s="80">
        <f>(JG49+JK49+JO49+JS49+JW49+KA49+KE49+KI49+KM49+KQ49+KU49+KY49)/12</f>
        <v>20</v>
      </c>
      <c r="LD49" s="80">
        <f>JH49+JL49+JP49+JT49+JX49+KB49+KF49+KJ49+KN49+KR49+KV49+KZ49</f>
        <v>21258.732000000015</v>
      </c>
    </row>
    <row r="50" ht="18.75" customHeight="1" spans="2:316" x14ac:dyDescent="0.25">
      <c r="B50" s="5" t="s">
        <v>79</v>
      </c>
      <c r="C50" s="27"/>
      <c r="D50" s="29">
        <f>'A.I Revenue Streams - P1'!E50</f>
        <v>0</v>
      </c>
      <c r="E50" s="30"/>
      <c r="F50" s="51">
        <f>'A.I Revenue Streams - P2'!G50*25</f>
        <v>25</v>
      </c>
      <c r="G50" s="51">
        <f>'A.I Revenue Streams - P2'!I50</f>
        <v>20</v>
      </c>
      <c r="H50" s="51">
        <f>F50*G50</f>
        <v>500</v>
      </c>
      <c r="I50" s="54"/>
      <c r="J50" s="51">
        <f>F50*$J$44</f>
        <v>27.500000000000004</v>
      </c>
      <c r="K50" s="51">
        <f>G50*$K$44</f>
        <v>20</v>
      </c>
      <c r="L50" s="51">
        <f>J50*K50</f>
        <v>550.0000000000001</v>
      </c>
      <c r="M50" s="54"/>
      <c r="N50" s="51">
        <f>J50*$N$44</f>
        <v>27.500000000000004</v>
      </c>
      <c r="O50" s="51">
        <f>K50*$O$44</f>
        <v>20</v>
      </c>
      <c r="P50" s="51">
        <f>N50*O50</f>
        <v>550.0000000000001</v>
      </c>
      <c r="Q50" s="54"/>
      <c r="R50" s="51">
        <f>N50*$R$44</f>
        <v>27.500000000000004</v>
      </c>
      <c r="S50" s="51">
        <f>O50*$S$44</f>
        <v>20</v>
      </c>
      <c r="T50" s="51">
        <f>R50*S50</f>
        <v>550.0000000000001</v>
      </c>
      <c r="U50" s="54"/>
      <c r="V50" s="51">
        <f>R50*$V$44</f>
        <v>27.500000000000004</v>
      </c>
      <c r="W50" s="51">
        <f>S50*$W$44</f>
        <v>20</v>
      </c>
      <c r="X50" s="51">
        <f>V50*W50</f>
        <v>550.0000000000001</v>
      </c>
      <c r="Y50" s="54"/>
      <c r="Z50" s="51">
        <f>V50*$Z$44</f>
        <v>27.500000000000004</v>
      </c>
      <c r="AA50" s="51">
        <f>W50*$AA$44</f>
        <v>20</v>
      </c>
      <c r="AB50" s="51">
        <f>Z50*AA50</f>
        <v>550.0000000000001</v>
      </c>
      <c r="AC50" s="54"/>
      <c r="AD50" s="51">
        <f>Z50*$AD$44</f>
        <v>27.500000000000004</v>
      </c>
      <c r="AE50" s="51">
        <f>AA50*$AE$44</f>
        <v>20</v>
      </c>
      <c r="AF50" s="51">
        <f>AD50*AE50</f>
        <v>550.0000000000001</v>
      </c>
      <c r="AG50" s="54"/>
      <c r="AH50" s="51">
        <f>AD50*$AH$44</f>
        <v>27.500000000000004</v>
      </c>
      <c r="AI50" s="51">
        <f>AE50*$AI$44</f>
        <v>20</v>
      </c>
      <c r="AJ50" s="51">
        <f>AH50*AI50</f>
        <v>550.0000000000001</v>
      </c>
      <c r="AK50" s="54"/>
      <c r="AL50" s="51">
        <f>AH50*$AL$44</f>
        <v>27.500000000000004</v>
      </c>
      <c r="AM50" s="51">
        <f>AI50*$AM$44</f>
        <v>20</v>
      </c>
      <c r="AN50" s="51">
        <f>AL50*AM50</f>
        <v>550.0000000000001</v>
      </c>
      <c r="AO50" s="54"/>
      <c r="AP50" s="51">
        <f t="shared" si="437"/>
        <v>27.500000000000004</v>
      </c>
      <c r="AQ50" s="51">
        <f t="shared" si="438"/>
        <v>20</v>
      </c>
      <c r="AR50" s="51">
        <f t="shared" si="439"/>
        <v>550.0000000000001</v>
      </c>
      <c r="AS50" s="54"/>
      <c r="AT50" s="51">
        <f t="shared" si="440"/>
        <v>27.500000000000004</v>
      </c>
      <c r="AU50" s="51">
        <f t="shared" si="441"/>
        <v>20</v>
      </c>
      <c r="AV50" s="51">
        <f t="shared" si="442"/>
        <v>550.0000000000001</v>
      </c>
      <c r="AW50" s="54"/>
      <c r="AX50" s="51">
        <f t="shared" si="443"/>
        <v>27.500000000000004</v>
      </c>
      <c r="AY50" s="51">
        <f t="shared" si="444"/>
        <v>20</v>
      </c>
      <c r="AZ50" s="51">
        <f t="shared" si="445"/>
        <v>550.0000000000001</v>
      </c>
      <c r="BA50" s="54"/>
      <c r="BB50" s="85">
        <f>SUMIF($F$6:$AZ$6,$BB$6,F50:AZ50)</f>
        <v>327.5</v>
      </c>
      <c r="BC50" s="85">
        <f>SUMIF($F$6:$AZ$6,$BC$6,F50:AZ50)/12</f>
        <v>20</v>
      </c>
      <c r="BD50" s="80">
        <f>H50+L50+P50+T50+X50+AB50+AF50+AJ50+AN50</f>
        <v>4900</v>
      </c>
      <c r="BE50" t="b">
        <f>(BB50*BC50)=BD50</f>
        <v>0</v>
      </c>
      <c r="BF50" s="51">
        <f>AX50*$BF$44</f>
        <v>30.250000000000007</v>
      </c>
      <c r="BG50" s="51">
        <f>AY50*$BG$44</f>
        <v>20</v>
      </c>
      <c r="BH50" s="51">
        <f>BF50*BG50</f>
        <v>605.0000000000001</v>
      </c>
      <c r="BI50" s="54"/>
      <c r="BJ50" s="51">
        <f t="shared" si="552"/>
        <v>30.250000000000007</v>
      </c>
      <c r="BK50" s="51">
        <f t="shared" si="446"/>
        <v>20</v>
      </c>
      <c r="BL50" s="51">
        <f>BJ50*BK50</f>
        <v>605.0000000000001</v>
      </c>
      <c r="BM50" s="54"/>
      <c r="BN50" s="51">
        <f t="shared" si="447"/>
        <v>30.250000000000007</v>
      </c>
      <c r="BO50" s="51">
        <f t="shared" si="448"/>
        <v>20</v>
      </c>
      <c r="BP50" s="51">
        <f>BN50*BO50</f>
        <v>605.0000000000001</v>
      </c>
      <c r="BQ50" s="54"/>
      <c r="BR50" s="51">
        <f t="shared" si="449"/>
        <v>30.250000000000007</v>
      </c>
      <c r="BS50" s="51">
        <f t="shared" si="450"/>
        <v>20</v>
      </c>
      <c r="BT50" s="51">
        <f>BR50*BS50</f>
        <v>605.0000000000001</v>
      </c>
      <c r="BU50" s="54"/>
      <c r="BV50" s="51">
        <f t="shared" si="451"/>
        <v>30.250000000000007</v>
      </c>
      <c r="BW50" s="51">
        <f t="shared" si="452"/>
        <v>20</v>
      </c>
      <c r="BX50" s="51">
        <f>BV50*BW50</f>
        <v>605.0000000000001</v>
      </c>
      <c r="BY50" s="54"/>
      <c r="BZ50" s="51">
        <f t="shared" si="453"/>
        <v>30.250000000000007</v>
      </c>
      <c r="CA50" s="51">
        <f t="shared" si="454"/>
        <v>20</v>
      </c>
      <c r="CB50" s="51">
        <f>BZ50*CA50</f>
        <v>605.0000000000001</v>
      </c>
      <c r="CC50" s="54"/>
      <c r="CD50" s="51">
        <f t="shared" si="455"/>
        <v>30.250000000000007</v>
      </c>
      <c r="CE50" s="51">
        <f t="shared" si="456"/>
        <v>20</v>
      </c>
      <c r="CF50" s="51">
        <f>CD50*CE50</f>
        <v>605.0000000000001</v>
      </c>
      <c r="CG50" s="54"/>
      <c r="CH50" s="51">
        <f t="shared" si="457"/>
        <v>30.250000000000007</v>
      </c>
      <c r="CI50" s="51">
        <f t="shared" si="458"/>
        <v>20</v>
      </c>
      <c r="CJ50" s="51">
        <f>CH50*CI50</f>
        <v>605.0000000000001</v>
      </c>
      <c r="CK50" s="54"/>
      <c r="CL50" s="51">
        <f t="shared" si="459"/>
        <v>30.250000000000007</v>
      </c>
      <c r="CM50" s="51">
        <f t="shared" si="460"/>
        <v>20</v>
      </c>
      <c r="CN50" s="51">
        <f>CL50*CM50</f>
        <v>605.0000000000001</v>
      </c>
      <c r="CO50" s="54"/>
      <c r="CP50" s="51">
        <f t="shared" si="461"/>
        <v>30.250000000000007</v>
      </c>
      <c r="CQ50" s="51">
        <f t="shared" si="462"/>
        <v>20</v>
      </c>
      <c r="CR50" s="51">
        <f>CP50*CQ50</f>
        <v>605.0000000000001</v>
      </c>
      <c r="CS50" s="54"/>
      <c r="CT50" s="51">
        <f t="shared" si="463"/>
        <v>30.250000000000007</v>
      </c>
      <c r="CU50" s="51">
        <f t="shared" si="464"/>
        <v>20</v>
      </c>
      <c r="CV50" s="51">
        <f>CT50*CU50</f>
        <v>605.0000000000001</v>
      </c>
      <c r="CW50" s="54"/>
      <c r="CX50" s="51">
        <f t="shared" si="465"/>
        <v>30.250000000000007</v>
      </c>
      <c r="CY50" s="51">
        <f t="shared" si="466"/>
        <v>20</v>
      </c>
      <c r="CZ50" s="51">
        <f>CX50*CY50</f>
        <v>605.0000000000001</v>
      </c>
      <c r="DA50" s="54"/>
      <c r="DB50" s="80">
        <f>BF50+BJ50+BN50+BR50+BV50+BZ50+CD50+CH50+CL50+CP50+CT50+CX50</f>
        <v>363.00000000000006</v>
      </c>
      <c r="DC50" s="80">
        <f>(BG50+BK50+BO50+BS50+BW50+CA50+CE50+CI50+CM50+CQ50+CU50+CY50)/12</f>
        <v>20</v>
      </c>
      <c r="DD50" s="80">
        <f>BH50+BL50+BP50+BT50+BX50+CB50+CF50+CJ50+CN50+CR50+CV50+CZ50</f>
        <v>7260.000000000001</v>
      </c>
      <c r="DF50" s="51">
        <f t="shared" si="553"/>
        <v>33.27500000000001</v>
      </c>
      <c r="DG50" s="51">
        <f t="shared" si="467"/>
        <v>20</v>
      </c>
      <c r="DH50" s="51">
        <f>DF50*DG50</f>
        <v>665.5000000000002</v>
      </c>
      <c r="DI50" s="54"/>
      <c r="DJ50" s="51">
        <f t="shared" si="554"/>
        <v>33.27500000000001</v>
      </c>
      <c r="DK50" s="51">
        <f>DG50*$DK$44</f>
        <v>20</v>
      </c>
      <c r="DL50" s="51">
        <f>DJ50*DK50</f>
        <v>665.5000000000002</v>
      </c>
      <c r="DM50" s="54"/>
      <c r="DN50" s="51">
        <f t="shared" si="469"/>
        <v>33.27500000000001</v>
      </c>
      <c r="DO50" s="51">
        <f t="shared" si="470"/>
        <v>20</v>
      </c>
      <c r="DP50" s="51">
        <f>DN50*DO50</f>
        <v>665.5000000000002</v>
      </c>
      <c r="DQ50" s="54"/>
      <c r="DR50" s="51">
        <f t="shared" si="471"/>
        <v>33.27500000000001</v>
      </c>
      <c r="DS50" s="51">
        <f t="shared" si="472"/>
        <v>20</v>
      </c>
      <c r="DT50" s="51">
        <f>DR50*DS50</f>
        <v>665.5000000000002</v>
      </c>
      <c r="DU50" s="54"/>
      <c r="DV50" s="51">
        <f t="shared" si="473"/>
        <v>33.27500000000001</v>
      </c>
      <c r="DW50" s="51">
        <f t="shared" si="474"/>
        <v>20</v>
      </c>
      <c r="DX50" s="51">
        <f>DV50*DW50</f>
        <v>665.5000000000002</v>
      </c>
      <c r="DY50" s="54"/>
      <c r="DZ50" s="51">
        <f t="shared" si="475"/>
        <v>33.27500000000001</v>
      </c>
      <c r="EA50" s="51">
        <f t="shared" si="476"/>
        <v>20</v>
      </c>
      <c r="EB50" s="51">
        <f>DZ50*EA50</f>
        <v>665.5000000000002</v>
      </c>
      <c r="EC50" s="54"/>
      <c r="ED50" s="51">
        <f t="shared" si="477"/>
        <v>33.27500000000001</v>
      </c>
      <c r="EE50" s="51">
        <f>EA50*$EE$44</f>
        <v>20</v>
      </c>
      <c r="EF50" s="51">
        <f>ED50*EE50</f>
        <v>665.5000000000002</v>
      </c>
      <c r="EG50" s="54"/>
      <c r="EH50" s="51">
        <f t="shared" si="555"/>
        <v>33.27500000000001</v>
      </c>
      <c r="EI50" s="51">
        <f t="shared" si="556"/>
        <v>20</v>
      </c>
      <c r="EJ50" s="51">
        <f>EH50*EI50</f>
        <v>665.5000000000002</v>
      </c>
      <c r="EK50" s="54"/>
      <c r="EL50" s="51">
        <f t="shared" si="478"/>
        <v>33.27500000000001</v>
      </c>
      <c r="EM50" s="51">
        <f t="shared" si="479"/>
        <v>20</v>
      </c>
      <c r="EN50" s="51">
        <f>EL50*EM50</f>
        <v>665.5000000000002</v>
      </c>
      <c r="EO50" s="54"/>
      <c r="EP50" s="51">
        <f t="shared" si="480"/>
        <v>33.27500000000001</v>
      </c>
      <c r="EQ50" s="51">
        <f t="shared" si="481"/>
        <v>20</v>
      </c>
      <c r="ER50" s="51">
        <f>EP50*EQ50</f>
        <v>665.5000000000002</v>
      </c>
      <c r="ES50" s="54"/>
      <c r="ET50" s="51">
        <f t="shared" si="482"/>
        <v>33.27500000000001</v>
      </c>
      <c r="EU50" s="51">
        <f t="shared" si="483"/>
        <v>20</v>
      </c>
      <c r="EV50" s="51">
        <f>ET50*EU50</f>
        <v>665.5000000000002</v>
      </c>
      <c r="EW50" s="54"/>
      <c r="EX50" s="51">
        <f t="shared" si="484"/>
        <v>33.27500000000001</v>
      </c>
      <c r="EY50" s="51">
        <f t="shared" si="485"/>
        <v>20</v>
      </c>
      <c r="EZ50" s="51">
        <f>EX50*EY50</f>
        <v>665.5000000000002</v>
      </c>
      <c r="FA50" s="54"/>
      <c r="FB50" s="80">
        <f>DF50+DJ50+DN50+DR50+DV50+DZ50+ED50+EH50+EL50+EP50+ET50+EX50</f>
        <v>399.30000000000024</v>
      </c>
      <c r="FC50" s="80">
        <f>(DG50+DK50+DO50+DS50+DW50+EA50+EE50+EI50+EM50+EQ50+EU50+EY50)/12</f>
        <v>20</v>
      </c>
      <c r="FD50" s="80">
        <f>DH50+DL50+DP50+DT50+DX50+EB50+EF50+EJ50+EN50+ER50+EV50+EZ50</f>
        <v>7986.000000000001</v>
      </c>
      <c r="FF50" s="51">
        <f t="shared" si="486"/>
        <v>36.60250000000002</v>
      </c>
      <c r="FG50" s="51">
        <f t="shared" si="487"/>
        <v>20</v>
      </c>
      <c r="FH50" s="51">
        <f>FF50*FG50</f>
        <v>732.0500000000004</v>
      </c>
      <c r="FI50" s="54"/>
      <c r="FJ50" s="51">
        <f t="shared" si="488"/>
        <v>36.60250000000002</v>
      </c>
      <c r="FK50" s="51">
        <f t="shared" si="489"/>
        <v>20</v>
      </c>
      <c r="FL50" s="51">
        <f>FJ50*FK50</f>
        <v>732.0500000000004</v>
      </c>
      <c r="FM50" s="54"/>
      <c r="FN50" s="51">
        <f t="shared" si="490"/>
        <v>36.60250000000002</v>
      </c>
      <c r="FO50" s="51">
        <f t="shared" si="491"/>
        <v>20</v>
      </c>
      <c r="FP50" s="51">
        <f>FN50*FO50</f>
        <v>732.0500000000004</v>
      </c>
      <c r="FQ50" s="54"/>
      <c r="FR50" s="51">
        <f t="shared" si="492"/>
        <v>36.60250000000002</v>
      </c>
      <c r="FS50" s="51">
        <f t="shared" si="493"/>
        <v>20</v>
      </c>
      <c r="FT50" s="51">
        <f>FR50*FS50</f>
        <v>732.0500000000004</v>
      </c>
      <c r="FU50" s="54"/>
      <c r="FV50" s="51">
        <f>FR50*$FV$44</f>
        <v>36.60250000000002</v>
      </c>
      <c r="FW50" s="51">
        <f>FS50*$FW$44</f>
        <v>20</v>
      </c>
      <c r="FX50" s="51">
        <f>FV50*FW50</f>
        <v>732.0500000000004</v>
      </c>
      <c r="FY50" s="54"/>
      <c r="FZ50" s="51">
        <f t="shared" si="495"/>
        <v>36.60250000000002</v>
      </c>
      <c r="GA50" s="51">
        <f>FW50*$GA$44</f>
        <v>20</v>
      </c>
      <c r="GB50" s="51">
        <f>FZ50*GA50</f>
        <v>732.0500000000004</v>
      </c>
      <c r="GC50" s="54"/>
      <c r="GD50" s="51">
        <f t="shared" si="497"/>
        <v>36.60250000000002</v>
      </c>
      <c r="GE50" s="51">
        <f t="shared" si="498"/>
        <v>20</v>
      </c>
      <c r="GF50" s="51">
        <f>GD50*GE50</f>
        <v>732.0500000000004</v>
      </c>
      <c r="GG50" s="54"/>
      <c r="GH50" s="51">
        <f>GD50*$GH$44</f>
        <v>36.60250000000002</v>
      </c>
      <c r="GI50" s="51">
        <f>GE50*$GI$44</f>
        <v>20</v>
      </c>
      <c r="GJ50" s="51">
        <f>GH50*GI50</f>
        <v>732.0500000000004</v>
      </c>
      <c r="GK50" s="54"/>
      <c r="GL50" s="51">
        <f t="shared" si="500"/>
        <v>36.60250000000002</v>
      </c>
      <c r="GM50" s="51">
        <f>GI50*$GM$44</f>
        <v>20</v>
      </c>
      <c r="GN50" s="51">
        <f>GL50*GM50</f>
        <v>732.0500000000004</v>
      </c>
      <c r="GO50" s="54"/>
      <c r="GP50" s="51">
        <f t="shared" si="501"/>
        <v>36.60250000000002</v>
      </c>
      <c r="GQ50" s="51">
        <f t="shared" si="502"/>
        <v>20</v>
      </c>
      <c r="GR50" s="51">
        <f>GP50*GQ50</f>
        <v>732.0500000000004</v>
      </c>
      <c r="GS50" s="54"/>
      <c r="GT50" s="51">
        <f>GP50*$GT$44</f>
        <v>36.60250000000002</v>
      </c>
      <c r="GU50" s="51">
        <f>GQ50*$GU$44</f>
        <v>20</v>
      </c>
      <c r="GV50" s="51">
        <f>GT50*GU50</f>
        <v>732.0500000000004</v>
      </c>
      <c r="GW50" s="54"/>
      <c r="GX50" s="51">
        <f t="shared" si="503"/>
        <v>36.60250000000002</v>
      </c>
      <c r="GY50" s="51">
        <f t="shared" si="504"/>
        <v>20</v>
      </c>
      <c r="GZ50" s="51">
        <f>GX50*GY50</f>
        <v>732.0500000000004</v>
      </c>
      <c r="HB50" s="80">
        <f>FF50+FJ50+FN50+FR50+FV50+FZ50+GD50+GH50+GL50+GP50+GT50+GX50</f>
        <v>439.23000000000025</v>
      </c>
      <c r="HC50" s="80">
        <f>(FG50+FK50+FO50+FS50+FW50+GA50+GE50+GI50+GM50+GQ50+GU50+GY50)/12</f>
        <v>20</v>
      </c>
      <c r="HD50" s="80">
        <f>FH50+FL50+FP50+FT50+FX50+GB50+GF50+GJ50+GN50+GR50+GV50+GZ50</f>
        <v>8784.600000000004</v>
      </c>
      <c r="HF50" s="51">
        <f t="shared" si="505"/>
        <v>40.262750000000025</v>
      </c>
      <c r="HG50" s="51">
        <f t="shared" si="557"/>
        <v>20</v>
      </c>
      <c r="HH50" s="51">
        <f>HF50*HG50</f>
        <v>805.2550000000006</v>
      </c>
      <c r="HI50" s="54"/>
      <c r="HJ50" s="51">
        <f t="shared" si="506"/>
        <v>40.262750000000025</v>
      </c>
      <c r="HK50" s="51">
        <f t="shared" si="507"/>
        <v>20</v>
      </c>
      <c r="HL50" s="51">
        <f>HJ50*HK50</f>
        <v>805.2550000000006</v>
      </c>
      <c r="HM50" s="54"/>
      <c r="HN50" s="51">
        <f t="shared" si="508"/>
        <v>40.262750000000025</v>
      </c>
      <c r="HO50" s="51">
        <f t="shared" si="509"/>
        <v>20</v>
      </c>
      <c r="HP50" s="51">
        <f>HN50*HO50</f>
        <v>805.2550000000006</v>
      </c>
      <c r="HQ50" s="54"/>
      <c r="HR50" s="51">
        <f t="shared" si="510"/>
        <v>40.262750000000025</v>
      </c>
      <c r="HS50" s="51">
        <f t="shared" si="511"/>
        <v>20</v>
      </c>
      <c r="HT50" s="51">
        <f>HR50*HS50</f>
        <v>805.2550000000006</v>
      </c>
      <c r="HU50" s="54"/>
      <c r="HV50" s="51">
        <f t="shared" si="512"/>
        <v>40.262750000000025</v>
      </c>
      <c r="HW50" s="51">
        <f t="shared" si="513"/>
        <v>20</v>
      </c>
      <c r="HX50" s="51">
        <f>HV50*HW50</f>
        <v>805.2550000000006</v>
      </c>
      <c r="HY50" s="54"/>
      <c r="HZ50" s="51">
        <f t="shared" si="514"/>
        <v>40.262750000000025</v>
      </c>
      <c r="IA50" s="51">
        <f t="shared" si="515"/>
        <v>20</v>
      </c>
      <c r="IB50" s="51">
        <f>HZ50*IA50</f>
        <v>805.2550000000006</v>
      </c>
      <c r="IC50" s="54"/>
      <c r="ID50" s="51">
        <f t="shared" si="516"/>
        <v>40.262750000000025</v>
      </c>
      <c r="IE50" s="51">
        <f t="shared" si="517"/>
        <v>20</v>
      </c>
      <c r="IF50" s="51">
        <f>ID50*IE50</f>
        <v>805.2550000000006</v>
      </c>
      <c r="IG50" s="54"/>
      <c r="IH50" s="51">
        <f t="shared" si="518"/>
        <v>40.262750000000025</v>
      </c>
      <c r="II50" s="51">
        <f t="shared" si="519"/>
        <v>20</v>
      </c>
      <c r="IJ50" s="51">
        <f>IH50*II50</f>
        <v>805.2550000000006</v>
      </c>
      <c r="IK50" s="54"/>
      <c r="IL50" s="51">
        <f t="shared" si="520"/>
        <v>40.262750000000025</v>
      </c>
      <c r="IM50" s="51">
        <f t="shared" si="521"/>
        <v>20</v>
      </c>
      <c r="IN50" s="51">
        <f>IL50*IM50</f>
        <v>805.2550000000006</v>
      </c>
      <c r="IO50" s="54"/>
      <c r="IP50" s="51">
        <f t="shared" si="522"/>
        <v>40.262750000000025</v>
      </c>
      <c r="IQ50" s="51">
        <f t="shared" si="523"/>
        <v>20</v>
      </c>
      <c r="IR50" s="51">
        <f>IP50*IQ50</f>
        <v>805.2550000000006</v>
      </c>
      <c r="IS50" s="54"/>
      <c r="IT50" s="51">
        <f t="shared" si="524"/>
        <v>40.262750000000025</v>
      </c>
      <c r="IU50" s="51">
        <f t="shared" si="525"/>
        <v>20</v>
      </c>
      <c r="IV50" s="51">
        <f>IT50*IU50</f>
        <v>805.2550000000006</v>
      </c>
      <c r="IW50" s="54"/>
      <c r="IX50" s="51">
        <f t="shared" si="526"/>
        <v>40.262750000000025</v>
      </c>
      <c r="IY50" s="51">
        <f t="shared" si="527"/>
        <v>20</v>
      </c>
      <c r="IZ50" s="51">
        <f>IX50*IY50</f>
        <v>805.2550000000006</v>
      </c>
      <c r="JB50" s="80">
        <f>HF50+HJ50+HN50+HR50+HV50+HZ50+ID50+IH50+IL50+IP50+IT50+IX50</f>
        <v>483.1530000000004</v>
      </c>
      <c r="JC50" s="80">
        <f>(HG50+HK50+HO50+HS50+HW50+IA50+IE50+II50+IM50+IQ50+IU50+IY50)/12</f>
        <v>20</v>
      </c>
      <c r="JD50" s="80">
        <f>HH50+HL50+HP50+HT50+HX50+IB50+IF50+IJ50+IN50+IR50+IV50+IZ50</f>
        <v>9663.060000000009</v>
      </c>
      <c r="JF50" s="51">
        <f t="shared" si="528"/>
        <v>44.28902500000003</v>
      </c>
      <c r="JG50" s="51">
        <f t="shared" si="529"/>
        <v>20</v>
      </c>
      <c r="JH50" s="51">
        <f>JF50*JG50</f>
        <v>885.7805000000006</v>
      </c>
      <c r="JI50" s="54"/>
      <c r="JJ50" s="51">
        <f t="shared" si="530"/>
        <v>44.28902500000003</v>
      </c>
      <c r="JK50" s="51">
        <f t="shared" si="531"/>
        <v>20</v>
      </c>
      <c r="JL50" s="51">
        <f>JJ50*JK50</f>
        <v>885.7805000000006</v>
      </c>
      <c r="JM50" s="54"/>
      <c r="JN50" s="51">
        <f t="shared" si="532"/>
        <v>44.28902500000003</v>
      </c>
      <c r="JO50" s="51">
        <f t="shared" si="533"/>
        <v>20</v>
      </c>
      <c r="JP50" s="51">
        <f>JN50*JO50</f>
        <v>885.7805000000006</v>
      </c>
      <c r="JQ50" s="54"/>
      <c r="JR50" s="51">
        <f t="shared" si="534"/>
        <v>44.28902500000003</v>
      </c>
      <c r="JS50" s="51">
        <f t="shared" si="535"/>
        <v>20</v>
      </c>
      <c r="JT50" s="51">
        <f>JR50*JS50</f>
        <v>885.7805000000006</v>
      </c>
      <c r="JU50" s="54"/>
      <c r="JV50" s="51">
        <f t="shared" si="536"/>
        <v>44.28902500000003</v>
      </c>
      <c r="JW50" s="51">
        <f t="shared" si="537"/>
        <v>20</v>
      </c>
      <c r="JX50" s="51">
        <f>JV50*JW50</f>
        <v>885.7805000000006</v>
      </c>
      <c r="JY50" s="54"/>
      <c r="JZ50" s="51">
        <f t="shared" si="538"/>
        <v>44.28902500000003</v>
      </c>
      <c r="KA50" s="51">
        <f t="shared" si="539"/>
        <v>20</v>
      </c>
      <c r="KB50" s="51">
        <f>JZ50*KA50</f>
        <v>885.7805000000006</v>
      </c>
      <c r="KC50" s="54"/>
      <c r="KD50" s="51">
        <f t="shared" si="540"/>
        <v>44.28902500000003</v>
      </c>
      <c r="KE50" s="51">
        <f t="shared" si="541"/>
        <v>20</v>
      </c>
      <c r="KF50" s="51">
        <f>KD50*KE50</f>
        <v>885.7805000000006</v>
      </c>
      <c r="KG50" s="54"/>
      <c r="KH50" s="51">
        <f t="shared" si="542"/>
        <v>44.28902500000003</v>
      </c>
      <c r="KI50" s="51">
        <f t="shared" si="543"/>
        <v>20</v>
      </c>
      <c r="KJ50" s="51">
        <f>KH50*KI50</f>
        <v>885.7805000000006</v>
      </c>
      <c r="KK50" s="54"/>
      <c r="KL50" s="51">
        <f t="shared" si="544"/>
        <v>44.28902500000003</v>
      </c>
      <c r="KM50" s="51">
        <f t="shared" si="545"/>
        <v>20</v>
      </c>
      <c r="KN50" s="51">
        <f>KL50*KM50</f>
        <v>885.7805000000006</v>
      </c>
      <c r="KO50" s="54"/>
      <c r="KP50" s="51">
        <f t="shared" si="546"/>
        <v>44.28902500000003</v>
      </c>
      <c r="KQ50" s="51">
        <f t="shared" si="547"/>
        <v>20</v>
      </c>
      <c r="KR50" s="51">
        <f>KP50*KQ50</f>
        <v>885.7805000000006</v>
      </c>
      <c r="KS50" s="54"/>
      <c r="KT50" s="51">
        <f t="shared" si="548"/>
        <v>44.28902500000003</v>
      </c>
      <c r="KU50" s="51">
        <f t="shared" si="549"/>
        <v>20</v>
      </c>
      <c r="KV50" s="51">
        <f>KT50*KU50</f>
        <v>885.7805000000006</v>
      </c>
      <c r="KW50" s="54"/>
      <c r="KX50" s="51">
        <f t="shared" si="550"/>
        <v>44.28902500000003</v>
      </c>
      <c r="KY50" s="51">
        <f t="shared" si="551"/>
        <v>20</v>
      </c>
      <c r="KZ50" s="51">
        <f>KX50*KY50</f>
        <v>885.7805000000006</v>
      </c>
      <c r="LB50" s="80">
        <f>JF50+JJ50+JN50+JR50+JV50+JZ50+KD50+KH50+KL50+KP50+KT50+KX50</f>
        <v>531.4683000000003</v>
      </c>
      <c r="LC50" s="80">
        <f>(JG50+JK50+JO50+JS50+JW50+KA50+KE50+KI50+KM50+KQ50+KU50+KY50)/12</f>
        <v>20</v>
      </c>
      <c r="LD50" s="80">
        <f>JH50+JL50+JP50+JT50+JX50+KB50+KF50+KJ50+KN50+KR50+KV50+KZ50</f>
        <v>10629.366000000007</v>
      </c>
    </row>
    <row r="51" ht="18.75" customHeight="1" spans="2:316" x14ac:dyDescent="0.25">
      <c r="B51" s="34" t="s">
        <v>58</v>
      </c>
      <c r="C51" s="34"/>
      <c r="D51" s="34"/>
      <c r="E51" s="30"/>
      <c r="F51" s="81">
        <f>SUM(F46:F50)</f>
        <v>375</v>
      </c>
      <c r="G51" s="81"/>
      <c r="H51" s="81">
        <f>SUM(H46:H50)</f>
        <v>7500</v>
      </c>
      <c r="I51" s="81"/>
      <c r="J51" s="81">
        <f>SUM(J46:J50)</f>
        <v>412.5</v>
      </c>
      <c r="K51" s="81"/>
      <c r="L51" s="81">
        <f>SUM(L46:L50)</f>
        <v>8250</v>
      </c>
      <c r="M51" s="81"/>
      <c r="N51" s="81">
        <f>SUM(N46:N50)</f>
        <v>412.5</v>
      </c>
      <c r="O51" s="81"/>
      <c r="P51" s="81">
        <f>SUM(P46:P50)</f>
        <v>8250</v>
      </c>
      <c r="Q51" s="81"/>
      <c r="R51" s="81">
        <f>SUM(R46:R50)</f>
        <v>412.5</v>
      </c>
      <c r="S51" s="81"/>
      <c r="T51" s="81">
        <f>SUM(T46:T50)</f>
        <v>8250</v>
      </c>
      <c r="U51" s="81"/>
      <c r="V51" s="81">
        <f>SUM(V46:V50)</f>
        <v>412.5</v>
      </c>
      <c r="W51" s="81"/>
      <c r="X51" s="81">
        <f>SUM(X46:X50)</f>
        <v>8250</v>
      </c>
      <c r="Y51" s="81"/>
      <c r="Z51" s="81">
        <f>SUM(Z46:Z50)</f>
        <v>412.5</v>
      </c>
      <c r="AA51" s="81"/>
      <c r="AB51" s="81">
        <f>SUM(AB46:AB50)</f>
        <v>8250</v>
      </c>
      <c r="AC51" s="81"/>
      <c r="AD51" s="81">
        <f>SUM(AD46:AD50)</f>
        <v>412.5</v>
      </c>
      <c r="AE51" s="81"/>
      <c r="AF51" s="81">
        <f>SUM(AF46:AF50)</f>
        <v>8250</v>
      </c>
      <c r="AG51" s="81"/>
      <c r="AH51" s="81">
        <f>SUM(AH46:AH50)</f>
        <v>412.5</v>
      </c>
      <c r="AI51" s="81"/>
      <c r="AJ51" s="81">
        <f>SUM(AJ46:AJ50)</f>
        <v>8250</v>
      </c>
      <c r="AK51" s="81"/>
      <c r="AL51" s="81">
        <f>SUM(AL46:AL50)</f>
        <v>412.5</v>
      </c>
      <c r="AM51" s="81"/>
      <c r="AN51" s="81">
        <f>SUM(AN46:AN50)</f>
        <v>8250</v>
      </c>
      <c r="AO51" s="81"/>
      <c r="AP51" s="81">
        <f>SUM(AP46:AP50)</f>
        <v>412.5</v>
      </c>
      <c r="AQ51" s="81"/>
      <c r="AR51" s="81">
        <f>SUM(AR46:AR50)</f>
        <v>8250</v>
      </c>
      <c r="AS51" s="81"/>
      <c r="AT51" s="81">
        <f>SUM(AT46:AT50)</f>
        <v>412.5</v>
      </c>
      <c r="AU51" s="81"/>
      <c r="AV51" s="81">
        <f>SUM(AV46:AV50)</f>
        <v>8250</v>
      </c>
      <c r="AW51" s="81"/>
      <c r="AX51" s="81">
        <f>SUM(AX46:AX50)</f>
        <v>412.5</v>
      </c>
      <c r="AY51" s="81"/>
      <c r="AZ51" s="81">
        <f>SUM(AZ46:AZ50)</f>
        <v>8250</v>
      </c>
      <c r="BA51" s="81"/>
      <c r="BB51" s="81">
        <f>SUM(BB46:BB50)</f>
        <v>4912.5</v>
      </c>
      <c r="BC51" s="81"/>
      <c r="BD51" s="81">
        <f>SUM(BD46:BD50)</f>
        <v>73500</v>
      </c>
      <c r="BE51" s="9"/>
      <c r="BF51" s="81">
        <f>SUM(BF46:BF50)</f>
        <v>453.75</v>
      </c>
      <c r="BG51" s="81"/>
      <c r="BH51" s="81">
        <f>SUM(BH46:BH50)</f>
        <v>9075</v>
      </c>
      <c r="BI51" s="81"/>
      <c r="BJ51" s="81">
        <f>SUM(BJ46:BJ50)</f>
        <v>453.75</v>
      </c>
      <c r="BK51" s="81"/>
      <c r="BL51" s="81">
        <f>SUM(BL46:BL50)</f>
        <v>9075</v>
      </c>
      <c r="BM51" s="81"/>
      <c r="BN51" s="81">
        <f>SUM(BN46:BN50)</f>
        <v>453.75</v>
      </c>
      <c r="BO51" s="81"/>
      <c r="BP51" s="81">
        <f>SUM(BP46:BP50)</f>
        <v>9075</v>
      </c>
      <c r="BQ51" s="81"/>
      <c r="BR51" s="81">
        <f>SUM(BR46:BR50)</f>
        <v>453.75</v>
      </c>
      <c r="BS51" s="81"/>
      <c r="BT51" s="81">
        <f>SUM(BT46:BT50)</f>
        <v>9075</v>
      </c>
      <c r="BU51" s="81"/>
      <c r="BV51" s="81">
        <f>SUM(BV46:BV50)</f>
        <v>453.75</v>
      </c>
      <c r="BW51" s="81"/>
      <c r="BX51" s="81">
        <f>SUM(BX46:BX50)</f>
        <v>9075</v>
      </c>
      <c r="BY51" s="81"/>
      <c r="BZ51" s="81">
        <f>SUM(BZ46:BZ50)</f>
        <v>453.75</v>
      </c>
      <c r="CA51" s="81"/>
      <c r="CB51" s="81">
        <f>SUM(CB46:CB50)</f>
        <v>9075</v>
      </c>
      <c r="CC51" s="81"/>
      <c r="CD51" s="81">
        <f>SUM(CD46:CD50)</f>
        <v>453.75</v>
      </c>
      <c r="CE51" s="81"/>
      <c r="CF51" s="81">
        <f>SUM(CF46:CF50)</f>
        <v>9075</v>
      </c>
      <c r="CG51" s="81"/>
      <c r="CH51" s="81">
        <f>SUM(CH46:CH50)</f>
        <v>453.75</v>
      </c>
      <c r="CI51" s="81"/>
      <c r="CJ51" s="81">
        <f>SUM(CJ46:CJ50)</f>
        <v>9075</v>
      </c>
      <c r="CK51" s="81"/>
      <c r="CL51" s="81">
        <f>SUM(CL46:CL50)</f>
        <v>453.75</v>
      </c>
      <c r="CM51" s="81"/>
      <c r="CN51" s="81">
        <f>SUM(CN46:CN50)</f>
        <v>9075</v>
      </c>
      <c r="CO51" s="81"/>
      <c r="CP51" s="81">
        <f>SUM(CP46:CP50)</f>
        <v>453.75</v>
      </c>
      <c r="CQ51" s="81"/>
      <c r="CR51" s="81">
        <f>SUM(CR46:CR50)</f>
        <v>9075</v>
      </c>
      <c r="CS51" s="81"/>
      <c r="CT51" s="81">
        <f>SUM(CT46:CT50)</f>
        <v>453.75</v>
      </c>
      <c r="CU51" s="81"/>
      <c r="CV51" s="81">
        <f>SUM(CV46:CV50)</f>
        <v>9075</v>
      </c>
      <c r="CW51" s="81"/>
      <c r="CX51" s="81">
        <f>SUM(CX46:CX50)</f>
        <v>453.75</v>
      </c>
      <c r="CY51" s="81"/>
      <c r="CZ51" s="81">
        <f>SUM(CZ46:CZ50)</f>
        <v>9075</v>
      </c>
      <c r="DA51" s="81"/>
      <c r="DB51" s="81">
        <f>SUM(DB46:DB50)</f>
        <v>5445</v>
      </c>
      <c r="DC51" s="81"/>
      <c r="DD51" s="81">
        <f>SUM(DD46:DD50)</f>
        <v>108900</v>
      </c>
      <c r="DE51" s="9"/>
      <c r="DF51" s="81">
        <f>SUM(DF46:DF50)</f>
        <v>499.1250000000001</v>
      </c>
      <c r="DG51" s="81"/>
      <c r="DH51" s="81">
        <f>SUM(DH46:DH50)</f>
        <v>9982.500000000002</v>
      </c>
      <c r="DI51" s="81"/>
      <c r="DJ51" s="81">
        <f>SUM(DJ46:DJ50)</f>
        <v>499.1250000000001</v>
      </c>
      <c r="DK51" s="81"/>
      <c r="DL51" s="81">
        <f>SUM(DL46:DL50)</f>
        <v>9982.500000000002</v>
      </c>
      <c r="DM51" s="81"/>
      <c r="DN51" s="81">
        <f>SUM(DN46:DN50)</f>
        <v>499.1250000000001</v>
      </c>
      <c r="DO51" s="81"/>
      <c r="DP51" s="81">
        <f>SUM(DP46:DP50)</f>
        <v>9982.500000000002</v>
      </c>
      <c r="DQ51" s="81"/>
      <c r="DR51" s="81">
        <f>SUM(DR46:DR50)</f>
        <v>499.1250000000001</v>
      </c>
      <c r="DS51" s="81"/>
      <c r="DT51" s="81">
        <f>SUM(DT46:DT50)</f>
        <v>9982.500000000002</v>
      </c>
      <c r="DU51" s="81"/>
      <c r="DV51" s="81">
        <f>SUM(DV46:DV50)</f>
        <v>499.1250000000001</v>
      </c>
      <c r="DW51" s="81"/>
      <c r="DX51" s="81">
        <f>SUM(DX46:DX50)</f>
        <v>9982.500000000002</v>
      </c>
      <c r="DY51" s="81"/>
      <c r="DZ51" s="81">
        <f>SUM(DZ46:DZ50)</f>
        <v>499.1250000000001</v>
      </c>
      <c r="EA51" s="81"/>
      <c r="EB51" s="81">
        <f>SUM(EB46:EB50)</f>
        <v>9982.500000000002</v>
      </c>
      <c r="EC51" s="81"/>
      <c r="ED51" s="81">
        <f>SUM(ED46:ED50)</f>
        <v>499.1250000000001</v>
      </c>
      <c r="EE51" s="81"/>
      <c r="EF51" s="81">
        <f>SUM(EF46:EF50)</f>
        <v>9982.500000000002</v>
      </c>
      <c r="EG51" s="81"/>
      <c r="EH51" s="81">
        <f>SUM(EH46:EH50)</f>
        <v>499.1250000000001</v>
      </c>
      <c r="EI51" s="81"/>
      <c r="EJ51" s="81">
        <f>SUM(EJ46:EJ50)</f>
        <v>9982.500000000002</v>
      </c>
      <c r="EK51" s="81"/>
      <c r="EL51" s="81">
        <f>SUM(EL46:EL50)</f>
        <v>499.1250000000001</v>
      </c>
      <c r="EM51" s="81"/>
      <c r="EN51" s="81">
        <f>SUM(EN46:EN50)</f>
        <v>9982.500000000002</v>
      </c>
      <c r="EO51" s="81"/>
      <c r="EP51" s="81">
        <f>SUM(EP46:EP50)</f>
        <v>499.1250000000001</v>
      </c>
      <c r="EQ51" s="81"/>
      <c r="ER51" s="81">
        <f>SUM(ER46:ER50)</f>
        <v>9982.500000000002</v>
      </c>
      <c r="ES51" s="81"/>
      <c r="ET51" s="81">
        <f>SUM(ET46:ET50)</f>
        <v>499.1250000000001</v>
      </c>
      <c r="EU51" s="81"/>
      <c r="EV51" s="81">
        <f>SUM(EV46:EV50)</f>
        <v>9982.500000000002</v>
      </c>
      <c r="EW51" s="81"/>
      <c r="EX51" s="81">
        <f>SUM(EX46:EX50)</f>
        <v>499.1250000000001</v>
      </c>
      <c r="EY51" s="81"/>
      <c r="EZ51" s="81">
        <f>SUM(EZ46:EZ50)</f>
        <v>9982.500000000002</v>
      </c>
      <c r="FA51" s="81"/>
      <c r="FB51" s="81">
        <f>SUM(FB46:FB50)</f>
        <v>5989.500000000002</v>
      </c>
      <c r="FC51" s="81"/>
      <c r="FD51" s="81">
        <f>SUM(FD46:FD50)</f>
        <v>119790</v>
      </c>
      <c r="FE51" s="9"/>
      <c r="FF51" s="81">
        <f>SUM(FF46:FF50)</f>
        <v>549.0375000000001</v>
      </c>
      <c r="FG51" s="81"/>
      <c r="FH51" s="81">
        <f>SUM(FH46:FH50)</f>
        <v>10980.750000000004</v>
      </c>
      <c r="FI51" s="81"/>
      <c r="FJ51" s="81">
        <f>SUM(FJ46:FJ50)</f>
        <v>549.0375000000001</v>
      </c>
      <c r="FK51" s="81"/>
      <c r="FL51" s="81">
        <f>SUM(FL46:FL50)</f>
        <v>10980.750000000004</v>
      </c>
      <c r="FM51" s="81"/>
      <c r="FN51" s="81">
        <f>SUM(FN46:FN50)</f>
        <v>549.0375000000001</v>
      </c>
      <c r="FO51" s="81"/>
      <c r="FP51" s="81">
        <f>SUM(FP46:FP50)</f>
        <v>10980.750000000004</v>
      </c>
      <c r="FQ51" s="81"/>
      <c r="FR51" s="81">
        <f>SUM(FR46:FR50)</f>
        <v>549.0375000000001</v>
      </c>
      <c r="FS51" s="81"/>
      <c r="FT51" s="81">
        <f>SUM(FT46:FT50)</f>
        <v>10980.750000000004</v>
      </c>
      <c r="FU51" s="81"/>
      <c r="FV51" s="81">
        <f>SUM(FV46:FV50)</f>
        <v>549.0375000000001</v>
      </c>
      <c r="FW51" s="81"/>
      <c r="FX51" s="81">
        <f>SUM(FX46:FX50)</f>
        <v>10980.750000000004</v>
      </c>
      <c r="FY51" s="81"/>
      <c r="FZ51" s="81">
        <f>SUM(FZ46:FZ50)</f>
        <v>549.0375000000001</v>
      </c>
      <c r="GA51" s="81"/>
      <c r="GB51" s="81">
        <f>SUM(GB46:GB50)</f>
        <v>10980.750000000004</v>
      </c>
      <c r="GC51" s="81"/>
      <c r="GD51" s="81">
        <f>SUM(GD46:GD50)</f>
        <v>549.0375000000001</v>
      </c>
      <c r="GE51" s="81"/>
      <c r="GF51" s="81">
        <f>SUM(GF46:GF50)</f>
        <v>10980.750000000004</v>
      </c>
      <c r="GG51" s="81"/>
      <c r="GH51" s="81">
        <f>SUM(GH46:GH50)</f>
        <v>549.0375000000001</v>
      </c>
      <c r="GI51" s="81"/>
      <c r="GJ51" s="81">
        <f>SUM(GJ46:GJ50)</f>
        <v>10980.750000000004</v>
      </c>
      <c r="GK51" s="81"/>
      <c r="GL51" s="81">
        <f>SUM(GL46:GL50)</f>
        <v>549.0375000000001</v>
      </c>
      <c r="GM51" s="81"/>
      <c r="GN51" s="81">
        <f>SUM(GN46:GN50)</f>
        <v>10980.750000000004</v>
      </c>
      <c r="GO51" s="81"/>
      <c r="GP51" s="81">
        <f>SUM(GP46:GP50)</f>
        <v>549.0375000000001</v>
      </c>
      <c r="GQ51" s="81"/>
      <c r="GR51" s="81">
        <f>SUM(GR46:GR50)</f>
        <v>10980.750000000004</v>
      </c>
      <c r="GS51" s="81"/>
      <c r="GT51" s="81">
        <f>SUM(GT46:GT50)</f>
        <v>549.0375000000001</v>
      </c>
      <c r="GU51" s="81"/>
      <c r="GV51" s="81">
        <f>SUM(GV46:GV50)</f>
        <v>10980.750000000004</v>
      </c>
      <c r="GW51" s="81"/>
      <c r="GX51" s="81">
        <f>SUM(GX46:GX50)</f>
        <v>549.0375000000001</v>
      </c>
      <c r="GY51" s="81"/>
      <c r="GZ51" s="81">
        <f>SUM(GZ46:GZ50)</f>
        <v>10980.750000000004</v>
      </c>
      <c r="HA51" s="9"/>
      <c r="HB51" s="81">
        <f>SUM(HB46:HB50)</f>
        <v>6588.4500000000035</v>
      </c>
      <c r="HC51" s="81"/>
      <c r="HD51" s="81">
        <f>SUM(HD46:HD50)</f>
        <v>131769.00000000006</v>
      </c>
      <c r="HE51" s="9"/>
      <c r="HF51" s="81">
        <f>SUM(HF46:HF50)</f>
        <v>603.9412500000002</v>
      </c>
      <c r="HG51" s="81"/>
      <c r="HH51" s="81">
        <f>SUM(HH46:HH50)</f>
        <v>12078.825000000004</v>
      </c>
      <c r="HI51" s="81"/>
      <c r="HJ51" s="81">
        <f>SUM(HJ46:HJ50)</f>
        <v>603.9412500000002</v>
      </c>
      <c r="HK51" s="81"/>
      <c r="HL51" s="81">
        <f>SUM(HL46:HL50)</f>
        <v>12078.825000000004</v>
      </c>
      <c r="HM51" s="81"/>
      <c r="HN51" s="81">
        <f>SUM(HN46:HN50)</f>
        <v>603.9412500000002</v>
      </c>
      <c r="HO51" s="81"/>
      <c r="HP51" s="81">
        <f>SUM(HP46:HP50)</f>
        <v>12078.825000000004</v>
      </c>
      <c r="HQ51" s="81"/>
      <c r="HR51" s="81">
        <f>SUM(HR46:HR50)</f>
        <v>603.9412500000002</v>
      </c>
      <c r="HS51" s="81"/>
      <c r="HT51" s="81">
        <f>SUM(HT46:HT50)</f>
        <v>12078.825000000004</v>
      </c>
      <c r="HU51" s="81"/>
      <c r="HV51" s="81">
        <f>SUM(HV46:HV50)</f>
        <v>603.9412500000002</v>
      </c>
      <c r="HW51" s="81"/>
      <c r="HX51" s="81">
        <f>SUM(HX46:HX50)</f>
        <v>12078.825000000004</v>
      </c>
      <c r="HY51" s="81"/>
      <c r="HZ51" s="81">
        <f>SUM(HZ46:HZ50)</f>
        <v>603.9412500000002</v>
      </c>
      <c r="IA51" s="81"/>
      <c r="IB51" s="81">
        <f>SUM(IB46:IB50)</f>
        <v>12078.825000000004</v>
      </c>
      <c r="IC51" s="81"/>
      <c r="ID51" s="81">
        <f>SUM(ID46:ID50)</f>
        <v>603.9412500000002</v>
      </c>
      <c r="IE51" s="81"/>
      <c r="IF51" s="81">
        <f>SUM(IF46:IF50)</f>
        <v>12078.825000000004</v>
      </c>
      <c r="IG51" s="81"/>
      <c r="IH51" s="81">
        <f>SUM(IH46:IH50)</f>
        <v>603.9412500000002</v>
      </c>
      <c r="II51" s="81"/>
      <c r="IJ51" s="81">
        <f>SUM(IJ46:IJ50)</f>
        <v>12078.825000000004</v>
      </c>
      <c r="IK51" s="81"/>
      <c r="IL51" s="81">
        <f>SUM(IL46:IL50)</f>
        <v>603.9412500000002</v>
      </c>
      <c r="IM51" s="81"/>
      <c r="IN51" s="81">
        <f>SUM(IN46:IN50)</f>
        <v>12078.825000000004</v>
      </c>
      <c r="IO51" s="81"/>
      <c r="IP51" s="81">
        <f>SUM(IP46:IP50)</f>
        <v>603.9412500000002</v>
      </c>
      <c r="IQ51" s="81"/>
      <c r="IR51" s="81">
        <f>SUM(IR46:IR50)</f>
        <v>12078.825000000004</v>
      </c>
      <c r="IS51" s="81"/>
      <c r="IT51" s="81">
        <f>SUM(IT46:IT50)</f>
        <v>603.9412500000002</v>
      </c>
      <c r="IU51" s="81"/>
      <c r="IV51" s="81">
        <f>SUM(IV46:IV50)</f>
        <v>12078.825000000004</v>
      </c>
      <c r="IW51" s="81"/>
      <c r="IX51" s="81">
        <f>SUM(IX46:IX50)</f>
        <v>603.9412500000002</v>
      </c>
      <c r="IY51" s="81"/>
      <c r="IZ51" s="81">
        <f>SUM(IZ46:IZ50)</f>
        <v>12078.825000000004</v>
      </c>
      <c r="JA51" s="9"/>
      <c r="JB51" s="81">
        <f>SUM(JB46:JB50)</f>
        <v>7247.295000000004</v>
      </c>
      <c r="JC51" s="81"/>
      <c r="JD51" s="81">
        <f>SUM(JD46:JD50)</f>
        <v>144945.90000000005</v>
      </c>
      <c r="JE51" s="9"/>
      <c r="JF51" s="81">
        <f>SUM(JF46:JF50)</f>
        <v>664.3353750000003</v>
      </c>
      <c r="JG51" s="81"/>
      <c r="JH51" s="81">
        <f>SUM(JH46:JH50)</f>
        <v>13286.707500000008</v>
      </c>
      <c r="JI51" s="81"/>
      <c r="JJ51" s="81">
        <f>SUM(JJ46:JJ50)</f>
        <v>664.3353750000003</v>
      </c>
      <c r="JK51" s="81"/>
      <c r="JL51" s="81">
        <f>SUM(JL46:JL50)</f>
        <v>13286.707500000008</v>
      </c>
      <c r="JM51" s="81"/>
      <c r="JN51" s="81">
        <f>SUM(JN46:JN50)</f>
        <v>664.3353750000003</v>
      </c>
      <c r="JO51" s="81"/>
      <c r="JP51" s="81">
        <f>SUM(JP46:JP50)</f>
        <v>13286.707500000008</v>
      </c>
      <c r="JQ51" s="81"/>
      <c r="JR51" s="81">
        <f>SUM(JR46:JR50)</f>
        <v>664.3353750000003</v>
      </c>
      <c r="JS51" s="81"/>
      <c r="JT51" s="81">
        <f>SUM(JT46:JT50)</f>
        <v>13286.707500000008</v>
      </c>
      <c r="JU51" s="81"/>
      <c r="JV51" s="81">
        <f>SUM(JV46:JV50)</f>
        <v>664.3353750000003</v>
      </c>
      <c r="JW51" s="81"/>
      <c r="JX51" s="81">
        <f>SUM(JX46:JX50)</f>
        <v>13286.707500000008</v>
      </c>
      <c r="JY51" s="81"/>
      <c r="JZ51" s="81">
        <f>SUM(JZ46:JZ50)</f>
        <v>664.3353750000003</v>
      </c>
      <c r="KA51" s="81"/>
      <c r="KB51" s="81">
        <f>SUM(KB46:KB50)</f>
        <v>13286.707500000008</v>
      </c>
      <c r="KC51" s="81"/>
      <c r="KD51" s="81">
        <f>SUM(KD46:KD50)</f>
        <v>664.3353750000003</v>
      </c>
      <c r="KE51" s="81"/>
      <c r="KF51" s="81">
        <f>SUM(KF46:KF50)</f>
        <v>13286.707500000008</v>
      </c>
      <c r="KG51" s="81"/>
      <c r="KH51" s="81">
        <f>SUM(KH46:KH50)</f>
        <v>664.3353750000003</v>
      </c>
      <c r="KI51" s="81"/>
      <c r="KJ51" s="81">
        <f>SUM(KJ46:KJ50)</f>
        <v>13286.707500000008</v>
      </c>
      <c r="KK51" s="81"/>
      <c r="KL51" s="81">
        <f>SUM(KL46:KL50)</f>
        <v>664.3353750000003</v>
      </c>
      <c r="KM51" s="81"/>
      <c r="KN51" s="81">
        <f>SUM(KN46:KN50)</f>
        <v>13286.707500000008</v>
      </c>
      <c r="KO51" s="81"/>
      <c r="KP51" s="81">
        <f>SUM(KP46:KP50)</f>
        <v>664.3353750000003</v>
      </c>
      <c r="KQ51" s="81"/>
      <c r="KR51" s="81">
        <f>SUM(KR46:KR50)</f>
        <v>13286.707500000008</v>
      </c>
      <c r="KS51" s="81"/>
      <c r="KT51" s="81">
        <f>SUM(KT46:KT50)</f>
        <v>664.3353750000003</v>
      </c>
      <c r="KU51" s="81"/>
      <c r="KV51" s="81">
        <f>SUM(KV46:KV50)</f>
        <v>13286.707500000008</v>
      </c>
      <c r="KW51" s="81"/>
      <c r="KX51" s="81">
        <f>SUM(KX46:KX50)</f>
        <v>664.3353750000003</v>
      </c>
      <c r="KY51" s="81"/>
      <c r="KZ51" s="81">
        <f>SUM(KZ46:KZ50)</f>
        <v>13286.707500000008</v>
      </c>
      <c r="LA51" s="9"/>
      <c r="LB51" s="81">
        <f>SUM(LB46:LB50)</f>
        <v>7972.024500000005</v>
      </c>
      <c r="LC51" s="81"/>
      <c r="LD51" s="81">
        <f>SUM(LD46:LD50)</f>
        <v>159440.4900000001</v>
      </c>
    </row>
    <row r="52" ht="18.75" customHeight="1" spans="2:316" x14ac:dyDescent="0.25">
      <c r="B52" s="9"/>
      <c r="C52" s="17"/>
      <c r="G52" s="54"/>
      <c r="H52" s="54"/>
      <c r="I52" s="54"/>
      <c r="K52" s="54"/>
      <c r="L52" s="54"/>
      <c r="M52" s="54"/>
      <c r="O52" s="54"/>
      <c r="P52" s="54"/>
      <c r="Q52" s="54"/>
      <c r="S52" s="54"/>
      <c r="T52" s="54"/>
      <c r="U52" s="54"/>
      <c r="W52" s="54"/>
      <c r="X52" s="54"/>
      <c r="Y52" s="54"/>
      <c r="AA52" s="54"/>
      <c r="AB52" s="54"/>
      <c r="AC52" s="54"/>
      <c r="AE52" s="54"/>
      <c r="AF52" s="54"/>
      <c r="AG52" s="54"/>
      <c r="AI52" s="54"/>
      <c r="AJ52" s="54"/>
      <c r="AK52" s="54"/>
      <c r="AM52" s="54"/>
      <c r="AN52" s="54"/>
      <c r="AO52" s="54"/>
      <c r="AQ52" s="54"/>
      <c r="AR52" s="54"/>
      <c r="AS52" s="54"/>
      <c r="AU52" s="54"/>
      <c r="AV52" s="54"/>
      <c r="AW52" s="54"/>
      <c r="AY52" s="54"/>
      <c r="AZ52" s="54"/>
      <c r="BA52" s="54"/>
      <c r="BB52" s="54"/>
      <c r="BC52" s="54"/>
      <c r="BD52" s="54"/>
      <c r="BG52" s="54"/>
      <c r="BH52" s="54"/>
      <c r="BI52" s="54"/>
      <c r="BK52" s="54"/>
      <c r="BL52" s="54"/>
      <c r="BM52" s="54"/>
      <c r="BO52" s="54"/>
      <c r="BP52" s="54"/>
      <c r="BQ52" s="54"/>
      <c r="BS52" s="54"/>
      <c r="BT52" s="54"/>
      <c r="BU52" s="54"/>
      <c r="BW52" s="54"/>
      <c r="BX52" s="54"/>
      <c r="BY52" s="54"/>
      <c r="CA52" s="54"/>
      <c r="CB52" s="54"/>
      <c r="CC52" s="54"/>
      <c r="CE52" s="54"/>
      <c r="CF52" s="54"/>
      <c r="CG52" s="54"/>
      <c r="CI52" s="54"/>
      <c r="CJ52" s="54"/>
      <c r="CK52" s="54"/>
      <c r="CM52" s="54"/>
      <c r="CN52" s="54"/>
      <c r="CO52" s="54"/>
      <c r="CQ52" s="54"/>
      <c r="CR52" s="54"/>
      <c r="CS52" s="54"/>
      <c r="CU52" s="54"/>
      <c r="CV52" s="54"/>
      <c r="CW52" s="54"/>
      <c r="CY52" s="54"/>
      <c r="CZ52" s="54"/>
      <c r="DA52" s="54"/>
      <c r="DC52" s="54"/>
      <c r="DD52" s="54"/>
      <c r="DG52" s="54"/>
      <c r="DH52" s="54"/>
      <c r="DI52" s="54"/>
      <c r="DK52" s="54"/>
      <c r="DL52" s="54"/>
      <c r="DM52" s="54"/>
      <c r="DO52" s="54"/>
      <c r="DP52" s="54"/>
      <c r="DQ52" s="54"/>
      <c r="DS52" s="54"/>
      <c r="DT52" s="54"/>
      <c r="DU52" s="54"/>
      <c r="DW52" s="54"/>
      <c r="DX52" s="54"/>
      <c r="DY52" s="54"/>
      <c r="EA52" s="54"/>
      <c r="EB52" s="54"/>
      <c r="EC52" s="54"/>
      <c r="EE52" s="54"/>
      <c r="EF52" s="54"/>
      <c r="EG52" s="54"/>
      <c r="EI52" s="54"/>
      <c r="EJ52" s="54"/>
      <c r="EK52" s="54"/>
      <c r="EM52" s="54"/>
      <c r="EN52" s="54"/>
      <c r="EO52" s="54"/>
      <c r="EQ52" s="54"/>
      <c r="ER52" s="54"/>
      <c r="ES52" s="54"/>
      <c r="EU52" s="54"/>
      <c r="EV52" s="54"/>
      <c r="EW52" s="54"/>
      <c r="EY52" s="54"/>
      <c r="EZ52" s="54"/>
      <c r="FA52" s="54"/>
      <c r="FC52" s="54"/>
      <c r="FD52" s="54"/>
      <c r="FG52" s="54"/>
      <c r="FH52" s="54"/>
      <c r="FI52" s="54"/>
      <c r="FK52" s="54"/>
      <c r="FL52" s="54"/>
      <c r="FM52" s="54"/>
      <c r="FO52" s="54"/>
      <c r="FP52" s="54"/>
      <c r="FQ52" s="54"/>
      <c r="FS52" s="54"/>
      <c r="FT52" s="54"/>
      <c r="FU52" s="54"/>
      <c r="FW52" s="54"/>
      <c r="FX52" s="54"/>
      <c r="FY52" s="54"/>
      <c r="GA52" s="54"/>
      <c r="GB52" s="54"/>
      <c r="GC52" s="54"/>
      <c r="GE52" s="54"/>
      <c r="GF52" s="54"/>
      <c r="GG52" s="54"/>
      <c r="GI52" s="54"/>
      <c r="GJ52" s="54"/>
      <c r="GK52" s="54"/>
      <c r="GM52" s="54"/>
      <c r="GN52" s="54"/>
      <c r="GO52" s="54"/>
      <c r="GQ52" s="54"/>
      <c r="GR52" s="54"/>
      <c r="GS52" s="54"/>
      <c r="GU52" s="54"/>
      <c r="GV52" s="54"/>
      <c r="GW52" s="54"/>
      <c r="GY52" s="54"/>
      <c r="GZ52" s="54"/>
      <c r="HC52" s="54"/>
      <c r="HD52" s="54"/>
      <c r="HG52" s="54"/>
      <c r="HH52" s="54"/>
      <c r="HI52" s="54"/>
      <c r="HK52" s="54"/>
      <c r="HL52" s="54"/>
      <c r="HM52" s="54"/>
      <c r="HO52" s="54"/>
      <c r="HP52" s="54"/>
      <c r="HQ52" s="54"/>
      <c r="HS52" s="54"/>
      <c r="HT52" s="54"/>
      <c r="HU52" s="54"/>
      <c r="HW52" s="54"/>
      <c r="HX52" s="54"/>
      <c r="HY52" s="54"/>
      <c r="IA52" s="54"/>
      <c r="IB52" s="54"/>
      <c r="IC52" s="54"/>
      <c r="IE52" s="54"/>
      <c r="IF52" s="54"/>
      <c r="IG52" s="54"/>
      <c r="II52" s="54"/>
      <c r="IJ52" s="54"/>
      <c r="IK52" s="54"/>
      <c r="IM52" s="54"/>
      <c r="IN52" s="54"/>
      <c r="IO52" s="54"/>
      <c r="IQ52" s="54"/>
      <c r="IR52" s="54"/>
      <c r="IS52" s="54"/>
      <c r="IU52" s="54"/>
      <c r="IV52" s="54"/>
      <c r="IW52" s="54"/>
      <c r="IY52" s="54"/>
      <c r="IZ52" s="54"/>
      <c r="JC52" s="54"/>
      <c r="JD52" s="54"/>
      <c r="JG52" s="54"/>
      <c r="JH52" s="54"/>
      <c r="JI52" s="54"/>
      <c r="JK52" s="54"/>
      <c r="JL52" s="54"/>
      <c r="JM52" s="54"/>
      <c r="JO52" s="54"/>
      <c r="JP52" s="54"/>
      <c r="JQ52" s="54"/>
      <c r="JS52" s="54"/>
      <c r="JT52" s="54"/>
      <c r="JU52" s="54"/>
      <c r="JW52" s="54"/>
      <c r="JX52" s="54"/>
      <c r="JY52" s="54"/>
      <c r="KA52" s="54"/>
      <c r="KB52" s="54"/>
      <c r="KC52" s="54"/>
      <c r="KE52" s="54"/>
      <c r="KF52" s="54"/>
      <c r="KG52" s="54"/>
      <c r="KI52" s="54"/>
      <c r="KJ52" s="54"/>
      <c r="KK52" s="54"/>
      <c r="KM52" s="54"/>
      <c r="KN52" s="54"/>
      <c r="KO52" s="54"/>
      <c r="KQ52" s="54"/>
      <c r="KR52" s="54"/>
      <c r="KS52" s="54"/>
      <c r="KU52" s="54"/>
      <c r="KV52" s="54"/>
      <c r="KW52" s="54"/>
      <c r="KY52" s="54"/>
      <c r="KZ52" s="54"/>
      <c r="LC52" s="54"/>
      <c r="LD52" s="54"/>
    </row>
    <row r="53" ht="18.75" customHeight="1" spans="2:316" x14ac:dyDescent="0.25">
      <c r="B53" s="9"/>
      <c r="C53" s="17"/>
      <c r="G53" s="54"/>
      <c r="H53" s="54"/>
      <c r="I53" s="54"/>
      <c r="K53" s="54"/>
      <c r="L53" s="54"/>
      <c r="M53" s="54"/>
      <c r="O53" s="54"/>
      <c r="P53" s="54"/>
      <c r="Q53" s="54"/>
      <c r="S53" s="54"/>
      <c r="T53" s="54"/>
      <c r="U53" s="54"/>
      <c r="W53" s="54"/>
      <c r="X53" s="54"/>
      <c r="Y53" s="54"/>
      <c r="AA53" s="54"/>
      <c r="AB53" s="54"/>
      <c r="AC53" s="54"/>
      <c r="AE53" s="54"/>
      <c r="AF53" s="54"/>
      <c r="AG53" s="54"/>
      <c r="AI53" s="54"/>
      <c r="AJ53" s="54"/>
      <c r="AK53" s="54"/>
      <c r="AM53" s="54"/>
      <c r="AN53" s="54"/>
      <c r="AO53" s="54"/>
      <c r="AQ53" s="54"/>
      <c r="AR53" s="54"/>
      <c r="AS53" s="54"/>
      <c r="AU53" s="54"/>
      <c r="AV53" s="54"/>
      <c r="AW53" s="54"/>
      <c r="AY53" s="54"/>
      <c r="AZ53" s="54"/>
      <c r="BA53" s="54"/>
      <c r="BB53" s="54"/>
      <c r="BC53" s="54"/>
      <c r="BD53" s="54"/>
      <c r="BG53" s="54"/>
      <c r="BH53" s="54"/>
      <c r="BI53" s="54"/>
      <c r="BK53" s="54"/>
      <c r="BL53" s="54"/>
      <c r="BM53" s="54"/>
      <c r="BO53" s="54"/>
      <c r="BP53" s="54"/>
      <c r="BQ53" s="54"/>
      <c r="BS53" s="54"/>
      <c r="BT53" s="54"/>
      <c r="BU53" s="54"/>
      <c r="BW53" s="54"/>
      <c r="BX53" s="54"/>
      <c r="BY53" s="54"/>
      <c r="CA53" s="54"/>
      <c r="CB53" s="54"/>
      <c r="CC53" s="54"/>
      <c r="CE53" s="54"/>
      <c r="CF53" s="54"/>
      <c r="CG53" s="54"/>
      <c r="CI53" s="54"/>
      <c r="CJ53" s="54"/>
      <c r="CK53" s="54"/>
      <c r="CM53" s="54"/>
      <c r="CN53" s="54"/>
      <c r="CO53" s="54"/>
      <c r="CQ53" s="54"/>
      <c r="CR53" s="54"/>
      <c r="CS53" s="54"/>
      <c r="CU53" s="54"/>
      <c r="CV53" s="54"/>
      <c r="CW53" s="54"/>
      <c r="CY53" s="54"/>
      <c r="CZ53" s="54"/>
      <c r="DA53" s="54"/>
      <c r="DC53" s="54"/>
      <c r="DD53" s="54"/>
      <c r="DG53" s="54"/>
      <c r="DH53" s="54"/>
      <c r="DI53" s="54"/>
      <c r="DK53" s="54"/>
      <c r="DL53" s="54"/>
      <c r="DM53" s="54"/>
      <c r="DO53" s="54"/>
      <c r="DP53" s="54"/>
      <c r="DQ53" s="54"/>
      <c r="DS53" s="54"/>
      <c r="DT53" s="54"/>
      <c r="DU53" s="54"/>
      <c r="DW53" s="54"/>
      <c r="DX53" s="54"/>
      <c r="DY53" s="54"/>
      <c r="EA53" s="54"/>
      <c r="EB53" s="54"/>
      <c r="EC53" s="54"/>
      <c r="EE53" s="54"/>
      <c r="EF53" s="54"/>
      <c r="EG53" s="54"/>
      <c r="EI53" s="54"/>
      <c r="EJ53" s="54"/>
      <c r="EK53" s="54"/>
      <c r="EM53" s="54"/>
      <c r="EN53" s="54"/>
      <c r="EO53" s="54"/>
      <c r="EQ53" s="54"/>
      <c r="ER53" s="54"/>
      <c r="ES53" s="54"/>
      <c r="EU53" s="54"/>
      <c r="EV53" s="54"/>
      <c r="EW53" s="54"/>
      <c r="EY53" s="54"/>
      <c r="EZ53" s="54"/>
      <c r="FA53" s="54"/>
      <c r="FC53" s="54"/>
      <c r="FD53" s="54"/>
      <c r="FG53" s="54"/>
      <c r="FH53" s="54"/>
      <c r="FI53" s="54"/>
      <c r="FK53" s="54"/>
      <c r="FL53" s="54"/>
      <c r="FM53" s="54"/>
      <c r="FO53" s="54"/>
      <c r="FP53" s="54"/>
      <c r="FQ53" s="54"/>
      <c r="FS53" s="54"/>
      <c r="FT53" s="54"/>
      <c r="FU53" s="54"/>
      <c r="FW53" s="54"/>
      <c r="FX53" s="54"/>
      <c r="FY53" s="54"/>
      <c r="GA53" s="54"/>
      <c r="GB53" s="54"/>
      <c r="GC53" s="54"/>
      <c r="GE53" s="54"/>
      <c r="GF53" s="54"/>
      <c r="GG53" s="54"/>
      <c r="GI53" s="54"/>
      <c r="GJ53" s="54"/>
      <c r="GK53" s="54"/>
      <c r="GM53" s="54"/>
      <c r="GN53" s="54"/>
      <c r="GO53" s="54"/>
      <c r="GQ53" s="54"/>
      <c r="GR53" s="54"/>
      <c r="GS53" s="54"/>
      <c r="GU53" s="54"/>
      <c r="GV53" s="54"/>
      <c r="GW53" s="54"/>
      <c r="GY53" s="54"/>
      <c r="GZ53" s="54"/>
      <c r="HC53" s="54"/>
      <c r="HD53" s="54"/>
      <c r="HG53" s="54"/>
      <c r="HH53" s="54"/>
      <c r="HI53" s="54"/>
      <c r="HK53" s="54"/>
      <c r="HL53" s="54"/>
      <c r="HM53" s="54"/>
      <c r="HO53" s="54"/>
      <c r="HP53" s="54"/>
      <c r="HQ53" s="54"/>
      <c r="HS53" s="54"/>
      <c r="HT53" s="54"/>
      <c r="HU53" s="54"/>
      <c r="HW53" s="54"/>
      <c r="HX53" s="54"/>
      <c r="HY53" s="54"/>
      <c r="IA53" s="54"/>
      <c r="IB53" s="54"/>
      <c r="IC53" s="54"/>
      <c r="IE53" s="54"/>
      <c r="IF53" s="54"/>
      <c r="IG53" s="54"/>
      <c r="II53" s="54"/>
      <c r="IJ53" s="54"/>
      <c r="IK53" s="54"/>
      <c r="IM53" s="54"/>
      <c r="IN53" s="54"/>
      <c r="IO53" s="54"/>
      <c r="IQ53" s="54"/>
      <c r="IR53" s="54"/>
      <c r="IS53" s="54"/>
      <c r="IU53" s="54"/>
      <c r="IV53" s="54"/>
      <c r="IW53" s="54"/>
      <c r="IY53" s="54"/>
      <c r="IZ53" s="54"/>
      <c r="JC53" s="54"/>
      <c r="JD53" s="54"/>
      <c r="JG53" s="54"/>
      <c r="JH53" s="54"/>
      <c r="JI53" s="54"/>
      <c r="JK53" s="54"/>
      <c r="JL53" s="54"/>
      <c r="JM53" s="54"/>
      <c r="JO53" s="54"/>
      <c r="JP53" s="54"/>
      <c r="JQ53" s="54"/>
      <c r="JS53" s="54"/>
      <c r="JT53" s="54"/>
      <c r="JU53" s="54"/>
      <c r="JW53" s="54"/>
      <c r="JX53" s="54"/>
      <c r="JY53" s="54"/>
      <c r="KA53" s="54"/>
      <c r="KB53" s="54"/>
      <c r="KC53" s="54"/>
      <c r="KE53" s="54"/>
      <c r="KF53" s="54"/>
      <c r="KG53" s="54"/>
      <c r="KI53" s="54"/>
      <c r="KJ53" s="54"/>
      <c r="KK53" s="54"/>
      <c r="KM53" s="54"/>
      <c r="KN53" s="54"/>
      <c r="KO53" s="54"/>
      <c r="KQ53" s="54"/>
      <c r="KR53" s="54"/>
      <c r="KS53" s="54"/>
      <c r="KU53" s="54"/>
      <c r="KV53" s="54"/>
      <c r="KW53" s="54"/>
      <c r="KY53" s="54"/>
      <c r="KZ53" s="54"/>
      <c r="LC53" s="54"/>
      <c r="LD53" s="54"/>
    </row>
    <row r="54" spans="2:316" s="9" customFormat="1" x14ac:dyDescent="0.25">
      <c r="B54" s="84" t="s">
        <v>218</v>
      </c>
      <c r="C54" s="84"/>
      <c r="D54" s="84"/>
      <c r="F54" s="81">
        <f>F15+F24+F33+F42+F51</f>
        <v>1875</v>
      </c>
      <c r="H54" s="81">
        <f>H15+H24+H33+H42+H51</f>
        <v>37500</v>
      </c>
      <c r="J54" s="81">
        <f>J15+J24+J33+J42+J51</f>
        <v>2062.5</v>
      </c>
      <c r="L54" s="81">
        <f>L15+L24+L33+L42+L51</f>
        <v>41250</v>
      </c>
      <c r="N54" s="81">
        <f>N15+N24+N33+N42+N51</f>
        <v>2062.5</v>
      </c>
      <c r="P54" s="81">
        <f>P15+P24+P33+P42+P51</f>
        <v>41250</v>
      </c>
      <c r="R54" s="81">
        <f>R15+R24+R33+R42+R51</f>
        <v>2062.5</v>
      </c>
      <c r="T54" s="81">
        <f>T15+T24+T33+T42+T51</f>
        <v>41250</v>
      </c>
      <c r="V54" s="81">
        <f>V15+V24+V33+V42+V51</f>
        <v>2062.5</v>
      </c>
      <c r="X54" s="81">
        <f>X15+X24+X33+X42+X51</f>
        <v>41250</v>
      </c>
      <c r="Z54" s="81">
        <f>Z15+Z24+Z33+Z42+Z51</f>
        <v>2062.5</v>
      </c>
      <c r="AB54" s="81">
        <f>AB15+AB24+AB33+AB42+AB51</f>
        <v>41250</v>
      </c>
      <c r="AD54" s="81">
        <f>AD15+AD24+AD33+AD42+AD51</f>
        <v>2062.5</v>
      </c>
      <c r="AF54" s="81">
        <f>AF15+AF24+AF33+AF42+AF51</f>
        <v>41250</v>
      </c>
      <c r="AH54" s="81">
        <f>AH15+AH24+AH33+AH42+AH51</f>
        <v>2062.5</v>
      </c>
      <c r="AJ54" s="81">
        <f>AJ15+AJ24+AJ33+AJ42+AJ51</f>
        <v>41250</v>
      </c>
      <c r="AL54" s="81">
        <f>AL15+AL24+AL33+AL42+AL51</f>
        <v>2062.5</v>
      </c>
      <c r="AN54" s="81">
        <f>AN15+AN24+AN33+AN42+AN51</f>
        <v>41250</v>
      </c>
      <c r="AP54" s="81">
        <f>AP15+AP24+AP33+AP42+AP51</f>
        <v>2062.5</v>
      </c>
      <c r="AR54" s="81">
        <f>AR15+AR24+AR33+AR42+AR51</f>
        <v>41250</v>
      </c>
      <c r="AT54" s="81">
        <f>AT15+AT24+AT33+AT42+AT51</f>
        <v>2062.5</v>
      </c>
      <c r="AV54" s="81">
        <f>AV15+AV24+AV33+AV42+AV51</f>
        <v>41250</v>
      </c>
      <c r="AX54" s="81">
        <f>AX15+AX24+AX33+AX42+AX51</f>
        <v>2062.5</v>
      </c>
      <c r="AZ54" s="81">
        <f>AZ15+AZ24+AZ33+AZ42+AZ51</f>
        <v>41250</v>
      </c>
      <c r="BB54" s="81">
        <f>BB15+BB24+BB33+BB42+BB51</f>
        <v>24562.5</v>
      </c>
      <c r="BD54" s="81">
        <f>BD15+BD24+BD33+BD42+BD51</f>
        <v>367500</v>
      </c>
      <c r="BF54" s="81">
        <f>BF15+BF24+BF33+BF42+BF51</f>
        <v>2268.75</v>
      </c>
      <c r="BH54" s="81">
        <f>BH15+BH24+BH33+BH42+BH51</f>
        <v>45375</v>
      </c>
      <c r="BJ54" s="81">
        <f>BJ15+BJ24+BJ33+BJ42+BJ51</f>
        <v>2268.75</v>
      </c>
      <c r="BL54" s="81">
        <f>BL15+BL24+BL33+BL42+BL51</f>
        <v>45375</v>
      </c>
      <c r="BN54" s="81">
        <f>BN15+BN24+BN33+BN42+BN51</f>
        <v>2268.75</v>
      </c>
      <c r="BP54" s="81">
        <f>BP15+BP24+BP33+BP42+BP51</f>
        <v>45375</v>
      </c>
      <c r="BR54" s="81">
        <f>BR15+BR24+BR33+BR42+BR51</f>
        <v>2268.75</v>
      </c>
      <c r="BT54" s="81">
        <f>BT15+BT24+BT33+BT42+BT51</f>
        <v>45375</v>
      </c>
      <c r="BV54" s="81">
        <f>BV15+BV24+BV33+BV42+BV51</f>
        <v>2268.75</v>
      </c>
      <c r="BX54" s="81">
        <f>BX15+BX24+BX33+BX42+BX51</f>
        <v>45375</v>
      </c>
      <c r="BZ54" s="81">
        <f>BZ15+BZ24+BZ33+BZ42+BZ51</f>
        <v>2268.75</v>
      </c>
      <c r="CB54" s="81">
        <f>CB15+CB24+CB33+CB42+CB51</f>
        <v>45375</v>
      </c>
      <c r="CD54" s="81">
        <f>CD15+CD24+CD33+CD42+CD51</f>
        <v>2268.75</v>
      </c>
      <c r="CF54" s="81">
        <f>CF15+CF24+CF33+CF42+CF51</f>
        <v>45375</v>
      </c>
      <c r="CH54" s="81">
        <f>CH15+CH24+CH33+CH42+CH51</f>
        <v>2268.75</v>
      </c>
      <c r="CJ54" s="81">
        <f>CJ15+CJ24+CJ33+CJ42+CJ51</f>
        <v>45375</v>
      </c>
      <c r="CL54" s="81">
        <f>CL15+CL24+CL33+CL42+CL51</f>
        <v>2268.75</v>
      </c>
      <c r="CN54" s="81">
        <f>CN15+CN24+CN33+CN42+CN51</f>
        <v>45375</v>
      </c>
      <c r="CP54" s="81">
        <f>CP15+CP24+CP33+CP42+CP51</f>
        <v>2268.75</v>
      </c>
      <c r="CR54" s="81">
        <f>CR15+CR24+CR33+CR42+CR51</f>
        <v>45375</v>
      </c>
      <c r="CT54" s="81">
        <f>CT15+CT24+CT33+CT42+CT51</f>
        <v>2268.75</v>
      </c>
      <c r="CV54" s="81">
        <f>CV15+CV24+CV33+CV42+CV51</f>
        <v>45375</v>
      </c>
      <c r="CX54" s="81">
        <f>CX15+CX24+CX33+CX42+CX51</f>
        <v>2268.75</v>
      </c>
      <c r="CZ54" s="81">
        <f>CZ15+CZ24+CZ33+CZ42+CZ51</f>
        <v>45375</v>
      </c>
      <c r="DA54" s="81"/>
      <c r="DB54" s="81">
        <f>DB15+DB24+DB33+DB42+DB51</f>
        <v>27225</v>
      </c>
      <c r="DD54" s="81">
        <f>DD15+DD24+DD33+DD42+DD51</f>
        <v>544500</v>
      </c>
      <c r="DF54" s="81">
        <f>DF15+DF24+DF33+DF42+DF51</f>
        <v>2495.6250000000005</v>
      </c>
      <c r="DH54" s="81">
        <f>DH15+DH24+DH33+DH42+DH51</f>
        <v>49912.50000000001</v>
      </c>
      <c r="DJ54" s="81">
        <f>DJ15+DJ24+DJ33+DJ42+DJ51</f>
        <v>2495.6250000000005</v>
      </c>
      <c r="DL54" s="81">
        <f>DL15+DL24+DL33+DL42+DL51</f>
        <v>49912.50000000001</v>
      </c>
      <c r="DN54" s="81">
        <f>DN15+DN24+DN33+DN42+DN51</f>
        <v>2495.6250000000005</v>
      </c>
      <c r="DP54" s="81">
        <f>DP15+DP24+DP33+DP42+DP51</f>
        <v>49912.50000000001</v>
      </c>
      <c r="DR54" s="81">
        <f>DR15+DR24+DR33+DR42+DR51</f>
        <v>2495.6250000000005</v>
      </c>
      <c r="DT54" s="81">
        <f>DT15+DT24+DT33+DT42+DT51</f>
        <v>49912.50000000001</v>
      </c>
      <c r="DV54" s="81">
        <f>DV15+DV24+DV33+DV42+DV51</f>
        <v>2495.6250000000005</v>
      </c>
      <c r="DX54" s="81">
        <f>DX15+DX24+DX33+DX42+DX51</f>
        <v>49912.50000000001</v>
      </c>
      <c r="DZ54" s="81">
        <f>DZ15+DZ24+DZ33+DZ42+DZ51</f>
        <v>2495.6250000000005</v>
      </c>
      <c r="EB54" s="81">
        <f>EB15+EB24+EB33+EB42+EB51</f>
        <v>49912.50000000001</v>
      </c>
      <c r="ED54" s="81">
        <f>ED15+ED24+ED33+ED42+ED51</f>
        <v>2495.6250000000005</v>
      </c>
      <c r="EF54" s="81">
        <f>EF15+EF24+EF33+EF42+EF51</f>
        <v>49912.50000000001</v>
      </c>
      <c r="EH54" s="81">
        <f>EH15+EH24+EH33+EH42+EH51</f>
        <v>2495.6250000000005</v>
      </c>
      <c r="EJ54" s="81">
        <f>EJ15+EJ24+EJ33+EJ42+EJ51</f>
        <v>49912.50000000001</v>
      </c>
      <c r="EL54" s="81">
        <f>EL15+EL24+EL33+EL42+EL51</f>
        <v>2495.6250000000005</v>
      </c>
      <c r="EN54" s="81">
        <f>EN15+EN24+EN33+EN42+EN51</f>
        <v>49912.50000000001</v>
      </c>
      <c r="EP54" s="81">
        <f>EP15+EP24+EP33+EP42+EP51</f>
        <v>2495.6250000000005</v>
      </c>
      <c r="ER54" s="81">
        <f>ER15+ER24+ER33+ER42+ER51</f>
        <v>49912.50000000001</v>
      </c>
      <c r="ET54" s="81">
        <f>ET15+ET24+ET33+ET42+ET51</f>
        <v>2495.6250000000005</v>
      </c>
      <c r="EV54" s="81">
        <f>EV15+EV24+EV33+EV42+EV51</f>
        <v>49912.50000000001</v>
      </c>
      <c r="EX54" s="81">
        <f>EX15+EX24+EX33+EX42+EX51</f>
        <v>2495.6250000000005</v>
      </c>
      <c r="EZ54" s="81">
        <f>EZ15+EZ24+EZ33+EZ42+EZ51</f>
        <v>49912.50000000001</v>
      </c>
      <c r="FA54" s="81"/>
      <c r="FB54" s="81">
        <f>FB15+FB24+FB33+FB42+FB51</f>
        <v>29947.500000000007</v>
      </c>
      <c r="FD54" s="81">
        <f>FD15+FD24+FD33+FD42+FD51</f>
        <v>598950</v>
      </c>
      <c r="FF54" s="81">
        <f>FF15+FF24+FF33+FF42+FF51</f>
        <v>2745.187500000001</v>
      </c>
      <c r="FH54" s="81">
        <f>FH15+FH24+FH33+FH42+FH51</f>
        <v>54903.750000000015</v>
      </c>
      <c r="FJ54" s="81">
        <f>FJ15+FJ24+FJ33+FJ42+FJ51</f>
        <v>2745.187500000001</v>
      </c>
      <c r="FL54" s="81">
        <f>FL15+FL24+FL33+FL42+FL51</f>
        <v>54903.750000000015</v>
      </c>
      <c r="FN54" s="81">
        <f>FN15+FN24+FN33+FN42+FN51</f>
        <v>2745.187500000001</v>
      </c>
      <c r="FP54" s="81">
        <f>FP15+FP24+FP33+FP42+FP51</f>
        <v>54903.750000000015</v>
      </c>
      <c r="FR54" s="81">
        <f>FR15+FR24+FR33+FR42+FR51</f>
        <v>2745.187500000001</v>
      </c>
      <c r="FT54" s="81">
        <f>FT15+FT24+FT33+FT42+FT51</f>
        <v>54903.750000000015</v>
      </c>
      <c r="FV54" s="81">
        <f>FV15+FV24+FV33+FV42+FV51</f>
        <v>2745.187500000001</v>
      </c>
      <c r="FX54" s="81">
        <f>FX15+FX24+FX33+FX42+FX51</f>
        <v>54903.750000000015</v>
      </c>
      <c r="FZ54" s="81">
        <f>FZ15+FZ24+FZ33+FZ42+FZ51</f>
        <v>2745.187500000001</v>
      </c>
      <c r="GB54" s="81">
        <f>GB15+GB24+GB33+GB42+GB51</f>
        <v>54903.750000000015</v>
      </c>
      <c r="GD54" s="81">
        <f>GD15+GD24+GD33+GD42+GD51</f>
        <v>2745.187500000001</v>
      </c>
      <c r="GF54" s="81">
        <f>GF15+GF24+GF33+GF42+GF51</f>
        <v>54903.750000000015</v>
      </c>
      <c r="GH54" s="81">
        <f>GH15+GH24+GH33+GH42+GH51</f>
        <v>2745.187500000001</v>
      </c>
      <c r="GJ54" s="81">
        <f>GJ15+GJ24+GJ33+GJ42+GJ51</f>
        <v>54903.750000000015</v>
      </c>
      <c r="GL54" s="81">
        <f>GL15+GL24+GL33+GL42+GL51</f>
        <v>2745.187500000001</v>
      </c>
      <c r="GN54" s="81">
        <f>GN15+GN24+GN33+GN42+GN51</f>
        <v>54903.750000000015</v>
      </c>
      <c r="GP54" s="81">
        <f>GP15+GP24+GP33+GP42+GP51</f>
        <v>2745.187500000001</v>
      </c>
      <c r="GR54" s="81">
        <f>GR15+GR24+GR33+GR42+GR51</f>
        <v>54903.750000000015</v>
      </c>
      <c r="GT54" s="81">
        <f>GT15+GT24+GT33+GT42+GT51</f>
        <v>2745.187500000001</v>
      </c>
      <c r="GV54" s="81">
        <f>GV15+GV24+GV33+GV42+GV51</f>
        <v>54903.750000000015</v>
      </c>
      <c r="GX54" s="81">
        <f>GX15+GX24+GX33+GX42+GX51</f>
        <v>2745.187500000001</v>
      </c>
      <c r="GZ54" s="81">
        <f>GZ15+GZ24+GZ33+GZ42+GZ51</f>
        <v>54903.750000000015</v>
      </c>
      <c r="HB54" s="81">
        <f>HB15+HB24+HB33+HB42+HB51</f>
        <v>32942.250000000015</v>
      </c>
      <c r="HD54" s="81">
        <f>HD15+HD24+HD33+HD42+HD51</f>
        <v>658845.0000000002</v>
      </c>
      <c r="HF54" s="81">
        <f>HF15+HF24+HF33+HF42+HF51</f>
        <v>3019.706250000001</v>
      </c>
      <c r="HH54" s="81">
        <f>HH15+HH24+HH33+HH42+HH51</f>
        <v>60394.12500000002</v>
      </c>
      <c r="HJ54" s="81">
        <f>HJ15+HJ24+HJ33+HJ42+HJ51</f>
        <v>3019.706250000001</v>
      </c>
      <c r="HL54" s="81">
        <f>HL15+HL24+HL33+HL42+HL51</f>
        <v>60394.12500000002</v>
      </c>
      <c r="HN54" s="81">
        <f>HN15+HN24+HN33+HN42+HN51</f>
        <v>3019.706250000001</v>
      </c>
      <c r="HP54" s="81">
        <f>HP15+HP24+HP33+HP42+HP51</f>
        <v>60394.12500000002</v>
      </c>
      <c r="HR54" s="81">
        <f>HR15+HR24+HR33+HR42+HR51</f>
        <v>3019.706250000001</v>
      </c>
      <c r="HT54" s="81">
        <f>HT15+HT24+HT33+HT42+HT51</f>
        <v>60394.12500000002</v>
      </c>
      <c r="HV54" s="81">
        <f>HV15+HV24+HV33+HV42+HV51</f>
        <v>3019.706250000001</v>
      </c>
      <c r="HX54" s="81">
        <f>HX15+HX24+HX33+HX42+HX51</f>
        <v>60394.12500000002</v>
      </c>
      <c r="HZ54" s="81">
        <f>HZ15+HZ24+HZ33+HZ42+HZ51</f>
        <v>3019.706250000001</v>
      </c>
      <c r="IB54" s="81">
        <f>IB15+IB24+IB33+IB42+IB51</f>
        <v>60394.12500000002</v>
      </c>
      <c r="ID54" s="81">
        <f>ID15+ID24+ID33+ID42+ID51</f>
        <v>3019.706250000001</v>
      </c>
      <c r="IF54" s="81">
        <f>IF15+IF24+IF33+IF42+IF51</f>
        <v>60394.12500000002</v>
      </c>
      <c r="IH54" s="81">
        <f>IH15+IH24+IH33+IH42+IH51</f>
        <v>3019.706250000001</v>
      </c>
      <c r="IJ54" s="81">
        <f>IJ15+IJ24+IJ33+IJ42+IJ51</f>
        <v>60394.12500000002</v>
      </c>
      <c r="IL54" s="81">
        <f>IL15+IL24+IL33+IL42+IL51</f>
        <v>3019.706250000001</v>
      </c>
      <c r="IN54" s="81">
        <f>IN15+IN24+IN33+IN42+IN51</f>
        <v>60394.12500000002</v>
      </c>
      <c r="IP54" s="81">
        <f>IP15+IP24+IP33+IP42+IP51</f>
        <v>3019.706250000001</v>
      </c>
      <c r="IR54" s="81">
        <f>IR15+IR24+IR33+IR42+IR51</f>
        <v>60394.12500000002</v>
      </c>
      <c r="IT54" s="81">
        <f>IT15+IT24+IT33+IT42+IT51</f>
        <v>3019.706250000001</v>
      </c>
      <c r="IV54" s="81">
        <f>IV15+IV24+IV33+IV42+IV51</f>
        <v>60394.12500000002</v>
      </c>
      <c r="IX54" s="81">
        <f>IX15+IX24+IX33+IX42+IX51</f>
        <v>3019.706250000001</v>
      </c>
      <c r="IZ54" s="81">
        <f>IZ15+IZ24+IZ33+IZ42+IZ51</f>
        <v>60394.12500000002</v>
      </c>
      <c r="JB54" s="81">
        <f>JB15+JB24+JB33+JB42+JB51</f>
        <v>36236.47500000002</v>
      </c>
      <c r="JD54" s="81">
        <f>JD15+JD24+JD33+JD42+JD51</f>
        <v>724729.5000000002</v>
      </c>
      <c r="JF54" s="81">
        <f>JF15+JF24+JF33+JF42+JF51</f>
        <v>3321.676875000002</v>
      </c>
      <c r="JH54" s="81">
        <f>JH15+JH24+JH33+JH42+JH51</f>
        <v>66433.53750000003</v>
      </c>
      <c r="JJ54" s="81">
        <f>JJ15+JJ24+JJ33+JJ42+JJ51</f>
        <v>3321.676875000002</v>
      </c>
      <c r="JL54" s="81">
        <f>JL15+JL24+JL33+JL42+JL51</f>
        <v>66433.53750000003</v>
      </c>
      <c r="JN54" s="81">
        <f>JN15+JN24+JN33+JN42+JN51</f>
        <v>3321.676875000002</v>
      </c>
      <c r="JP54" s="81">
        <f>JP15+JP24+JP33+JP42+JP51</f>
        <v>66433.53750000003</v>
      </c>
      <c r="JR54" s="81">
        <f>JR15+JR24+JR33+JR42+JR51</f>
        <v>3321.676875000002</v>
      </c>
      <c r="JT54" s="81">
        <f>JT15+JT24+JT33+JT42+JT51</f>
        <v>66433.53750000003</v>
      </c>
      <c r="JV54" s="81">
        <f>JV15+JV24+JV33+JV42+JV51</f>
        <v>3321.676875000002</v>
      </c>
      <c r="JX54" s="81">
        <f>JX15+JX24+JX33+JX42+JX51</f>
        <v>66433.53750000003</v>
      </c>
      <c r="JZ54" s="81">
        <f>JZ15+JZ24+JZ33+JZ42+JZ51</f>
        <v>3321.676875000002</v>
      </c>
      <c r="KB54" s="81">
        <f>KB15+KB24+KB33+KB42+KB51</f>
        <v>66433.53750000003</v>
      </c>
      <c r="KD54" s="81">
        <f>KD15+KD24+KD33+KD42+KD51</f>
        <v>3321.676875000002</v>
      </c>
      <c r="KF54" s="81">
        <f>KF15+KF24+KF33+KF42+KF51</f>
        <v>66433.53750000003</v>
      </c>
      <c r="KH54" s="81">
        <f>KH15+KH24+KH33+KH42+KH51</f>
        <v>3321.676875000002</v>
      </c>
      <c r="KJ54" s="81">
        <f>KJ15+KJ24+KJ33+KJ42+KJ51</f>
        <v>66433.53750000003</v>
      </c>
      <c r="KL54" s="81">
        <f>KL15+KL24+KL33+KL42+KL51</f>
        <v>3321.676875000002</v>
      </c>
      <c r="KN54" s="81">
        <f>KN15+KN24+KN33+KN42+KN51</f>
        <v>66433.53750000003</v>
      </c>
      <c r="KP54" s="81">
        <f>KP15+KP24+KP33+KP42+KP51</f>
        <v>3321.676875000002</v>
      </c>
      <c r="KR54" s="81">
        <f>KR15+KR24+KR33+KR42+KR51</f>
        <v>66433.53750000003</v>
      </c>
      <c r="KT54" s="81">
        <f>KT15+KT24+KT33+KT42+KT51</f>
        <v>3321.676875000002</v>
      </c>
      <c r="KV54" s="81">
        <f>KV15+KV24+KV33+KV42+KV51</f>
        <v>66433.53750000003</v>
      </c>
      <c r="KX54" s="81">
        <f>KX15+KX24+KX33+KX42+KX51</f>
        <v>3321.676875000002</v>
      </c>
      <c r="KZ54" s="81">
        <f>KZ15+KZ24+KZ33+KZ42+KZ51</f>
        <v>66433.53750000003</v>
      </c>
      <c r="LB54" s="81">
        <f>LB15+LB24+LB33+LB42+LB51</f>
        <v>39860.12250000003</v>
      </c>
      <c r="LD54" s="81">
        <f>LD15+LD24+LD33+LD42+LD51</f>
        <v>797202.4500000005</v>
      </c>
    </row>
    <row r="55" spans="2:316" x14ac:dyDescent="0.25">
      <c r="B55" s="84" t="s">
        <v>219</v>
      </c>
      <c r="C55" s="84"/>
      <c r="D55" s="84"/>
      <c r="BD55" s="54">
        <f>BD54/9</f>
        <v>40833.333333333336</v>
      </c>
      <c r="DD55" s="54">
        <f>DD54/12</f>
        <v>45375</v>
      </c>
      <c r="FD55" s="54">
        <f>FD54/12</f>
        <v>49912.5</v>
      </c>
      <c r="HD55" s="54">
        <f>HD54/12</f>
        <v>54903.75000000002</v>
      </c>
      <c r="JD55" s="54">
        <f>JD54/12</f>
        <v>60394.12500000002</v>
      </c>
      <c r="LD55" s="54">
        <f>LD54/12</f>
        <v>66433.53750000005</v>
      </c>
    </row>
    <row r="56" spans="2:316" x14ac:dyDescent="0.25">
      <c r="B56" s="34" t="s">
        <v>220</v>
      </c>
      <c r="C56" s="34"/>
      <c r="D56" s="34"/>
      <c r="H56">
        <f>SUMIF($B$9:$D$54,"Grand Total",H9:H54)</f>
        <v>37500</v>
      </c>
      <c r="L56">
        <f>SUMIF($B$9:$D$54,"Grand Total",L9:L54)</f>
        <v>41250</v>
      </c>
      <c r="P56">
        <f>SUMIF($B$9:$D$54,"Grand Total",P9:P54)</f>
        <v>41250</v>
      </c>
      <c r="T56">
        <f>SUMIF($B$9:$D$54,"Grand Total",T9:T54)</f>
        <v>41250</v>
      </c>
      <c r="X56">
        <f>SUMIF($B$9:$D$54,"Grand Total",X9:X54)</f>
        <v>41250</v>
      </c>
      <c r="AB56">
        <f>SUMIF($B$9:$D$54,"Grand Total",AB9:AB54)</f>
        <v>41250</v>
      </c>
      <c r="AF56">
        <f>SUMIF($B$9:$D$54,"Grand Total",AF9:AF54)</f>
        <v>41250</v>
      </c>
      <c r="AJ56">
        <f>SUMIF($B$9:$D$54,"Grand Total",AJ9:AJ54)</f>
        <v>41250</v>
      </c>
      <c r="AN56">
        <f>SUMIF($B$9:$D$54,"Grand Total",AN9:AN54)</f>
        <v>41250</v>
      </c>
      <c r="AR56">
        <f>SUMIF($B$9:$D$54,"Grand Total",AR9:AR54)</f>
        <v>41250</v>
      </c>
      <c r="AV56">
        <f>SUMIF($B$9:$D$54,"Grand Total",AV9:AV54)</f>
        <v>41250</v>
      </c>
      <c r="AZ56">
        <f>SUMIF($B$9:$D$54,"Grand Total",AZ9:AZ54)</f>
        <v>41250</v>
      </c>
      <c r="BB56">
        <f>SUMIF($B$9:$D$54,"Grand Total",BB9:BB54)</f>
        <v>24562.5</v>
      </c>
      <c r="BD56">
        <f>SUMIF($B$9:$D$54,"Grand Total",BD9:BD54)</f>
        <v>367500</v>
      </c>
      <c r="BH56">
        <f>SUMIF($B$9:$D$54,"Grand Total",BH9:BH54)</f>
        <v>45375</v>
      </c>
      <c r="BL56">
        <f>SUMIF($B$9:$D$54,"Grand Total",BL9:BL54)</f>
        <v>45375</v>
      </c>
      <c r="BP56">
        <f>SUMIF($B$9:$D$54,"Grand Total",BP9:BP54)</f>
        <v>45375</v>
      </c>
      <c r="BT56">
        <f>SUMIF($B$9:$D$54,"Grand Total",BT9:BT54)</f>
        <v>45375</v>
      </c>
      <c r="BX56">
        <f>SUMIF($B$9:$D$54,"Grand Total",BX9:BX54)</f>
        <v>45375</v>
      </c>
      <c r="CB56">
        <f>SUMIF($B$9:$D$54,"Grand Total",CB9:CB54)</f>
        <v>45375</v>
      </c>
      <c r="CF56">
        <f>SUMIF($B$9:$D$54,"Grand Total",CF9:CF54)</f>
        <v>45375</v>
      </c>
      <c r="CJ56">
        <f>SUMIF($B$9:$D$54,"Grand Total",CJ9:CJ54)</f>
        <v>45375</v>
      </c>
      <c r="CN56">
        <f>SUMIF($B$9:$D$54,"Grand Total",CN9:CN54)</f>
        <v>45375</v>
      </c>
      <c r="CR56">
        <f>SUMIF($B$9:$D$54,"Grand Total",CR9:CR54)</f>
        <v>45375</v>
      </c>
      <c r="CV56">
        <f>SUMIF($B$9:$D$54,"Grand Total",CV9:CV54)</f>
        <v>45375</v>
      </c>
      <c r="CZ56">
        <f>SUMIF($B$9:$D$54,"Grand Total",CZ9:CZ54)</f>
        <v>45375</v>
      </c>
      <c r="DB56">
        <f>SUMIF($B$9:$D$54,"Grand Total",DB9:DB54)</f>
        <v>27225</v>
      </c>
      <c r="DD56">
        <f>SUMIF($B$9:$D$54,"Grand Total",DD9:DD54)</f>
        <v>544500</v>
      </c>
      <c r="DH56">
        <f>SUMIF($B$9:$D$54,"Grand Total",DH9:DH54)</f>
        <v>49912.50000000001</v>
      </c>
      <c r="DL56">
        <f>SUMIF($B$9:$D$54,"Grand Total",DL9:DL54)</f>
        <v>49912.50000000001</v>
      </c>
      <c r="DP56">
        <f>SUMIF($B$9:$D$54,"Grand Total",DP9:DP54)</f>
        <v>49912.50000000001</v>
      </c>
      <c r="DT56">
        <f>SUMIF($B$9:$D$54,"Grand Total",DT9:DT54)</f>
        <v>49912.50000000001</v>
      </c>
      <c r="DX56">
        <f>SUMIF($B$9:$D$54,"Grand Total",DX9:DX54)</f>
        <v>49912.50000000001</v>
      </c>
      <c r="EB56">
        <f>SUMIF($B$9:$D$54,"Grand Total",EB9:EB54)</f>
        <v>49912.50000000001</v>
      </c>
      <c r="EF56">
        <f>SUMIF($B$9:$D$54,"Grand Total",EF9:EF54)</f>
        <v>49912.50000000001</v>
      </c>
      <c r="EJ56">
        <f>SUMIF($B$9:$D$54,"Grand Total",EJ9:EJ54)</f>
        <v>49912.50000000001</v>
      </c>
      <c r="EN56">
        <f>SUMIF($B$9:$D$54,"Grand Total",EN9:EN54)</f>
        <v>49912.50000000001</v>
      </c>
      <c r="ER56">
        <f>SUMIF($B$9:$D$54,"Grand Total",ER9:ER54)</f>
        <v>49912.50000000001</v>
      </c>
      <c r="EV56">
        <f>SUMIF($B$9:$D$54,"Grand Total",EV9:EV54)</f>
        <v>49912.50000000001</v>
      </c>
      <c r="EZ56">
        <f>SUMIF($B$9:$D$54,"Grand Total",EZ9:EZ54)</f>
        <v>49912.50000000001</v>
      </c>
      <c r="FB56">
        <f>SUMIF($B$9:$D$54,"Grand Total",FB9:FB54)</f>
        <v>29947.500000000007</v>
      </c>
      <c r="FD56">
        <f>SUMIF($B$9:$D$54,"Grand Total",FD9:FD54)</f>
        <v>598950</v>
      </c>
      <c r="FH56">
        <f>SUMIF($B$9:$D$54,"Grand Total",FH9:FH54)</f>
        <v>54903.750000000015</v>
      </c>
      <c r="FL56">
        <f>SUMIF($B$9:$D$54,"Grand Total",FL9:FL54)</f>
        <v>54903.750000000015</v>
      </c>
      <c r="FP56">
        <f>SUMIF($B$9:$D$54,"Grand Total",FP9:FP54)</f>
        <v>54903.750000000015</v>
      </c>
      <c r="FT56">
        <f>SUMIF($B$9:$D$54,"Grand Total",FT9:FT54)</f>
        <v>54903.750000000015</v>
      </c>
      <c r="FX56">
        <f>SUMIF($B$9:$D$54,"Grand Total",FX9:FX54)</f>
        <v>54903.750000000015</v>
      </c>
      <c r="GB56">
        <f>SUMIF($B$9:$D$54,"Grand Total",GB9:GB54)</f>
        <v>54903.750000000015</v>
      </c>
      <c r="GF56">
        <f>SUMIF($B$9:$D$54,"Grand Total",GF9:GF54)</f>
        <v>54903.750000000015</v>
      </c>
      <c r="GJ56">
        <f>SUMIF($B$9:$D$54,"Grand Total",GJ9:GJ54)</f>
        <v>54903.750000000015</v>
      </c>
      <c r="GN56">
        <f>SUMIF($B$9:$D$54,"Grand Total",GN9:GN54)</f>
        <v>54903.750000000015</v>
      </c>
      <c r="GR56">
        <f>SUMIF($B$9:$D$54,"Grand Total",GR9:GR54)</f>
        <v>54903.750000000015</v>
      </c>
      <c r="GV56">
        <f>SUMIF($B$9:$D$54,"Grand Total",GV9:GV54)</f>
        <v>54903.750000000015</v>
      </c>
      <c r="GZ56">
        <f>SUMIF($B$9:$D$54,"Grand Total",GZ9:GZ54)</f>
        <v>54903.750000000015</v>
      </c>
      <c r="HB56">
        <f>SUMIF($B$9:$D$54,"Grand Total",HB9:HB54)</f>
        <v>32942.250000000015</v>
      </c>
      <c r="HD56">
        <f>SUMIF($B$9:$D$54,"Grand Total",HD9:HD54)</f>
        <v>658845.0000000002</v>
      </c>
      <c r="HH56">
        <f>SUMIF($B$9:$D$54,"Grand Total",HH9:HH54)</f>
        <v>60394.12500000002</v>
      </c>
      <c r="HL56">
        <f>SUMIF($B$9:$D$54,"Grand Total",HL9:HL54)</f>
        <v>60394.12500000002</v>
      </c>
      <c r="HP56">
        <f>SUMIF($B$9:$D$54,"Grand Total",HP9:HP54)</f>
        <v>60394.12500000002</v>
      </c>
      <c r="HT56">
        <f>SUMIF($B$9:$D$54,"Grand Total",HT9:HT54)</f>
        <v>60394.12500000002</v>
      </c>
      <c r="HX56">
        <f>SUMIF($B$9:$D$54,"Grand Total",HX9:HX54)</f>
        <v>60394.12500000002</v>
      </c>
      <c r="IB56">
        <f>SUMIF($B$9:$D$54,"Grand Total",IB9:IB54)</f>
        <v>60394.12500000002</v>
      </c>
      <c r="IF56">
        <f>SUMIF($B$9:$D$54,"Grand Total",IF9:IF54)</f>
        <v>60394.12500000002</v>
      </c>
      <c r="IJ56">
        <f>SUMIF($B$9:$D$54,"Grand Total",IJ9:IJ54)</f>
        <v>60394.12500000002</v>
      </c>
      <c r="IN56">
        <f>SUMIF($B$9:$D$54,"Grand Total",IN9:IN54)</f>
        <v>60394.12500000002</v>
      </c>
      <c r="IR56">
        <f>SUMIF($B$9:$D$54,"Grand Total",IR9:IR54)</f>
        <v>60394.12500000002</v>
      </c>
      <c r="IV56">
        <f>SUMIF($B$9:$D$54,"Grand Total",IV9:IV54)</f>
        <v>60394.12500000002</v>
      </c>
      <c r="IZ56">
        <f>SUMIF($B$9:$D$54,"Grand Total",IZ9:IZ54)</f>
        <v>60394.12500000002</v>
      </c>
      <c r="JB56">
        <f>SUMIF($B$9:$D$54,"Grand Total",JB9:JB54)</f>
        <v>36236.47500000002</v>
      </c>
      <c r="JD56">
        <f>SUMIF($B$9:$D$54,"Grand Total",JD9:JD54)</f>
        <v>724729.5000000002</v>
      </c>
      <c r="JH56">
        <f>SUMIF($B$9:$D$54,"Grand Total",JH9:JH54)</f>
        <v>66433.53750000003</v>
      </c>
      <c r="JL56">
        <f>SUMIF($B$9:$D$54,"Grand Total",JL9:JL54)</f>
        <v>66433.53750000003</v>
      </c>
      <c r="JP56">
        <f>SUMIF($B$9:$D$54,"Grand Total",JP9:JP54)</f>
        <v>66433.53750000003</v>
      </c>
      <c r="JT56">
        <f>SUMIF($B$9:$D$54,"Grand Total",JT9:JT54)</f>
        <v>66433.53750000003</v>
      </c>
      <c r="JX56">
        <f>SUMIF($B$9:$D$54,"Grand Total",JX9:JX54)</f>
        <v>66433.53750000003</v>
      </c>
      <c r="KB56">
        <f>SUMIF($B$9:$D$54,"Grand Total",KB9:KB54)</f>
        <v>66433.53750000003</v>
      </c>
      <c r="KF56">
        <f>SUMIF($B$9:$D$54,"Grand Total",KF9:KF54)</f>
        <v>66433.53750000003</v>
      </c>
      <c r="KJ56">
        <f>SUMIF($B$9:$D$54,"Grand Total",KJ9:KJ54)</f>
        <v>66433.53750000003</v>
      </c>
      <c r="KN56">
        <f>SUMIF($B$9:$D$54,"Grand Total",KN9:KN54)</f>
        <v>66433.53750000003</v>
      </c>
      <c r="KR56">
        <f>SUMIF($B$9:$D$54,"Grand Total",KR9:KR54)</f>
        <v>66433.53750000003</v>
      </c>
      <c r="KV56">
        <f>SUMIF($B$9:$D$54,"Grand Total",KV9:KV54)</f>
        <v>66433.53750000003</v>
      </c>
      <c r="KZ56">
        <f>SUMIF($B$9:$D$54,"Grand Total",KZ9:KZ54)</f>
        <v>66433.53750000003</v>
      </c>
      <c r="LB56">
        <f>SUMIF($B$9:$D$54,"Grand Total",LB9:LB54)</f>
        <v>39860.12250000003</v>
      </c>
      <c r="LD56">
        <f>SUMIF($B$9:$D$54,"Grand Total",LD9:LD54)</f>
        <v>797202.4500000005</v>
      </c>
    </row>
    <row r="57" spans="2:316" x14ac:dyDescent="0.25">
      <c r="B57" s="34"/>
      <c r="C57" s="34"/>
      <c r="D57" s="34"/>
      <c r="BB57" t="str">
        <f>IF(BB54=BB56,"TRUE","FALSE")</f>
        <v>TRUE</v>
      </c>
      <c r="BD57" t="str">
        <f>IF(BD54=BD56,"TRUE","FALSE")</f>
        <v>TRUE</v>
      </c>
      <c r="DB57" t="str">
        <f>IF(DB54=DB56,"TRUE","FALSE")</f>
        <v>TRUE</v>
      </c>
      <c r="DD57" t="str">
        <f>IF(DD54=DD56,"TRUE","FALSE")</f>
        <v>TRUE</v>
      </c>
      <c r="FB57" t="str">
        <f>IF(FB54=FB56,"TRUE","FALSE")</f>
        <v>TRUE</v>
      </c>
      <c r="FD57" t="str">
        <f>IF(FD54=FD56,"TRUE","FALSE")</f>
        <v>TRUE</v>
      </c>
      <c r="HB57" t="str">
        <f>IF(HB54=HB56,"TRUE","FALSE")</f>
        <v>TRUE</v>
      </c>
      <c r="HD57" t="str">
        <f>IF(HD54=HD56,"TRUE","FALSE")</f>
        <v>TRUE</v>
      </c>
      <c r="JB57" t="str">
        <f>IF(JB54=JB56,"TRUE","FALSE")</f>
        <v>TRUE</v>
      </c>
      <c r="JD57" t="str">
        <f>IF(JD54=JD56,"TRUE","FALSE")</f>
        <v>TRUE</v>
      </c>
      <c r="LB57" t="str">
        <f>IF(LB54=LB56,"TRUE","FALSE")</f>
        <v>TRUE</v>
      </c>
      <c r="LD57" t="str">
        <f>IF(LD54=LD56,"TRUE","FALSE")</f>
        <v>TRUE</v>
      </c>
    </row>
    <row r="58" spans="2:316" x14ac:dyDescent="0.25">
      <c r="B58" s="34" t="s">
        <v>221</v>
      </c>
      <c r="C58" s="34"/>
      <c r="D58" s="34"/>
      <c r="H58" s="54">
        <f>H54-H56</f>
        <v>0</v>
      </c>
      <c r="L58" s="54">
        <f>L54-L56</f>
        <v>0</v>
      </c>
      <c r="P58" s="54">
        <f>P54-P56</f>
        <v>0</v>
      </c>
      <c r="T58" s="54">
        <f>T54-T56</f>
        <v>0</v>
      </c>
      <c r="X58" s="54">
        <f>X54-X56</f>
        <v>0</v>
      </c>
      <c r="AB58" s="54">
        <f>AB54-AB56</f>
        <v>0</v>
      </c>
      <c r="AF58" s="54">
        <f>AF54-AF56</f>
        <v>0</v>
      </c>
      <c r="AJ58" s="54">
        <f>AJ54-AJ56</f>
        <v>0</v>
      </c>
      <c r="AN58" s="54">
        <f>AN54-AN56</f>
        <v>0</v>
      </c>
      <c r="AR58" s="54">
        <f>AR54-AR56</f>
        <v>0</v>
      </c>
      <c r="AV58" s="54">
        <f>AV54-AV56</f>
        <v>0</v>
      </c>
      <c r="AZ58" s="54">
        <f>AZ54-AZ56</f>
        <v>0</v>
      </c>
      <c r="BB58" s="54">
        <f>BB54-BB56</f>
        <v>0</v>
      </c>
      <c r="BD58" s="54">
        <f>BD54-BD56</f>
        <v>0</v>
      </c>
      <c r="BH58" s="54">
        <f>BH54-BH56</f>
        <v>0</v>
      </c>
      <c r="BL58" s="54">
        <f>BL54-BL56</f>
        <v>0</v>
      </c>
      <c r="BP58" s="54">
        <f>BP54-BP56</f>
        <v>0</v>
      </c>
      <c r="BT58" s="54">
        <f>BT54-BT56</f>
        <v>0</v>
      </c>
      <c r="BX58" s="54">
        <f>BX54-BX56</f>
        <v>0</v>
      </c>
      <c r="CB58" s="54">
        <f>CB54-CB56</f>
        <v>0</v>
      </c>
      <c r="CF58" s="54">
        <f>CF54-CF56</f>
        <v>0</v>
      </c>
      <c r="CJ58" s="54">
        <f>CJ54-CJ56</f>
        <v>0</v>
      </c>
      <c r="CN58" s="54">
        <f>CN54-CN56</f>
        <v>0</v>
      </c>
      <c r="CR58" s="54">
        <f>CR54-CR56</f>
        <v>0</v>
      </c>
      <c r="CV58" s="54">
        <f>CV54-CV56</f>
        <v>0</v>
      </c>
      <c r="CZ58" s="54">
        <f>CZ54-CZ56</f>
        <v>0</v>
      </c>
      <c r="DB58" s="54">
        <f>DB54-DB56</f>
        <v>0</v>
      </c>
      <c r="DD58" s="54">
        <f>DD54-DD56</f>
        <v>0</v>
      </c>
      <c r="DH58" s="54">
        <f>DH54-DH56</f>
        <v>0</v>
      </c>
      <c r="DL58" s="54">
        <f>DL54-DL56</f>
        <v>0</v>
      </c>
      <c r="DP58" s="54">
        <f>DP54-DP56</f>
        <v>0</v>
      </c>
      <c r="DT58" s="54">
        <f>DT54-DT56</f>
        <v>0</v>
      </c>
      <c r="DX58" s="54">
        <f>DX54-DX56</f>
        <v>0</v>
      </c>
      <c r="EB58" s="54">
        <f>EB54-EB56</f>
        <v>0</v>
      </c>
      <c r="EF58" s="54">
        <f>EF54-EF56</f>
        <v>0</v>
      </c>
      <c r="EJ58" s="54">
        <f>EJ54-EJ56</f>
        <v>0</v>
      </c>
      <c r="EN58" s="54">
        <f>EN54-EN56</f>
        <v>0</v>
      </c>
      <c r="ER58" s="54">
        <f>ER54-ER56</f>
        <v>0</v>
      </c>
      <c r="EV58" s="54">
        <f>EV54-EV56</f>
        <v>0</v>
      </c>
      <c r="EZ58" s="54">
        <f>EZ54-EZ56</f>
        <v>0</v>
      </c>
      <c r="FB58" s="54">
        <f>FB54-FB56</f>
        <v>0</v>
      </c>
      <c r="FD58" s="54">
        <f>FD54-FD56</f>
        <v>0</v>
      </c>
      <c r="FH58" s="54">
        <f>FH54-FH56</f>
        <v>0</v>
      </c>
      <c r="FL58" s="54">
        <f>FL54-FL56</f>
        <v>0</v>
      </c>
      <c r="FP58" s="54">
        <f>FP54-FP56</f>
        <v>0</v>
      </c>
      <c r="FT58" s="54">
        <f>FT54-FT56</f>
        <v>0</v>
      </c>
      <c r="FX58" s="54">
        <f>FX54-FX56</f>
        <v>0</v>
      </c>
      <c r="GB58" s="54">
        <f>GB54-GB56</f>
        <v>0</v>
      </c>
      <c r="GF58" s="54">
        <f>GF54-GF56</f>
        <v>0</v>
      </c>
      <c r="GJ58" s="54">
        <f>GJ54-GJ56</f>
        <v>0</v>
      </c>
      <c r="GN58" s="54">
        <f>GN54-GN56</f>
        <v>0</v>
      </c>
      <c r="GR58" s="54">
        <f>GR54-GR56</f>
        <v>0</v>
      </c>
      <c r="GV58" s="54">
        <f>GV54-GV56</f>
        <v>0</v>
      </c>
      <c r="GZ58" s="54">
        <f>GZ54-GZ56</f>
        <v>0</v>
      </c>
      <c r="HB58" s="54">
        <f>HB54-HB56</f>
        <v>0</v>
      </c>
      <c r="HD58" s="54">
        <f>HD54-HD56</f>
        <v>0</v>
      </c>
      <c r="HH58" s="54">
        <f>HH54-HH56</f>
        <v>0</v>
      </c>
      <c r="HL58" s="54">
        <f>HL54-HL56</f>
        <v>0</v>
      </c>
      <c r="HP58" s="54">
        <f>HP54-HP56</f>
        <v>0</v>
      </c>
      <c r="HT58" s="54">
        <f>HT54-HT56</f>
        <v>0</v>
      </c>
      <c r="HX58" s="54">
        <f>HX54-HX56</f>
        <v>0</v>
      </c>
      <c r="IB58" s="54">
        <f>IB54-IB56</f>
        <v>0</v>
      </c>
      <c r="IF58" s="54">
        <f>IF54-IF56</f>
        <v>0</v>
      </c>
      <c r="IJ58" s="54">
        <f>IJ54-IJ56</f>
        <v>0</v>
      </c>
      <c r="IN58" s="54">
        <f>IN54-IN56</f>
        <v>0</v>
      </c>
      <c r="IR58" s="54">
        <f>IR54-IR56</f>
        <v>0</v>
      </c>
      <c r="IV58" s="54">
        <f>IV54-IV56</f>
        <v>0</v>
      </c>
      <c r="IZ58" s="54">
        <f>IZ54-IZ56</f>
        <v>0</v>
      </c>
      <c r="JB58" s="54">
        <f>JB54-JB56</f>
        <v>0</v>
      </c>
      <c r="JD58" s="54">
        <f>JD54-JD56</f>
        <v>0</v>
      </c>
      <c r="JH58" s="54">
        <f>JH54-JH56</f>
        <v>0</v>
      </c>
      <c r="JL58" s="54">
        <f>JL54-JL56</f>
        <v>0</v>
      </c>
      <c r="JP58" s="54">
        <f>JP54-JP56</f>
        <v>0</v>
      </c>
      <c r="JT58" s="54">
        <f>JT54-JT56</f>
        <v>0</v>
      </c>
      <c r="JX58" s="54">
        <f>JX54-JX56</f>
        <v>0</v>
      </c>
      <c r="KB58" s="54">
        <f>KB54-KB56</f>
        <v>0</v>
      </c>
      <c r="KF58" s="54">
        <f>KF54-KF56</f>
        <v>0</v>
      </c>
      <c r="KJ58" s="54">
        <f>KJ54-KJ56</f>
        <v>0</v>
      </c>
      <c r="KN58" s="54">
        <f>KN54-KN56</f>
        <v>0</v>
      </c>
      <c r="KR58" s="54">
        <f>KR54-KR56</f>
        <v>0</v>
      </c>
      <c r="KV58" s="54">
        <f>KV54-KV56</f>
        <v>0</v>
      </c>
      <c r="KZ58" s="54">
        <f>KZ54-KZ56</f>
        <v>0</v>
      </c>
      <c r="LB58" s="54">
        <f>LB54-LB56</f>
        <v>0</v>
      </c>
      <c r="LD58" s="54">
        <f>LD54-LD56</f>
        <v>0</v>
      </c>
    </row>
  </sheetData>
  <mergeCells count="94">
    <mergeCell ref="BB4:BD4"/>
    <mergeCell ref="DB4:DD4"/>
    <mergeCell ref="FB4:FD4"/>
    <mergeCell ref="HB4:HD4"/>
    <mergeCell ref="JB4:JD4"/>
    <mergeCell ref="LB4:LD4"/>
    <mergeCell ref="F5:H5"/>
    <mergeCell ref="J5:L5"/>
    <mergeCell ref="N5:P5"/>
    <mergeCell ref="R5:T5"/>
    <mergeCell ref="V5:X5"/>
    <mergeCell ref="Z5:AB5"/>
    <mergeCell ref="AD5:AF5"/>
    <mergeCell ref="AH5:AJ5"/>
    <mergeCell ref="AL5:AN5"/>
    <mergeCell ref="AP5:AR5"/>
    <mergeCell ref="AT5:AV5"/>
    <mergeCell ref="AX5:AZ5"/>
    <mergeCell ref="BB5:BD5"/>
    <mergeCell ref="BF5:BH5"/>
    <mergeCell ref="BJ5:BL5"/>
    <mergeCell ref="BN5:BP5"/>
    <mergeCell ref="BR5:BT5"/>
    <mergeCell ref="BV5:BX5"/>
    <mergeCell ref="BZ5:CB5"/>
    <mergeCell ref="CD5:CF5"/>
    <mergeCell ref="CH5:CJ5"/>
    <mergeCell ref="CL5:CN5"/>
    <mergeCell ref="CP5:CR5"/>
    <mergeCell ref="CT5:CV5"/>
    <mergeCell ref="CX5:CZ5"/>
    <mergeCell ref="DB5:DD5"/>
    <mergeCell ref="DF5:DH5"/>
    <mergeCell ref="DJ5:DL5"/>
    <mergeCell ref="DN5:DP5"/>
    <mergeCell ref="DR5:DT5"/>
    <mergeCell ref="DV5:DX5"/>
    <mergeCell ref="DZ5:EB5"/>
    <mergeCell ref="ED5:EF5"/>
    <mergeCell ref="EH5:EJ5"/>
    <mergeCell ref="EL5:EN5"/>
    <mergeCell ref="EP5:ER5"/>
    <mergeCell ref="ET5:EV5"/>
    <mergeCell ref="EX5:EZ5"/>
    <mergeCell ref="FB5:FD5"/>
    <mergeCell ref="FF5:FH5"/>
    <mergeCell ref="FJ5:FL5"/>
    <mergeCell ref="FN5:FP5"/>
    <mergeCell ref="FR5:FT5"/>
    <mergeCell ref="FV5:FX5"/>
    <mergeCell ref="FZ5:GB5"/>
    <mergeCell ref="GD5:GF5"/>
    <mergeCell ref="GH5:GJ5"/>
    <mergeCell ref="GL5:GN5"/>
    <mergeCell ref="GP5:GR5"/>
    <mergeCell ref="GT5:GV5"/>
    <mergeCell ref="GX5:GZ5"/>
    <mergeCell ref="HB5:HD5"/>
    <mergeCell ref="HF5:HH5"/>
    <mergeCell ref="HJ5:HL5"/>
    <mergeCell ref="HN5:HP5"/>
    <mergeCell ref="HR5:HT5"/>
    <mergeCell ref="HV5:HX5"/>
    <mergeCell ref="HZ5:IB5"/>
    <mergeCell ref="ID5:IF5"/>
    <mergeCell ref="IH5:IJ5"/>
    <mergeCell ref="IL5:IN5"/>
    <mergeCell ref="IP5:IR5"/>
    <mergeCell ref="IT5:IV5"/>
    <mergeCell ref="IX5:IZ5"/>
    <mergeCell ref="JB5:JD5"/>
    <mergeCell ref="JF5:JH5"/>
    <mergeCell ref="JJ5:JL5"/>
    <mergeCell ref="JN5:JP5"/>
    <mergeCell ref="JR5:JT5"/>
    <mergeCell ref="JV5:JX5"/>
    <mergeCell ref="JZ5:KB5"/>
    <mergeCell ref="KD5:KF5"/>
    <mergeCell ref="KH5:KJ5"/>
    <mergeCell ref="KL5:KN5"/>
    <mergeCell ref="KP5:KR5"/>
    <mergeCell ref="KT5:KV5"/>
    <mergeCell ref="KX5:KZ5"/>
    <mergeCell ref="LB5:LD5"/>
    <mergeCell ref="C6:D7"/>
    <mergeCell ref="B15:D15"/>
    <mergeCell ref="B24:D24"/>
    <mergeCell ref="B33:D33"/>
    <mergeCell ref="B42:D42"/>
    <mergeCell ref="B51:D51"/>
    <mergeCell ref="B54:D54"/>
    <mergeCell ref="B55:D55"/>
    <mergeCell ref="B56:D56"/>
    <mergeCell ref="B58:D58"/>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2:KO113"/>
  <sheetViews>
    <sheetView workbookViewId="0" showGridLines="0" zoomScale="100" zoomScaleNormal="100">
      <pane xSplit="5" ySplit="8" topLeftCell="DK16" activePane="bottomRight" state="frozen"/>
      <selection pane="bottomRight" activeCell="JY48" sqref="JY48"/>
    </sheetView>
  </sheetViews>
  <sheetFormatPr defaultRowHeight="15" outlineLevelRow="0" outlineLevelCol="0" x14ac:dyDescent="0"/>
  <cols>
    <col min="1" max="1" width="5" customWidth="1"/>
    <col min="2" max="2" width="6.5703125" customWidth="1"/>
    <col min="3" max="3" width="19.28515625" customWidth="1"/>
    <col min="4" max="4" width="31.42578125" customWidth="1"/>
    <col min="5" max="5" width="5.7109375" customWidth="1"/>
    <col min="6" max="6" width="8.7109375" customWidth="1"/>
    <col min="7" max="7" width="14.7109375" customWidth="1"/>
    <col min="8" max="8" width="13.42578125" customWidth="1"/>
    <col min="9" max="9" width="2" customWidth="1"/>
    <col min="10" max="10" width="8.7109375" customWidth="1"/>
    <col min="11" max="11" width="14.7109375" customWidth="1"/>
    <col min="12" max="12" width="13.42578125" customWidth="1"/>
    <col min="13" max="13" width="2" customWidth="1"/>
    <col min="14" max="14" width="8.7109375" customWidth="1"/>
    <col min="15" max="15" width="14.7109375" customWidth="1"/>
    <col min="16" max="16" width="13.42578125" customWidth="1"/>
    <col min="17" max="17" width="2" customWidth="1"/>
    <col min="18" max="18" width="8.7109375" customWidth="1"/>
    <col min="19" max="19" width="14.7109375" customWidth="1"/>
    <col min="20" max="20" width="13.42578125" customWidth="1"/>
    <col min="21" max="21" width="2" customWidth="1"/>
    <col min="22" max="22" width="8.7109375" customWidth="1"/>
    <col min="23" max="23" width="14.7109375" customWidth="1"/>
    <col min="24" max="24" width="13.42578125" customWidth="1"/>
    <col min="25" max="25" width="2" customWidth="1"/>
    <col min="26" max="26" width="8.7109375" customWidth="1"/>
    <col min="27" max="27" width="14.7109375" customWidth="1"/>
    <col min="28" max="28" width="13.42578125" customWidth="1"/>
    <col min="29" max="29" width="2" customWidth="1"/>
    <col min="30" max="30" width="8.7109375" customWidth="1"/>
    <col min="31" max="31" width="14.7109375" customWidth="1"/>
    <col min="32" max="32" width="13.42578125" customWidth="1"/>
    <col min="33" max="33" width="2" customWidth="1"/>
    <col min="34" max="34" width="8.7109375" customWidth="1"/>
    <col min="35" max="35" width="14.7109375" customWidth="1"/>
    <col min="36" max="36" width="13.42578125" customWidth="1"/>
    <col min="37" max="37" width="2.28515625" customWidth="1"/>
    <col min="39" max="39" width="14.7109375" customWidth="1"/>
    <col min="40" max="40" width="13.5703125" customWidth="1"/>
    <col min="41" max="41" width="2.28515625" customWidth="1"/>
    <col min="43" max="43" width="14.7109375" customWidth="1"/>
    <col min="44" max="44" width="13.5703125" customWidth="1"/>
    <col min="45" max="45" width="2.28515625" customWidth="1"/>
    <col min="47" max="47" width="13" customWidth="1"/>
    <col min="48" max="48" width="13.5703125" customWidth="1"/>
    <col min="49" max="49" width="2.28515625" customWidth="1"/>
    <col min="51" max="51" width="13" customWidth="1"/>
    <col min="52" max="52" width="13.5703125" customWidth="1"/>
    <col min="53" max="53" width="2" customWidth="1"/>
    <col min="55" max="55" width="12.7109375" customWidth="1"/>
    <col min="56" max="56" width="13.42578125" customWidth="1"/>
    <col min="57" max="57" width="2" customWidth="1"/>
    <col min="59" max="59" width="12.7109375" customWidth="1"/>
    <col min="60" max="60" width="13.42578125" customWidth="1"/>
    <col min="61" max="61" width="2" customWidth="1"/>
    <col min="63" max="63" width="12.7109375" customWidth="1"/>
    <col min="64" max="64" width="13.42578125" customWidth="1"/>
    <col min="65" max="65" width="2.28515625" customWidth="1"/>
    <col min="67" max="67" width="12.7109375" customWidth="1"/>
    <col min="68" max="68" width="13.42578125" customWidth="1"/>
    <col min="69" max="69" width="2.28515625" customWidth="1"/>
    <col min="71" max="71" width="12.7109375" customWidth="1"/>
    <col min="72" max="72" width="13.42578125" customWidth="1"/>
    <col min="73" max="73" width="2.28515625" customWidth="1"/>
    <col min="74" max="74" width="8.7109375" customWidth="1"/>
    <col min="75" max="75" width="12.7109375" customWidth="1"/>
    <col min="76" max="76" width="13.42578125" customWidth="1"/>
    <col min="77" max="77" width="2.28515625" customWidth="1"/>
    <col min="78" max="78" width="10.5703125" customWidth="1"/>
    <col min="79" max="79" width="12.7109375" customWidth="1"/>
    <col min="80" max="80" width="13.42578125" customWidth="1"/>
    <col min="81" max="81" width="2" customWidth="1"/>
    <col min="82" max="82" width="10.5703125" customWidth="1"/>
    <col min="83" max="83" width="12.7109375" customWidth="1"/>
    <col min="84" max="84" width="13.42578125" customWidth="1"/>
    <col min="85" max="85" width="2" customWidth="1"/>
    <col min="86" max="86" width="10.5703125" customWidth="1"/>
    <col min="87" max="87" width="12.7109375" customWidth="1"/>
    <col min="88" max="88" width="13.42578125" customWidth="1"/>
    <col min="89" max="89" width="1.7109375" customWidth="1"/>
    <col min="90" max="90" width="11.7109375" customWidth="1"/>
    <col min="91" max="91" width="12.7109375" customWidth="1"/>
    <col min="92" max="92" width="13.42578125" customWidth="1"/>
    <col min="93" max="93" width="2" customWidth="1"/>
    <col min="94" max="94" width="14.5703125" customWidth="1"/>
    <col min="95" max="95" width="12.7109375" customWidth="1"/>
    <col min="96" max="96" width="13.42578125" customWidth="1"/>
    <col min="97" max="97" width="2" customWidth="1"/>
    <col min="98" max="98" width="11.7109375" customWidth="1"/>
    <col min="99" max="99" width="12.7109375" customWidth="1"/>
    <col min="100" max="100" width="13.42578125" customWidth="1"/>
    <col min="101" max="101" width="2" customWidth="1"/>
    <col min="102" max="102" width="8.7109375" customWidth="1"/>
    <col min="103" max="103" width="12.7109375" customWidth="1"/>
    <col min="104" max="104" width="13.5703125" customWidth="1"/>
    <col min="105" max="105" width="1.7109375" customWidth="1"/>
    <col min="106" max="106" width="8.7109375" customWidth="1"/>
    <col min="107" max="107" width="12.7109375" customWidth="1"/>
    <col min="108" max="108" width="13.5703125" customWidth="1"/>
    <col min="109" max="109" width="1.7109375" customWidth="1"/>
    <col min="110" max="110" width="8.7109375" customWidth="1"/>
    <col min="111" max="111" width="12.7109375" customWidth="1"/>
    <col min="112" max="112" width="13.5703125" customWidth="1"/>
    <col min="113" max="113" width="1.7109375" customWidth="1"/>
    <col min="114" max="114" width="8.7109375" customWidth="1"/>
    <col min="115" max="115" width="12.7109375" customWidth="1"/>
    <col min="116" max="116" width="13.5703125" customWidth="1"/>
    <col min="117" max="117" width="1.7109375" customWidth="1"/>
    <col min="118" max="118" width="8.7109375" customWidth="1"/>
    <col min="119" max="119" width="12.7109375" customWidth="1"/>
    <col min="120" max="120" width="13.5703125" customWidth="1"/>
    <col min="121" max="121" width="1.7109375" customWidth="1"/>
    <col min="122" max="122" width="8.7109375" customWidth="1"/>
    <col min="123" max="123" width="12.7109375" customWidth="1"/>
    <col min="124" max="124" width="13.5703125" customWidth="1"/>
    <col min="125" max="125" width="1.7109375" customWidth="1"/>
    <col min="126" max="126" width="8.7109375" customWidth="1"/>
    <col min="127" max="127" width="12.7109375" customWidth="1"/>
    <col min="128" max="128" width="13.5703125" customWidth="1"/>
    <col min="129" max="129" width="1.7109375" customWidth="1"/>
    <col min="130" max="130" width="8.7109375" customWidth="1"/>
    <col min="131" max="131" width="12.7109375" customWidth="1"/>
    <col min="132" max="132" width="13.5703125" customWidth="1"/>
    <col min="133" max="133" width="1.7109375" customWidth="1"/>
    <col min="134" max="134" width="8.7109375" customWidth="1"/>
    <col min="135" max="135" width="12.7109375" customWidth="1"/>
    <col min="136" max="136" width="13.5703125" customWidth="1"/>
    <col min="137" max="137" width="1.7109375" customWidth="1"/>
    <col min="138" max="138" width="8.7109375" customWidth="1"/>
    <col min="139" max="139" width="12.7109375" customWidth="1"/>
    <col min="140" max="140" width="13.5703125" customWidth="1"/>
    <col min="141" max="141" width="1.7109375" customWidth="1"/>
    <col min="142" max="142" width="8.7109375" customWidth="1"/>
    <col min="143" max="143" width="12.7109375" customWidth="1"/>
    <col min="144" max="144" width="13.5703125" customWidth="1"/>
    <col min="145" max="145" width="1.7109375" customWidth="1"/>
    <col min="146" max="146" width="8.7109375" customWidth="1"/>
    <col min="147" max="147" width="12.7109375" customWidth="1"/>
    <col min="148" max="148" width="13.5703125" customWidth="1"/>
    <col min="149" max="149" width="1.7109375" customWidth="1"/>
    <col min="150" max="150" width="8.7109375" customWidth="1"/>
    <col min="151" max="151" width="12.7109375" customWidth="1"/>
    <col min="152" max="152" width="13.42578125" customWidth="1"/>
    <col min="153" max="153" width="1.7109375" customWidth="1"/>
    <col min="154" max="154" width="8.7109375" customWidth="1"/>
    <col min="155" max="155" width="12.7109375" customWidth="1"/>
    <col min="156" max="156" width="13.42578125" customWidth="1"/>
    <col min="157" max="157" width="1.7109375" customWidth="1"/>
    <col min="158" max="158" width="8.7109375" customWidth="1"/>
    <col min="159" max="159" width="12.7109375" customWidth="1"/>
    <col min="160" max="160" width="13.42578125" customWidth="1"/>
    <col min="161" max="161" width="1.7109375" customWidth="1"/>
    <col min="162" max="162" width="8.7109375" customWidth="1"/>
    <col min="163" max="163" width="12.7109375" customWidth="1"/>
    <col min="164" max="164" width="13.42578125" customWidth="1"/>
    <col min="165" max="165" width="1.7109375" customWidth="1"/>
    <col min="166" max="166" width="8.7109375" customWidth="1"/>
    <col min="167" max="167" width="12.7109375" customWidth="1"/>
    <col min="168" max="168" width="13.42578125" customWidth="1"/>
    <col min="169" max="169" width="1.7109375" customWidth="1"/>
    <col min="170" max="170" width="8.7109375" customWidth="1"/>
    <col min="171" max="171" width="12.7109375" customWidth="1"/>
    <col min="172" max="172" width="13.42578125" customWidth="1"/>
    <col min="173" max="173" width="1.7109375" customWidth="1"/>
    <col min="174" max="174" width="8.7109375" customWidth="1"/>
    <col min="175" max="175" width="12.7109375" customWidth="1"/>
    <col min="176" max="176" width="13.42578125" customWidth="1"/>
    <col min="177" max="177" width="1.7109375" customWidth="1"/>
    <col min="178" max="178" width="8.7109375" customWidth="1"/>
    <col min="179" max="179" width="12.7109375" customWidth="1"/>
    <col min="180" max="180" width="13.42578125" customWidth="1"/>
    <col min="181" max="181" width="1.7109375" customWidth="1"/>
    <col min="182" max="182" width="8.7109375" customWidth="1"/>
    <col min="183" max="183" width="12.7109375" customWidth="1"/>
    <col min="184" max="184" width="13.42578125" customWidth="1"/>
    <col min="185" max="185" width="1.7109375" customWidth="1"/>
    <col min="186" max="186" width="8.7109375" customWidth="1"/>
    <col min="187" max="187" width="12.7109375" customWidth="1"/>
    <col min="188" max="188" width="13.42578125" customWidth="1"/>
    <col min="189" max="189" width="1.7109375" customWidth="1"/>
    <col min="190" max="190" width="8.7109375" customWidth="1"/>
    <col min="191" max="191" width="12.7109375" customWidth="1"/>
    <col min="192" max="192" width="13.42578125" customWidth="1"/>
    <col min="193" max="193" width="1.7109375" customWidth="1"/>
    <col min="194" max="194" width="8.7109375" customWidth="1"/>
    <col min="195" max="195" width="12.7109375" customWidth="1"/>
    <col min="196" max="196" width="13.42578125" customWidth="1"/>
    <col min="197" max="197" width="2.28515625" customWidth="1"/>
    <col min="198" max="198" width="8.7109375" customWidth="1"/>
    <col min="199" max="199" width="12.7109375" customWidth="1"/>
    <col min="200" max="200" width="13.42578125" customWidth="1"/>
    <col min="201" max="201" width="1.7109375" customWidth="1"/>
    <col min="202" max="202" width="8.7109375" customWidth="1"/>
    <col min="203" max="203" width="12.7109375" customWidth="1"/>
    <col min="204" max="204" width="13.42578125" customWidth="1"/>
    <col min="205" max="205" width="1.7109375" customWidth="1"/>
    <col min="206" max="206" width="8.7109375" customWidth="1"/>
    <col min="207" max="207" width="12.7109375" customWidth="1"/>
    <col min="208" max="208" width="13.42578125" customWidth="1"/>
    <col min="209" max="209" width="1.7109375" customWidth="1"/>
    <col min="210" max="210" width="8.7109375" customWidth="1"/>
    <col min="211" max="211" width="12.7109375" customWidth="1"/>
    <col min="212" max="212" width="13.42578125" customWidth="1"/>
    <col min="213" max="213" width="1.7109375" customWidth="1"/>
    <col min="214" max="214" width="8.7109375" customWidth="1"/>
    <col min="215" max="215" width="12.7109375" customWidth="1"/>
    <col min="216" max="216" width="13.42578125" customWidth="1"/>
    <col min="217" max="217" width="1.7109375" customWidth="1"/>
    <col min="218" max="218" width="8.7109375" customWidth="1"/>
    <col min="219" max="219" width="12.7109375" customWidth="1"/>
    <col min="220" max="220" width="13.42578125" customWidth="1"/>
    <col min="221" max="221" width="1.7109375" customWidth="1"/>
    <col min="222" max="222" width="8.7109375" customWidth="1"/>
    <col min="223" max="223" width="12.7109375" customWidth="1"/>
    <col min="224" max="224" width="13.42578125" customWidth="1"/>
    <col min="225" max="225" width="1.7109375" customWidth="1"/>
    <col min="226" max="226" width="8.7109375" customWidth="1"/>
    <col min="227" max="227" width="12.7109375" customWidth="1"/>
    <col min="228" max="228" width="13.42578125" customWidth="1"/>
    <col min="229" max="229" width="1.7109375" customWidth="1"/>
    <col min="230" max="230" width="8.7109375" customWidth="1"/>
    <col min="231" max="231" width="12.7109375" customWidth="1"/>
    <col min="232" max="232" width="13.42578125" customWidth="1"/>
    <col min="233" max="233" width="1.7109375" customWidth="1"/>
    <col min="234" max="234" width="8.7109375" customWidth="1"/>
    <col min="235" max="235" width="12.7109375" customWidth="1"/>
    <col min="236" max="236" width="13.42578125" customWidth="1"/>
    <col min="237" max="237" width="1.7109375" customWidth="1"/>
    <col min="238" max="238" width="8.7109375" customWidth="1"/>
    <col min="239" max="239" width="12.7109375" customWidth="1"/>
    <col min="240" max="240" width="13.42578125" customWidth="1"/>
    <col min="241" max="241" width="1.7109375" customWidth="1"/>
    <col min="242" max="242" width="8.7109375" customWidth="1"/>
    <col min="243" max="243" width="12.7109375" customWidth="1"/>
    <col min="244" max="244" width="13.42578125" customWidth="1"/>
    <col min="245" max="245" width="1.7109375" customWidth="1"/>
    <col min="246" max="246" width="8.7109375" customWidth="1"/>
    <col min="247" max="247" width="12.7109375" customWidth="1"/>
    <col min="248" max="248" width="13.42578125" customWidth="1"/>
    <col min="249" max="249" width="1.7109375" customWidth="1"/>
    <col min="250" max="250" width="8.7109375" customWidth="1"/>
    <col min="251" max="251" width="12.7109375" customWidth="1"/>
    <col min="252" max="252" width="13.42578125" customWidth="1"/>
    <col min="253" max="253" width="1.7109375" customWidth="1"/>
    <col min="254" max="254" width="8.7109375" customWidth="1"/>
    <col min="255" max="255" width="12.7109375" customWidth="1"/>
    <col min="256" max="256" width="13.42578125" customWidth="1"/>
    <col min="257" max="257" width="1.7109375" customWidth="1"/>
    <col min="258" max="258" width="8.7109375" customWidth="1"/>
    <col min="259" max="259" width="12.7109375" customWidth="1"/>
    <col min="260" max="260" width="13.42578125" customWidth="1"/>
    <col min="261" max="261" width="1.7109375" customWidth="1"/>
    <col min="262" max="262" width="8.7109375" customWidth="1"/>
    <col min="263" max="263" width="12.7109375" customWidth="1"/>
    <col min="264" max="264" width="13.42578125" customWidth="1"/>
    <col min="265" max="265" width="1.7109375" customWidth="1"/>
    <col min="266" max="266" width="8.7109375" customWidth="1"/>
    <col min="267" max="267" width="12.7109375" customWidth="1"/>
    <col min="268" max="268" width="13.42578125" customWidth="1"/>
    <col min="269" max="269" width="1.7109375" customWidth="1"/>
    <col min="270" max="270" width="8.7109375" customWidth="1"/>
    <col min="271" max="271" width="12.7109375" customWidth="1"/>
    <col min="272" max="272" width="13.42578125" customWidth="1"/>
    <col min="273" max="273" width="1.7109375" customWidth="1"/>
    <col min="274" max="274" width="1.28515625" customWidth="1"/>
    <col min="275" max="275" width="7" customWidth="1"/>
    <col min="276" max="276" width="14.7109375" customWidth="1"/>
    <col min="277" max="277" width="13.28515625" customWidth="1"/>
    <col min="278" max="278" width="2" customWidth="1"/>
    <col min="279" max="279" width="7" customWidth="1"/>
    <col min="280" max="280" width="14.7109375" customWidth="1"/>
    <col min="281" max="281" width="13.28515625" customWidth="1"/>
    <col min="282" max="282" width="2" customWidth="1"/>
    <col min="284" max="284" width="14.7109375" customWidth="1"/>
    <col min="285" max="285" width="13.28515625" customWidth="1"/>
    <col min="286" max="286" width="2" customWidth="1"/>
    <col min="287" max="287" width="6.42578125" customWidth="1"/>
    <col min="288" max="288" width="14.7109375" customWidth="1"/>
    <col min="289" max="289" width="13.28515625" customWidth="1"/>
    <col min="290" max="290" width="2" customWidth="1"/>
    <col min="291" max="291" width="8" customWidth="1"/>
    <col min="292" max="293" width="14.7109375" customWidth="1"/>
    <col min="294" max="294" width="2" customWidth="1"/>
    <col min="295" max="295" width="9.5703125" customWidth="1"/>
    <col min="296" max="296" width="14.7109375" customWidth="1"/>
    <col min="297" max="297" width="13.28515625" customWidth="1"/>
    <col min="298" max="298" width="2" customWidth="1"/>
    <col min="299" max="299" width="9.5703125" customWidth="1"/>
    <col min="300" max="301" width="14.7109375" customWidth="1"/>
  </cols>
  <sheetData>
    <row r="2" ht="18.75" customHeight="1" spans="2:53" x14ac:dyDescent="0.25">
      <c r="B2" s="9" t="s">
        <v>201</v>
      </c>
      <c r="C2" s="17" t="s">
        <v>202</v>
      </c>
      <c r="G2" s="54"/>
      <c r="H2" s="54"/>
      <c r="I2" s="54"/>
      <c r="K2" s="54"/>
      <c r="L2" s="54"/>
      <c r="M2" s="54"/>
      <c r="O2" s="54"/>
      <c r="P2" s="54"/>
      <c r="Q2" s="54"/>
      <c r="S2" s="54"/>
      <c r="T2" s="54"/>
      <c r="U2" s="54"/>
      <c r="W2" s="54"/>
      <c r="X2" s="54"/>
      <c r="Y2" s="54"/>
      <c r="AA2" s="54"/>
      <c r="AB2" s="54"/>
      <c r="AC2" s="54"/>
      <c r="AE2" s="54"/>
      <c r="AF2" s="54"/>
      <c r="AG2" s="54"/>
      <c r="AI2" s="54"/>
      <c r="AJ2" s="54"/>
      <c r="AK2" s="54"/>
      <c r="AM2" s="54"/>
      <c r="AN2" s="54"/>
      <c r="AO2" s="54"/>
      <c r="AP2" s="54"/>
      <c r="AQ2" s="54"/>
      <c r="AR2" s="54"/>
      <c r="AS2" s="54"/>
      <c r="AT2" s="54"/>
      <c r="AU2" s="54"/>
      <c r="AV2" s="54"/>
      <c r="AW2" s="54"/>
      <c r="AX2" s="54"/>
      <c r="AY2" s="54"/>
      <c r="AZ2" s="54"/>
      <c r="BA2" s="54"/>
    </row>
    <row r="3" ht="18.75" customHeight="1" spans="2:272" x14ac:dyDescent="0.25">
      <c r="B3" s="9"/>
      <c r="C3" s="17"/>
      <c r="H3" s="54" t="str">
        <f>IF(MONTH(F5)&lt;=3,TEXT(F5,"yyyy")-1 &amp; "-" &amp; TEXT(F5,"yy"),IF(MONTH(F5)&gt;3,TEXT(F5,"yyyy") &amp; "-" &amp; TEXT(F5,"yy")+1))</f>
        <v>2025-26</v>
      </c>
      <c r="I3" s="54"/>
      <c r="J3" s="54"/>
      <c r="K3" s="54"/>
      <c r="L3" s="54" t="str">
        <f>IF(MONTH(J5)&lt;=3,TEXT(J5,"yyyy")-1 &amp; "-" &amp; TEXT(J5,"yy"),IF(MONTH(J5)&gt;3,TEXT(J5,"yyyy") &amp; "-" &amp; TEXT(J5,"yy")+1))</f>
        <v>2025-26</v>
      </c>
      <c r="M3" s="54"/>
      <c r="N3" s="54"/>
      <c r="O3" s="54"/>
      <c r="P3" s="54" t="str">
        <f>IF(MONTH(N5)&lt;=3,TEXT(N5,"yyyy")-1 &amp; "-" &amp; TEXT(N5,"yy"),IF(MONTH(N5)&gt;3,TEXT(N5,"yyyy") &amp; "-" &amp; TEXT(N5,"yy")+1))</f>
        <v>2025-26</v>
      </c>
      <c r="Q3" s="54"/>
      <c r="R3" s="54"/>
      <c r="S3" s="54"/>
      <c r="T3" s="54" t="str">
        <f>IF(MONTH(R5)&lt;=3,TEXT(R5,"yyyy")-1 &amp; "-" &amp; TEXT(R5,"yy"),IF(MONTH(R5)&gt;3,TEXT(R5,"yyyy") &amp; "-" &amp; TEXT(R5,"yy")+1))</f>
        <v>2025-26</v>
      </c>
      <c r="U3" s="54"/>
      <c r="V3" s="54"/>
      <c r="W3" s="54"/>
      <c r="X3" s="54" t="str">
        <f>IF(MONTH(V5)&lt;=3,TEXT(V5,"yyyy")-1 &amp; "-" &amp; TEXT(V5,"yy"),IF(MONTH(V5)&gt;3,TEXT(V5,"yyyy") &amp; "-" &amp; TEXT(V5,"yy")+1))</f>
        <v>2025-26</v>
      </c>
      <c r="Y3" s="54"/>
      <c r="Z3" s="54"/>
      <c r="AA3" s="54"/>
      <c r="AB3" s="54" t="str">
        <f>IF(MONTH(Z5)&lt;=3,TEXT(Z5,"yyyy")-1 &amp; "-" &amp; TEXT(Z5,"yy"),IF(MONTH(Z5)&gt;3,TEXT(Z5,"yyyy") &amp; "-" &amp; TEXT(Z5,"yy")+1))</f>
        <v>2025-26</v>
      </c>
      <c r="AC3" s="54"/>
      <c r="AD3" s="54"/>
      <c r="AE3" s="54"/>
      <c r="AF3" s="54" t="str">
        <f>IF(MONTH(AD5)&lt;=3,TEXT(AD5,"yyyy")-1 &amp; "-" &amp; TEXT(AD5,"yy"),IF(MONTH(AD5)&gt;3,TEXT(AD5,"yyyy") &amp; "-" &amp; TEXT(AD5,"yy")+1))</f>
        <v>2025-26</v>
      </c>
      <c r="AG3" s="54"/>
      <c r="AH3" s="54"/>
      <c r="AI3" s="54"/>
      <c r="AJ3" s="54" t="str">
        <f>IF(MONTH(AH5)&lt;=3,TEXT(AH5,"yyyy")-1 &amp; "-" &amp; TEXT(AH5,"yy"),IF(MONTH(AH5)&gt;3,TEXT(AH5,"yyyy") &amp; "-" &amp; TEXT(AH5,"yy")+1))</f>
        <v>2026-27</v>
      </c>
      <c r="AK3" s="54"/>
      <c r="AL3" s="54"/>
      <c r="AM3" s="54"/>
      <c r="AN3" s="54" t="str">
        <f>IF(MONTH(AL5)&lt;=3,TEXT(AL5,"yyyy")-1 &amp; "-" &amp; TEXT(AL5,"yy"),IF(MONTH(AL5)&gt;3,TEXT(AL5,"yyyy") &amp; "-" &amp; TEXT(AL5,"yy")+1))</f>
        <v>2026-27</v>
      </c>
      <c r="AO3" s="54"/>
      <c r="AP3" s="54"/>
      <c r="AQ3" s="54"/>
      <c r="AR3" s="54" t="str">
        <f>IF(MONTH(AP5)&lt;=3,TEXT(AP5,"yyyy")-1 &amp; "-" &amp; TEXT(AP5,"yy"),IF(MONTH(AP5)&gt;3,TEXT(AP5,"yyyy") &amp; "-" &amp; TEXT(AP5,"yy")+1))</f>
        <v>2026-27</v>
      </c>
      <c r="AS3" s="54"/>
      <c r="AT3" s="54"/>
      <c r="AU3" s="54"/>
      <c r="AV3" s="54" t="s">
        <v>108</v>
      </c>
      <c r="AW3" s="54"/>
      <c r="AY3" s="54"/>
      <c r="AZ3" s="54" t="str">
        <f>IF(MONTH(AX5)&lt;=3,TEXT(AX5,"yyyy")-1 &amp; "-" &amp; TEXT(AX5,"yy"),IF(MONTH(AX5)&gt;3,TEXT(AX5,"yyyy") &amp; "-" &amp; TEXT(AX5,"yy")+1))</f>
        <v>2026-27</v>
      </c>
      <c r="BA3" s="54"/>
      <c r="BD3" s="54" t="s">
        <v>108</v>
      </c>
      <c r="BE3" s="54"/>
      <c r="BF3" s="54"/>
      <c r="BH3" s="54" t="str">
        <f>IF(MONTH(BF5)&lt;=3,TEXT(BF5,"yyyy")-1 &amp; "-" &amp; TEXT(BF5,"yy"),IF(MONTH(BF5)&gt;3,TEXT(BF5,"yyyy") &amp; "-" &amp; TEXT(BF5,"yy")+1))</f>
        <v>2026-27</v>
      </c>
      <c r="BI3" s="54"/>
      <c r="BJ3" s="54"/>
      <c r="BL3" s="54" t="str">
        <f>IF(MONTH(BJ5)&lt;=3,TEXT(BJ5,"yyyy")-1 &amp; "-" &amp; TEXT(BJ5,"yy"),IF(MONTH(BJ5)&gt;3,TEXT(BJ5,"yyyy") &amp; "-" &amp; TEXT(BJ5,"yy")+1))</f>
        <v>2026-27</v>
      </c>
      <c r="BM3" s="54"/>
      <c r="BN3" s="54"/>
      <c r="BP3" s="54" t="str">
        <f>IF(MONTH(BN5)&lt;=3,TEXT(BN5,"yyyy")-1 &amp; "-" &amp; TEXT(BN5,"yy"),IF(MONTH(BN5)&gt;3,TEXT(BN5,"yyyy") &amp; "-" &amp; TEXT(BN5,"yy")+1))</f>
        <v>2026-27</v>
      </c>
      <c r="BQ3" s="54"/>
      <c r="BR3" s="54"/>
      <c r="BT3" s="54" t="str">
        <f>IF(MONTH(BR5)&lt;=3,TEXT(BR5,"yyyy")-1 &amp; "-" &amp; TEXT(BR5,"yy"),IF(MONTH(BR5)&gt;3,TEXT(BR5,"yyyy") &amp; "-" &amp; TEXT(BR5,"yy")+1))</f>
        <v>2026-27</v>
      </c>
      <c r="BX3" s="54" t="str">
        <f>IF(MONTH(BV5)&lt;=3,TEXT(BV5,"yyyy")-1 &amp; "-" &amp; TEXT(BV5,"yy"),IF(MONTH(BV5)&gt;3,TEXT(BV5,"yyyy") &amp; "-" &amp; TEXT(BV5,"yy")+1))</f>
        <v>2026-27</v>
      </c>
      <c r="CB3" s="54" t="str">
        <f>IF(MONTH(BZ5)&lt;=3,TEXT(BZ5,"yyyy")-1 &amp; "-" &amp; TEXT(BZ5,"yy"),IF(MONTH(BZ5)&gt;3,TEXT(BZ5,"yyyy") &amp; "-" &amp; TEXT(BZ5,"yy")+1))</f>
        <v>2026-27</v>
      </c>
      <c r="CF3" s="54" t="str">
        <f>IF(MONTH(CD5)&lt;=3,TEXT(CD5,"yyyy")-1 &amp; "-" &amp; TEXT(CD5,"yy"),IF(MONTH(CD5)&gt;3,TEXT(CD5,"yyyy") &amp; "-" &amp; TEXT(CD5,"yy")+1))</f>
        <v>2027-28</v>
      </c>
      <c r="CJ3" s="54" t="str">
        <f>IF(MONTH(CH5)&lt;=3,TEXT(CH5,"yyyy")-1 &amp; "-" &amp; TEXT(CH5,"yy"),IF(MONTH(CH5)&gt;3,TEXT(CH5,"yyyy") &amp; "-" &amp; TEXT(CH5,"yy")+1))</f>
        <v>2027-28</v>
      </c>
      <c r="CN3" s="54" t="str">
        <f>IF(MONTH(CL5)&lt;=3,TEXT(CL5,"yyyy")-1 &amp; "-" &amp; TEXT(CL5,"yy"),IF(MONTH(CL5)&gt;3,TEXT(CL5,"yyyy") &amp; "-" &amp; TEXT(CL5,"yy")+1))</f>
        <v>2027-28</v>
      </c>
      <c r="CR3" s="54" t="str">
        <f>IF(MONTH(CP5)&lt;=3,TEXT(CP5,"yyyy")-1 &amp; "-" &amp; TEXT(CP5,"yy"),IF(MONTH(CP5)&gt;3,TEXT(CP5,"yyyy") &amp; "-" &amp; TEXT(CP5,"yy")+1))</f>
        <v>2027-28</v>
      </c>
      <c r="CV3" s="54" t="str">
        <f>IF(MONTH(CT5)&lt;=3,TEXT(CT5,"yyyy")-1 &amp; "-" &amp; TEXT(CT5,"yy"),IF(MONTH(CT5)&gt;3,TEXT(CT5,"yyyy") &amp; "-" &amp; TEXT(CT5,"yy")+1))</f>
        <v>2027-28</v>
      </c>
      <c r="CZ3" s="54" t="str">
        <f>IF(MONTH(CX5)&lt;=3,TEXT(CX5,"yyyy")-1 &amp; "-" &amp; TEXT(CX5,"yy"),IF(MONTH(CX5)&gt;3,TEXT(CX5,"yyyy") &amp; "-" &amp; TEXT(CX5,"yy")+1))</f>
        <v>2027-28</v>
      </c>
      <c r="DD3" s="54" t="str">
        <f>IF(MONTH(DB5)&lt;=3,TEXT(DB5,"yyyy")-1 &amp; "-" &amp; TEXT(DB5,"yy"),IF(MONTH(DB5)&gt;3,TEXT(DB5,"yyyy") &amp; "-" &amp; TEXT(DB5,"yy")+1))</f>
        <v>2027-28</v>
      </c>
      <c r="DH3" s="54" t="str">
        <f>IF(MONTH(DF5)&lt;=3,TEXT(DF5,"yyyy")-1 &amp; "-" &amp; TEXT(DF5,"yy"),IF(MONTH(DF5)&gt;3,TEXT(DF5,"yyyy") &amp; "-" &amp; TEXT(DF5,"yy")+1))</f>
        <v>2027-28</v>
      </c>
      <c r="DL3" s="54" t="str">
        <f>IF(MONTH(DJ5)&lt;=3,TEXT(DJ5,"yyyy")-1 &amp; "-" &amp; TEXT(DJ5,"yy"),IF(MONTH(DJ5)&gt;3,TEXT(DJ5,"yyyy") &amp; "-" &amp; TEXT(DJ5,"yy")+1))</f>
        <v>2027-28</v>
      </c>
      <c r="DP3" s="54" t="str">
        <f>IF(MONTH(DN5)&lt;=3,TEXT(DN5,"yyyy")-1 &amp; "-" &amp; TEXT(DN5,"yy"),IF(MONTH(DN5)&gt;3,TEXT(DN5,"yyyy") &amp; "-" &amp; TEXT(DN5,"yy")+1))</f>
        <v>2027-28</v>
      </c>
      <c r="DT3" s="54" t="str">
        <f>IF(MONTH(DR5)&lt;=3,TEXT(DR5,"yyyy")-1 &amp; "-" &amp; TEXT(DR5,"yy"),IF(MONTH(DR5)&gt;3,TEXT(DR5,"yyyy") &amp; "-" &amp; TEXT(DR5,"yy")+1))</f>
        <v>2027-28</v>
      </c>
      <c r="DX3" s="54" t="str">
        <f>IF(MONTH(DV5)&lt;=3,TEXT(DV5,"yyyy")-1 &amp; "-" &amp; TEXT(DV5,"yy"),IF(MONTH(DV5)&gt;3,TEXT(DV5,"yyyy") &amp; "-" &amp; TEXT(DV5,"yy")+1))</f>
        <v>2027-28</v>
      </c>
      <c r="EB3" s="54" t="str">
        <f>IF(MONTH(DZ5)&lt;=3,TEXT(DZ5,"yyyy")-1 &amp; "-" &amp; TEXT(DZ5,"yy"),IF(MONTH(DZ5)&gt;3,TEXT(DZ5,"yyyy") &amp; "-" &amp; TEXT(DZ5,"yy")+1))</f>
        <v>2028-29</v>
      </c>
      <c r="EF3" s="54" t="str">
        <f>IF(MONTH(ED5)&lt;=3,TEXT(ED5,"yyyy")-1 &amp; "-" &amp; TEXT(ED5,"yy"),IF(MONTH(ED5)&gt;3,TEXT(ED5,"yyyy") &amp; "-" &amp; TEXT(ED5,"yy")+1))</f>
        <v>2028-29</v>
      </c>
      <c r="EJ3" s="54" t="str">
        <f>IF(MONTH(EH5)&lt;=3,TEXT(EH5,"yyyy")-1 &amp; "-" &amp; TEXT(EH5,"yy"),IF(MONTH(EH5)&gt;3,TEXT(EH5,"yyyy") &amp; "-" &amp; TEXT(EH5,"yy")+1))</f>
        <v>2028-29</v>
      </c>
      <c r="EN3" s="54" t="str">
        <f>IF(MONTH(EL5)&lt;=3,TEXT(EL5,"yyyy")-1 &amp; "-" &amp; TEXT(EL5,"yy"),IF(MONTH(EL5)&gt;3,TEXT(EL5,"yyyy") &amp; "-" &amp; TEXT(EL5,"yy")+1))</f>
        <v>2028-29</v>
      </c>
      <c r="ER3" s="54" t="str">
        <f>IF(MONTH(EP5)&lt;=3,TEXT(EP5,"yyyy")-1 &amp; "-" &amp; TEXT(EP5,"yy"),IF(MONTH(EP5)&gt;3,TEXT(EP5,"yyyy") &amp; "-" &amp; TEXT(EP5,"yy")+1))</f>
        <v>2028-29</v>
      </c>
      <c r="EV3" s="54" t="str">
        <f>IF(MONTH(ET5)&lt;=3,TEXT(ET5,"yyyy")-1 &amp; "-" &amp; TEXT(ET5,"yy"),IF(MONTH(ET5)&gt;3,TEXT(ET5,"yyyy") &amp; "-" &amp; TEXT(ET5,"yy")+1))</f>
        <v>2028-29</v>
      </c>
      <c r="EZ3" s="54" t="str">
        <f>IF(MONTH(EX5)&lt;=3,TEXT(EX5,"yyyy")-1 &amp; "-" &amp; TEXT(EX5,"yy"),IF(MONTH(EX5)&gt;3,TEXT(EX5,"yyyy") &amp; "-" &amp; TEXT(EX5,"yy")+1))</f>
        <v>2028-29</v>
      </c>
      <c r="FD3" s="54" t="str">
        <f>IF(MONTH(FB5)&lt;=3,TEXT(FB5,"yyyy")-1 &amp; "-" &amp; TEXT(FB5,"yy"),IF(MONTH(FB5)&gt;3,TEXT(FB5,"yyyy") &amp; "-" &amp; TEXT(FB5,"yy")+1))</f>
        <v>2028-29</v>
      </c>
      <c r="FH3" s="54" t="str">
        <f>IF(MONTH(FF5)&lt;=3,TEXT(FF5,"yyyy")-1 &amp; "-" &amp; TEXT(FF5,"yy"),IF(MONTH(FF5)&gt;3,TEXT(FF5,"yyyy") &amp; "-" &amp; TEXT(FF5,"yy")+1))</f>
        <v>2028-29</v>
      </c>
      <c r="FL3" s="54" t="str">
        <f>IF(MONTH(FJ5)&lt;=3,TEXT(FJ5,"yyyy")-1 &amp; "-" &amp; TEXT(FJ5,"yy"),IF(MONTH(FJ5)&gt;3,TEXT(FJ5,"yyyy") &amp; "-" &amp; TEXT(FJ5,"yy")+1))</f>
        <v>2028-29</v>
      </c>
      <c r="FP3" s="54" t="str">
        <f>IF(MONTH(FN5)&lt;=3,TEXT(FN5,"yyyy")-1 &amp; "-" &amp; TEXT(FN5,"yy"),IF(MONTH(FN5)&gt;3,TEXT(FN5,"yyyy") &amp; "-" &amp; TEXT(FN5,"yy")+1))</f>
        <v>2028-29</v>
      </c>
      <c r="FT3" s="54" t="str">
        <f>IF(MONTH(FR5)&lt;=3,TEXT(FR5,"yyyy")-1 &amp; "-" &amp; TEXT(FR5,"yy"),IF(MONTH(FR5)&gt;3,TEXT(FR5,"yyyy") &amp; "-" &amp; TEXT(FR5,"yy")+1))</f>
        <v>2028-29</v>
      </c>
      <c r="FX3" s="54" t="str">
        <f>IF(MONTH(FV5)&lt;=3,TEXT(FV5,"yyyy")-1 &amp; "-" &amp; TEXT(FV5,"yy"),IF(MONTH(FV5)&gt;3,TEXT(FV5,"yyyy") &amp; "-" &amp; TEXT(FV5,"yy")+1))</f>
        <v>2029-30</v>
      </c>
      <c r="GB3" s="54" t="str">
        <f>IF(MONTH(FZ5)&lt;=3,TEXT(FZ5,"yyyy")-1 &amp; "-" &amp; TEXT(FZ5,"yy"),IF(MONTH(FZ5)&gt;3,TEXT(FZ5,"yyyy") &amp; "-" &amp; TEXT(FZ5,"yy")+1))</f>
        <v>2029-30</v>
      </c>
      <c r="GF3" s="54" t="str">
        <f>IF(MONTH(GD5)&lt;=3,TEXT(GD5,"yyyy")-1 &amp; "-" &amp; TEXT(GD5,"yy"),IF(MONTH(GD5)&gt;3,TEXT(GD5,"yyyy") &amp; "-" &amp; TEXT(GD5,"yy")+1))</f>
        <v>2029-30</v>
      </c>
      <c r="GJ3" s="54" t="str">
        <f>IF(MONTH(GH5)&lt;=3,TEXT(GH5,"yyyy")-1 &amp; "-" &amp; TEXT(GH5,"yy"),IF(MONTH(GH5)&gt;3,TEXT(GH5,"yyyy") &amp; "-" &amp; TEXT(GH5,"yy")+1))</f>
        <v>2029-30</v>
      </c>
      <c r="GN3" s="54" t="str">
        <f>IF(MONTH(GL5)&lt;=3,TEXT(GL5,"yyyy")-1 &amp; "-" &amp; TEXT(GL5,"yy"),IF(MONTH(GL5)&gt;3,TEXT(GL5,"yyyy") &amp; "-" &amp; TEXT(GL5,"yy")+1))</f>
        <v>2029-30</v>
      </c>
      <c r="GR3" s="54" t="str">
        <f>IF(MONTH(GP5)&lt;=3,TEXT(GP5,"yyyy")-1 &amp; "-" &amp; TEXT(GP5,"yy"),IF(MONTH(GP5)&gt;3,TEXT(GP5,"yyyy") &amp; "-" &amp; TEXT(GP5,"yy")+1))</f>
        <v>2029-30</v>
      </c>
      <c r="GV3" s="54" t="str">
        <f>IF(MONTH(GT5)&lt;=3,TEXT(GT5,"yyyy")-1 &amp; "-" &amp; TEXT(GT5,"yy"),IF(MONTH(GT5)&gt;3,TEXT(GT5,"yyyy") &amp; "-" &amp; TEXT(GT5,"yy")+1))</f>
        <v>2029-30</v>
      </c>
      <c r="GZ3" s="54" t="str">
        <f>IF(MONTH(GX5)&lt;=3,TEXT(GX5,"yyyy")-1 &amp; "-" &amp; TEXT(GX5,"yy"),IF(MONTH(GX5)&gt;3,TEXT(GX5,"yyyy") &amp; "-" &amp; TEXT(GX5,"yy")+1))</f>
        <v>2029-30</v>
      </c>
      <c r="HD3" s="54" t="str">
        <f>IF(MONTH(HB5)&lt;=3,TEXT(HB5,"yyyy")-1 &amp; "-" &amp; TEXT(HB5,"yy"),IF(MONTH(HB5)&gt;3,TEXT(HB5,"yyyy") &amp; "-" &amp; TEXT(HB5,"yy")+1))</f>
        <v>2029-30</v>
      </c>
      <c r="HH3" s="54" t="str">
        <f>IF(MONTH(HF5)&lt;=3,TEXT(HF5,"yyyy")-1 &amp; "-" &amp; TEXT(HF5,"yy"),IF(MONTH(HF5)&gt;3,TEXT(HF5,"yyyy") &amp; "-" &amp; TEXT(HF5,"yy")+1))</f>
        <v>2029-30</v>
      </c>
      <c r="HL3" s="54" t="str">
        <f>IF(MONTH(HJ5)&lt;=3,TEXT(HJ5,"yyyy")-1 &amp; "-" &amp; TEXT(HJ5,"yy"),IF(MONTH(HJ5)&gt;3,TEXT(HJ5,"yyyy") &amp; "-" &amp; TEXT(HJ5,"yy")+1))</f>
        <v>2029-30</v>
      </c>
      <c r="HP3" s="54" t="str">
        <f>IF(MONTH(HN5)&lt;=3,TEXT(HN5,"yyyy")-1 &amp; "-" &amp; TEXT(HN5,"yy"),IF(MONTH(HN5)&gt;3,TEXT(HN5,"yyyy") &amp; "-" &amp; TEXT(HN5,"yy")+1))</f>
        <v>2029-30</v>
      </c>
      <c r="HT3" s="54" t="str">
        <f>IF(MONTH(HR5)&lt;=3,TEXT(HR5,"yyyy")-1 &amp; "-" &amp; TEXT(HR5,"yy"),IF(MONTH(HR5)&gt;3,TEXT(HR5,"yyyy") &amp; "-" &amp; TEXT(HR5,"yy")+1))</f>
        <v>2030-31</v>
      </c>
      <c r="HX3" s="54" t="str">
        <f>IF(MONTH(HV5)&lt;=3,TEXT(HV5,"yyyy")-1 &amp; "-" &amp; TEXT(HV5,"yy"),IF(MONTH(HV5)&gt;3,TEXT(HV5,"yyyy") &amp; "-" &amp; TEXT(HV5,"yy")+1))</f>
        <v>2030-31</v>
      </c>
      <c r="IB3" s="54" t="str">
        <f>IF(MONTH(HZ5)&lt;=3,TEXT(HZ5,"yyyy")-1 &amp; "-" &amp; TEXT(HZ5,"yy"),IF(MONTH(HZ5)&gt;3,TEXT(HZ5,"yyyy") &amp; "-" &amp; TEXT(HZ5,"yy")+1))</f>
        <v>2030-31</v>
      </c>
      <c r="IF3" s="54" t="str">
        <f>IF(MONTH(ID5)&lt;=3,TEXT(ID5,"yyyy")-1 &amp; "-" &amp; TEXT(ID5,"yy"),IF(MONTH(ID5)&gt;3,TEXT(ID5,"yyyy") &amp; "-" &amp; TEXT(ID5,"yy")+1))</f>
        <v>2030-31</v>
      </c>
      <c r="II3" s="54"/>
      <c r="IJ3" s="54" t="str">
        <f>IF(MONTH(IH5)&lt;=3,TEXT(IH5,"yyyy")-1 &amp; "-" &amp; TEXT(IH5,"yy"),IF(MONTH(IH5)&gt;3,TEXT(IH5,"yyyy") &amp; "-" &amp; TEXT(IH5,"yy")+1))</f>
        <v>2030-31</v>
      </c>
      <c r="IN3" s="54" t="str">
        <f>IF(MONTH(IL5)&lt;=3,TEXT(IL5,"yyyy")-1 &amp; "-" &amp; TEXT(IL5,"yy"),IF(MONTH(IL5)&gt;3,TEXT(IL5,"yyyy") &amp; "-" &amp; TEXT(IL5,"yy")+1))</f>
        <v>2030-31</v>
      </c>
      <c r="IR3" s="54" t="str">
        <f>IF(MONTH(IP5)&lt;=3,TEXT(IP5,"yyyy")-1 &amp; "-" &amp; TEXT(IP5,"yy"),IF(MONTH(IP5)&gt;3,TEXT(IP5,"yyyy") &amp; "-" &amp; TEXT(IP5,"yy")+1))</f>
        <v>2030-31</v>
      </c>
      <c r="IV3" s="54" t="str">
        <f>IF(MONTH(IT5)&lt;=3,TEXT(IT5,"yyyy")-1 &amp; "-" &amp; TEXT(IT5,"yy"),IF(MONTH(IT5)&gt;3,TEXT(IT5,"yyyy") &amp; "-" &amp; TEXT(IT5,"yy")+1))</f>
        <v>2030-31</v>
      </c>
      <c r="IZ3" s="54" t="str">
        <f>IF(MONTH(IX5)&lt;=3,TEXT(IX5,"yyyy")-1 &amp; "-" &amp; TEXT(IX5,"yy"),IF(MONTH(IX5)&gt;3,TEXT(IX5,"yyyy") &amp; "-" &amp; TEXT(IX5,"yy")+1))</f>
        <v>2030-31</v>
      </c>
      <c r="JD3" s="54" t="str">
        <f>IF(MONTH(JB5)&lt;=3,TEXT(JB5,"yyyy")-1 &amp; "-" &amp; TEXT(JB5,"yy"),IF(MONTH(JB5)&gt;3,TEXT(JB5,"yyyy") &amp; "-" &amp; TEXT(JB5,"yy")+1))</f>
        <v>2030-31</v>
      </c>
      <c r="JH3" s="54" t="str">
        <f>IF(MONTH(JF5)&lt;=3,TEXT(JF5,"yyyy")-1 &amp; "-" &amp; TEXT(JF5,"yy"),IF(MONTH(JF5)&gt;3,TEXT(JF5,"yyyy") &amp; "-" &amp; TEXT(JF5,"yy")+1))</f>
        <v>2030-31</v>
      </c>
      <c r="JL3" s="54" t="str">
        <f>IF(MONTH(JJ5)&lt;=3,TEXT(JJ5,"yyyy")-1 &amp; "-" &amp; TEXT(JJ5,"yy"),IF(MONTH(JJ5)&gt;3,TEXT(JJ5,"yyyy") &amp; "-" &amp; TEXT(JJ5,"yy")+1))</f>
        <v>2030-31</v>
      </c>
    </row>
    <row r="4" spans="2:301" x14ac:dyDescent="0.25">
      <c r="B4" s="9"/>
      <c r="C4" s="19" t="s">
        <v>203</v>
      </c>
      <c r="D4" s="19"/>
      <c r="E4" s="20"/>
      <c r="F4" s="62"/>
      <c r="G4" s="63" t="s">
        <v>204</v>
      </c>
      <c r="H4" s="64">
        <v>1</v>
      </c>
      <c r="I4" s="65"/>
      <c r="J4" s="62"/>
      <c r="K4" s="63" t="s">
        <v>204</v>
      </c>
      <c r="L4" s="64">
        <f>H4+1</f>
        <v>2</v>
      </c>
      <c r="M4" s="65"/>
      <c r="N4" s="62"/>
      <c r="O4" s="66" t="s">
        <v>204</v>
      </c>
      <c r="P4" s="67">
        <f>L4+1</f>
        <v>3</v>
      </c>
      <c r="Q4" s="65"/>
      <c r="R4" s="62"/>
      <c r="S4" s="66" t="s">
        <v>204</v>
      </c>
      <c r="T4" s="67">
        <f>P4+1</f>
        <v>4</v>
      </c>
      <c r="U4" s="65"/>
      <c r="V4" s="62"/>
      <c r="W4" s="66" t="s">
        <v>204</v>
      </c>
      <c r="X4" s="67">
        <f>T4+1</f>
        <v>5</v>
      </c>
      <c r="Y4" s="65"/>
      <c r="Z4" s="62"/>
      <c r="AA4" s="66" t="s">
        <v>204</v>
      </c>
      <c r="AB4" s="67">
        <f>X4+1</f>
        <v>6</v>
      </c>
      <c r="AC4" s="65"/>
      <c r="AD4" s="62"/>
      <c r="AE4" s="66" t="s">
        <v>204</v>
      </c>
      <c r="AF4" s="67">
        <f>AB4+1</f>
        <v>7</v>
      </c>
      <c r="AG4" s="65"/>
      <c r="AH4" s="62"/>
      <c r="AI4" s="66" t="s">
        <v>204</v>
      </c>
      <c r="AJ4" s="67">
        <f>AF4+1</f>
        <v>8</v>
      </c>
      <c r="AK4" s="65"/>
      <c r="AL4" s="62"/>
      <c r="AM4" s="66" t="s">
        <v>204</v>
      </c>
      <c r="AN4" s="67">
        <f>AJ4+1</f>
        <v>9</v>
      </c>
      <c r="AO4" s="65"/>
      <c r="AP4" s="62"/>
      <c r="AQ4" s="66" t="s">
        <v>204</v>
      </c>
      <c r="AR4" s="67">
        <f>AN4+1</f>
        <v>10</v>
      </c>
      <c r="AS4" s="65"/>
      <c r="AT4" s="62"/>
      <c r="AU4" s="66" t="s">
        <v>204</v>
      </c>
      <c r="AV4" s="67">
        <f>AR4+1</f>
        <v>11</v>
      </c>
      <c r="AW4" s="65"/>
      <c r="AX4" s="62"/>
      <c r="AY4" s="66" t="s">
        <v>204</v>
      </c>
      <c r="AZ4" s="67">
        <f>AV4+1</f>
        <v>12</v>
      </c>
      <c r="BA4" s="65"/>
      <c r="BB4" s="62"/>
      <c r="BC4" s="63" t="s">
        <v>204</v>
      </c>
      <c r="BD4" s="64">
        <f>AZ4+1</f>
        <v>13</v>
      </c>
      <c r="BE4" s="65"/>
      <c r="BF4" s="62"/>
      <c r="BG4" s="63" t="s">
        <v>204</v>
      </c>
      <c r="BH4" s="64">
        <f>BD4+1</f>
        <v>14</v>
      </c>
      <c r="BI4" s="65"/>
      <c r="BJ4" s="62"/>
      <c r="BK4" s="66" t="s">
        <v>204</v>
      </c>
      <c r="BL4" s="67">
        <f>BH4+1</f>
        <v>15</v>
      </c>
      <c r="BM4" s="65"/>
      <c r="BN4" s="62"/>
      <c r="BO4" s="66" t="s">
        <v>204</v>
      </c>
      <c r="BP4" s="67">
        <f>BL4+1</f>
        <v>16</v>
      </c>
      <c r="BQ4" s="65"/>
      <c r="BR4" s="62"/>
      <c r="BS4" s="66" t="s">
        <v>204</v>
      </c>
      <c r="BT4" s="67">
        <f>BP4+1</f>
        <v>17</v>
      </c>
      <c r="BU4" s="65"/>
      <c r="BV4" s="62"/>
      <c r="BW4" s="66" t="s">
        <v>204</v>
      </c>
      <c r="BX4" s="67">
        <f>BT4+1</f>
        <v>18</v>
      </c>
      <c r="BY4" s="65"/>
      <c r="BZ4" s="62"/>
      <c r="CA4" s="66" t="s">
        <v>204</v>
      </c>
      <c r="CB4" s="67">
        <f>BX4+1</f>
        <v>19</v>
      </c>
      <c r="CC4" s="65"/>
      <c r="CD4" s="62"/>
      <c r="CE4" s="66" t="s">
        <v>204</v>
      </c>
      <c r="CF4" s="67">
        <f>CB4+1</f>
        <v>20</v>
      </c>
      <c r="CG4" s="65"/>
      <c r="CH4" s="62"/>
      <c r="CI4" s="66" t="s">
        <v>204</v>
      </c>
      <c r="CJ4" s="67">
        <f>CF4+1</f>
        <v>21</v>
      </c>
      <c r="CK4" s="65"/>
      <c r="CL4" s="62"/>
      <c r="CM4" s="66" t="s">
        <v>204</v>
      </c>
      <c r="CN4" s="67">
        <f>CJ4+1</f>
        <v>22</v>
      </c>
      <c r="CO4" s="65"/>
      <c r="CP4" s="62"/>
      <c r="CQ4" s="66" t="s">
        <v>204</v>
      </c>
      <c r="CR4" s="67">
        <f>CN4+1</f>
        <v>23</v>
      </c>
      <c r="CS4" s="65"/>
      <c r="CT4" s="62"/>
      <c r="CU4" s="66" t="s">
        <v>204</v>
      </c>
      <c r="CV4" s="67">
        <f>CR4+1</f>
        <v>24</v>
      </c>
      <c r="CW4" s="68"/>
      <c r="CX4" s="62"/>
      <c r="CY4" s="63" t="s">
        <v>204</v>
      </c>
      <c r="CZ4" s="64">
        <f>CV4+1</f>
        <v>25</v>
      </c>
      <c r="DA4" s="65"/>
      <c r="DB4" s="62"/>
      <c r="DC4" s="63" t="s">
        <v>204</v>
      </c>
      <c r="DD4" s="64">
        <f>CZ4+1</f>
        <v>26</v>
      </c>
      <c r="DE4" s="65"/>
      <c r="DF4" s="62"/>
      <c r="DG4" s="66" t="s">
        <v>204</v>
      </c>
      <c r="DH4" s="67">
        <f>DD4+1</f>
        <v>27</v>
      </c>
      <c r="DI4" s="65"/>
      <c r="DJ4" s="62"/>
      <c r="DK4" s="66" t="s">
        <v>204</v>
      </c>
      <c r="DL4" s="67">
        <f>DH4+1</f>
        <v>28</v>
      </c>
      <c r="DM4" s="65"/>
      <c r="DN4" s="62"/>
      <c r="DO4" s="66" t="s">
        <v>204</v>
      </c>
      <c r="DP4" s="67">
        <f>DL4+1</f>
        <v>29</v>
      </c>
      <c r="DQ4" s="65"/>
      <c r="DR4" s="62"/>
      <c r="DS4" s="66" t="s">
        <v>204</v>
      </c>
      <c r="DT4" s="67">
        <f>DP4+1</f>
        <v>30</v>
      </c>
      <c r="DU4" s="65"/>
      <c r="DV4" s="62"/>
      <c r="DW4" s="66" t="s">
        <v>204</v>
      </c>
      <c r="DX4" s="67">
        <f>DT4+1</f>
        <v>31</v>
      </c>
      <c r="DY4" s="65"/>
      <c r="DZ4" s="62"/>
      <c r="EA4" s="66" t="s">
        <v>204</v>
      </c>
      <c r="EB4" s="67">
        <f>DX4+1</f>
        <v>32</v>
      </c>
      <c r="EC4" s="65"/>
      <c r="ED4" s="62"/>
      <c r="EE4" s="66" t="s">
        <v>204</v>
      </c>
      <c r="EF4" s="67">
        <f>EB4+1</f>
        <v>33</v>
      </c>
      <c r="EG4" s="65"/>
      <c r="EH4" s="62"/>
      <c r="EI4" s="66" t="s">
        <v>204</v>
      </c>
      <c r="EJ4" s="67">
        <f>EF4+1</f>
        <v>34</v>
      </c>
      <c r="EK4" s="65"/>
      <c r="EL4" s="62"/>
      <c r="EM4" s="66" t="s">
        <v>204</v>
      </c>
      <c r="EN4" s="67">
        <f>EJ4+1</f>
        <v>35</v>
      </c>
      <c r="EO4" s="65"/>
      <c r="EP4" s="62"/>
      <c r="EQ4" s="66" t="s">
        <v>204</v>
      </c>
      <c r="ER4" s="67">
        <f>EN4+1</f>
        <v>36</v>
      </c>
      <c r="ES4" s="68"/>
      <c r="ET4" s="62"/>
      <c r="EU4" s="63" t="s">
        <v>204</v>
      </c>
      <c r="EV4" s="64">
        <f>ER4+1</f>
        <v>37</v>
      </c>
      <c r="EW4" s="65"/>
      <c r="EX4" s="62"/>
      <c r="EY4" s="63" t="s">
        <v>204</v>
      </c>
      <c r="EZ4" s="64">
        <f>EV4+1</f>
        <v>38</v>
      </c>
      <c r="FA4" s="65"/>
      <c r="FB4" s="62"/>
      <c r="FC4" s="66" t="s">
        <v>204</v>
      </c>
      <c r="FD4" s="67">
        <f>EZ4+1</f>
        <v>39</v>
      </c>
      <c r="FE4" s="65"/>
      <c r="FF4" s="62"/>
      <c r="FG4" s="66" t="s">
        <v>204</v>
      </c>
      <c r="FH4" s="67">
        <f>FD4+1</f>
        <v>40</v>
      </c>
      <c r="FI4" s="65"/>
      <c r="FJ4" s="62"/>
      <c r="FK4" s="66" t="s">
        <v>204</v>
      </c>
      <c r="FL4" s="67">
        <f>FH4+1</f>
        <v>41</v>
      </c>
      <c r="FM4" s="65"/>
      <c r="FN4" s="62"/>
      <c r="FO4" s="66" t="s">
        <v>204</v>
      </c>
      <c r="FP4" s="67">
        <f>FL4+1</f>
        <v>42</v>
      </c>
      <c r="FQ4" s="65"/>
      <c r="FR4" s="62"/>
      <c r="FS4" s="66" t="s">
        <v>204</v>
      </c>
      <c r="FT4" s="67">
        <f>FP4+1</f>
        <v>43</v>
      </c>
      <c r="FU4" s="65"/>
      <c r="FV4" s="62"/>
      <c r="FW4" s="66" t="s">
        <v>204</v>
      </c>
      <c r="FX4" s="67">
        <f>FT4+1</f>
        <v>44</v>
      </c>
      <c r="FY4" s="65"/>
      <c r="FZ4" s="62"/>
      <c r="GA4" s="66" t="s">
        <v>204</v>
      </c>
      <c r="GB4" s="67">
        <f>FX4+1</f>
        <v>45</v>
      </c>
      <c r="GC4" s="65"/>
      <c r="GD4" s="62"/>
      <c r="GE4" s="66" t="s">
        <v>204</v>
      </c>
      <c r="GF4" s="67">
        <f>GB4+1</f>
        <v>46</v>
      </c>
      <c r="GG4" s="65"/>
      <c r="GH4" s="62"/>
      <c r="GI4" s="66" t="s">
        <v>204</v>
      </c>
      <c r="GJ4" s="67">
        <f>GF4+1</f>
        <v>47</v>
      </c>
      <c r="GK4" s="65"/>
      <c r="GL4" s="62"/>
      <c r="GM4" s="66" t="s">
        <v>204</v>
      </c>
      <c r="GN4" s="67">
        <f>GJ4+1</f>
        <v>48</v>
      </c>
      <c r="GP4" s="62"/>
      <c r="GQ4" s="63" t="s">
        <v>204</v>
      </c>
      <c r="GR4" s="64">
        <f>GN4+1</f>
        <v>49</v>
      </c>
      <c r="GS4" s="65"/>
      <c r="GT4" s="62"/>
      <c r="GU4" s="63" t="s">
        <v>204</v>
      </c>
      <c r="GV4" s="64">
        <f>GR4+1</f>
        <v>50</v>
      </c>
      <c r="GW4" s="65"/>
      <c r="GX4" s="62"/>
      <c r="GY4" s="66" t="s">
        <v>204</v>
      </c>
      <c r="GZ4" s="67">
        <f>GV4+1</f>
        <v>51</v>
      </c>
      <c r="HA4" s="65"/>
      <c r="HB4" s="62"/>
      <c r="HC4" s="66" t="s">
        <v>204</v>
      </c>
      <c r="HD4" s="67">
        <f>GZ4+1</f>
        <v>52</v>
      </c>
      <c r="HE4" s="65"/>
      <c r="HF4" s="62"/>
      <c r="HG4" s="66" t="s">
        <v>204</v>
      </c>
      <c r="HH4" s="67">
        <f>HD4+1</f>
        <v>53</v>
      </c>
      <c r="HI4" s="65"/>
      <c r="HJ4" s="62"/>
      <c r="HK4" s="66" t="s">
        <v>204</v>
      </c>
      <c r="HL4" s="67">
        <f>HH4+1</f>
        <v>54</v>
      </c>
      <c r="HM4" s="65"/>
      <c r="HN4" s="62"/>
      <c r="HO4" s="66" t="s">
        <v>204</v>
      </c>
      <c r="HP4" s="67">
        <f>HL4+1</f>
        <v>55</v>
      </c>
      <c r="HQ4" s="65"/>
      <c r="HR4" s="62"/>
      <c r="HS4" s="66" t="s">
        <v>204</v>
      </c>
      <c r="HT4" s="67">
        <f>HP4+1</f>
        <v>56</v>
      </c>
      <c r="HU4" s="65"/>
      <c r="HV4" s="62"/>
      <c r="HW4" s="66" t="s">
        <v>204</v>
      </c>
      <c r="HX4" s="67">
        <f>HT4+1</f>
        <v>57</v>
      </c>
      <c r="HY4" s="65"/>
      <c r="HZ4" s="62"/>
      <c r="IA4" s="66" t="s">
        <v>204</v>
      </c>
      <c r="IB4" s="67">
        <f>HX4+1</f>
        <v>58</v>
      </c>
      <c r="IC4" s="65"/>
      <c r="ID4" s="62"/>
      <c r="IE4" s="66" t="s">
        <v>204</v>
      </c>
      <c r="IF4" s="67">
        <f>IB4+1</f>
        <v>59</v>
      </c>
      <c r="IG4" s="65"/>
      <c r="IH4" s="62"/>
      <c r="II4" s="66" t="s">
        <v>204</v>
      </c>
      <c r="IJ4" s="67">
        <f>IF4+1</f>
        <v>60</v>
      </c>
      <c r="IL4" s="62"/>
      <c r="IM4" s="63" t="s">
        <v>204</v>
      </c>
      <c r="IN4" s="64">
        <f>IJ4+1</f>
        <v>61</v>
      </c>
      <c r="IO4" s="65"/>
      <c r="IP4" s="62"/>
      <c r="IQ4" s="63" t="s">
        <v>204</v>
      </c>
      <c r="IR4" s="64">
        <f>IN4+1</f>
        <v>62</v>
      </c>
      <c r="IS4" s="65"/>
      <c r="IT4" s="62"/>
      <c r="IU4" s="66" t="s">
        <v>204</v>
      </c>
      <c r="IV4" s="67">
        <f>IR4+1</f>
        <v>63</v>
      </c>
      <c r="IW4" s="65"/>
      <c r="IX4" s="62"/>
      <c r="IY4" s="66" t="s">
        <v>204</v>
      </c>
      <c r="IZ4" s="67">
        <f>IV4+1</f>
        <v>64</v>
      </c>
      <c r="JA4" s="65"/>
      <c r="JB4" s="62"/>
      <c r="JC4" s="66" t="s">
        <v>204</v>
      </c>
      <c r="JD4" s="67">
        <f>IZ4+1</f>
        <v>65</v>
      </c>
      <c r="JE4" s="65"/>
      <c r="JF4" s="62"/>
      <c r="JG4" s="66" t="s">
        <v>204</v>
      </c>
      <c r="JH4" s="67">
        <f>JD4+1</f>
        <v>66</v>
      </c>
      <c r="JI4" s="65"/>
      <c r="JJ4" s="62"/>
      <c r="JK4" s="66" t="s">
        <v>204</v>
      </c>
      <c r="JL4" s="67">
        <f>JH4+1</f>
        <v>67</v>
      </c>
      <c r="JM4" s="65"/>
      <c r="JO4" s="62" t="s">
        <v>205</v>
      </c>
      <c r="JP4" s="62"/>
      <c r="JQ4" s="62"/>
      <c r="JS4" s="62" t="s">
        <v>206</v>
      </c>
      <c r="JT4" s="62"/>
      <c r="JU4" s="62"/>
      <c r="JW4" s="62" t="s">
        <v>207</v>
      </c>
      <c r="JX4" s="62"/>
      <c r="JY4" s="62"/>
      <c r="KA4" s="62" t="s">
        <v>208</v>
      </c>
      <c r="KB4" s="62"/>
      <c r="KC4" s="62"/>
      <c r="KE4" s="62" t="s">
        <v>209</v>
      </c>
      <c r="KF4" s="62"/>
      <c r="KG4" s="62"/>
      <c r="KI4" s="62" t="s">
        <v>210</v>
      </c>
      <c r="KJ4" s="62"/>
      <c r="KK4" s="62"/>
      <c r="KM4" s="62" t="s">
        <v>210</v>
      </c>
      <c r="KN4" s="62"/>
      <c r="KO4" s="62"/>
    </row>
    <row r="5" ht="15" customHeight="1" spans="2:301" x14ac:dyDescent="0.25">
      <c r="B5" s="9"/>
      <c r="C5" s="19"/>
      <c r="D5" s="19"/>
      <c r="E5" s="20"/>
      <c r="F5" s="69">
        <f>EOMONTH("01/09/2025",0)</f>
        <v>45930</v>
      </c>
      <c r="G5" s="69"/>
      <c r="H5" s="69"/>
      <c r="I5" s="70"/>
      <c r="J5" s="69">
        <f>EOMONTH($F$5,1)</f>
        <v>45961</v>
      </c>
      <c r="K5" s="69"/>
      <c r="L5" s="69"/>
      <c r="M5" s="70"/>
      <c r="N5" s="69">
        <f>EOMONTH($F$5,2)</f>
        <v>45991</v>
      </c>
      <c r="O5" s="69"/>
      <c r="P5" s="69"/>
      <c r="Q5" s="70"/>
      <c r="R5" s="69">
        <f>EOMONTH($F$5,3)</f>
        <v>46022</v>
      </c>
      <c r="S5" s="69"/>
      <c r="T5" s="69"/>
      <c r="U5" s="70"/>
      <c r="V5" s="69">
        <f>EOMONTH($F$5,4)</f>
        <v>46053</v>
      </c>
      <c r="W5" s="69"/>
      <c r="X5" s="69"/>
      <c r="Y5" s="70"/>
      <c r="Z5" s="69">
        <f>EOMONTH($F$5,5)</f>
        <v>46081</v>
      </c>
      <c r="AA5" s="69"/>
      <c r="AB5" s="69"/>
      <c r="AC5" s="70"/>
      <c r="AD5" s="69">
        <f>EOMONTH($F$5,6)</f>
        <v>46112</v>
      </c>
      <c r="AE5" s="69"/>
      <c r="AF5" s="69"/>
      <c r="AG5" s="70"/>
      <c r="AH5" s="69">
        <f>EOMONTH($F$5,7)</f>
        <v>46142</v>
      </c>
      <c r="AI5" s="69"/>
      <c r="AJ5" s="69"/>
      <c r="AK5" s="70"/>
      <c r="AL5" s="69">
        <f>EOMONTH($F$5,8)</f>
        <v>46173</v>
      </c>
      <c r="AM5" s="69"/>
      <c r="AN5" s="69"/>
      <c r="AO5" s="70"/>
      <c r="AP5" s="69">
        <f>EOMONTH($F$5,9)</f>
        <v>46203</v>
      </c>
      <c r="AQ5" s="69"/>
      <c r="AR5" s="69"/>
      <c r="AS5" s="70"/>
      <c r="AT5" s="69">
        <f>EOMONTH($F$5,10)</f>
        <v>46234</v>
      </c>
      <c r="AU5" s="69"/>
      <c r="AV5" s="69"/>
      <c r="AW5" s="70"/>
      <c r="AX5" s="69">
        <f>EOMONTH($F$5,11)</f>
        <v>46265</v>
      </c>
      <c r="AY5" s="69"/>
      <c r="AZ5" s="69"/>
      <c r="BA5" s="70"/>
      <c r="BB5" s="69">
        <f>EOMONTH($F$5,12)</f>
        <v>46295</v>
      </c>
      <c r="BC5" s="69"/>
      <c r="BD5" s="69"/>
      <c r="BE5" s="70"/>
      <c r="BF5" s="69">
        <f>EOMONTH($F$5,13)</f>
        <v>46326</v>
      </c>
      <c r="BG5" s="69"/>
      <c r="BH5" s="69"/>
      <c r="BI5" s="70"/>
      <c r="BJ5" s="69">
        <f>EOMONTH($F$5,14)</f>
        <v>46356</v>
      </c>
      <c r="BK5" s="69"/>
      <c r="BL5" s="69"/>
      <c r="BM5" s="70"/>
      <c r="BN5" s="69">
        <f>EOMONTH($F$5,15)</f>
        <v>46387</v>
      </c>
      <c r="BO5" s="69"/>
      <c r="BP5" s="69"/>
      <c r="BQ5" s="70"/>
      <c r="BR5" s="69">
        <f>EOMONTH($F$5,16)</f>
        <v>46418</v>
      </c>
      <c r="BS5" s="69"/>
      <c r="BT5" s="69"/>
      <c r="BU5" s="70"/>
      <c r="BV5" s="69">
        <f>EOMONTH($F$5,17)</f>
        <v>46446</v>
      </c>
      <c r="BW5" s="69"/>
      <c r="BX5" s="69"/>
      <c r="BY5" s="70"/>
      <c r="BZ5" s="69">
        <f>EOMONTH($F$5,18)</f>
        <v>46477</v>
      </c>
      <c r="CA5" s="69"/>
      <c r="CB5" s="69"/>
      <c r="CC5" s="70"/>
      <c r="CD5" s="69">
        <f>EOMONTH($F$5,19)</f>
        <v>46507</v>
      </c>
      <c r="CE5" s="69"/>
      <c r="CF5" s="69"/>
      <c r="CG5" s="70"/>
      <c r="CH5" s="69">
        <f>EOMONTH($F$5,20)</f>
        <v>46538</v>
      </c>
      <c r="CI5" s="69"/>
      <c r="CJ5" s="69"/>
      <c r="CK5" s="70"/>
      <c r="CL5" s="69">
        <f>EOMONTH($F$5,21)</f>
        <v>46568</v>
      </c>
      <c r="CM5" s="69"/>
      <c r="CN5" s="69"/>
      <c r="CO5" s="70"/>
      <c r="CP5" s="69">
        <f>EOMONTH($F$5,22)</f>
        <v>46599</v>
      </c>
      <c r="CQ5" s="69"/>
      <c r="CR5" s="69"/>
      <c r="CS5" s="70"/>
      <c r="CT5" s="69">
        <f>EOMONTH($F$5,23)</f>
        <v>46630</v>
      </c>
      <c r="CU5" s="69"/>
      <c r="CV5" s="69"/>
      <c r="CW5" s="70"/>
      <c r="CX5" s="69">
        <f>EOMONTH($F$5,24)</f>
        <v>46660</v>
      </c>
      <c r="CY5" s="69"/>
      <c r="CZ5" s="69"/>
      <c r="DA5" s="70"/>
      <c r="DB5" s="69">
        <f>EOMONTH($F$5,25)</f>
        <v>46691</v>
      </c>
      <c r="DC5" s="69"/>
      <c r="DD5" s="69"/>
      <c r="DE5" s="70"/>
      <c r="DF5" s="69">
        <f>EOMONTH($F$5,26)</f>
        <v>46721</v>
      </c>
      <c r="DG5" s="69"/>
      <c r="DH5" s="69"/>
      <c r="DI5" s="70"/>
      <c r="DJ5" s="69">
        <f>EOMONTH($F$5,27)</f>
        <v>46752</v>
      </c>
      <c r="DK5" s="69"/>
      <c r="DL5" s="69"/>
      <c r="DM5" s="70"/>
      <c r="DN5" s="69">
        <f>EOMONTH($F$5,28)</f>
        <v>46783</v>
      </c>
      <c r="DO5" s="69"/>
      <c r="DP5" s="69"/>
      <c r="DQ5" s="70"/>
      <c r="DR5" s="69">
        <f>EOMONTH($F$5,29)</f>
        <v>46812</v>
      </c>
      <c r="DS5" s="69"/>
      <c r="DT5" s="69"/>
      <c r="DU5" s="70"/>
      <c r="DV5" s="69">
        <f>EOMONTH($F$5,30)</f>
        <v>46843</v>
      </c>
      <c r="DW5" s="69"/>
      <c r="DX5" s="69"/>
      <c r="DY5" s="70"/>
      <c r="DZ5" s="69">
        <f>EOMONTH($F$5,31)</f>
        <v>46873</v>
      </c>
      <c r="EA5" s="69"/>
      <c r="EB5" s="69"/>
      <c r="EC5" s="70"/>
      <c r="ED5" s="69">
        <f>EOMONTH($F$5,32)</f>
        <v>46904</v>
      </c>
      <c r="EE5" s="69"/>
      <c r="EF5" s="69"/>
      <c r="EG5" s="70"/>
      <c r="EH5" s="69">
        <f>EOMONTH($F$5,33)</f>
        <v>46934</v>
      </c>
      <c r="EI5" s="69"/>
      <c r="EJ5" s="69"/>
      <c r="EK5" s="70"/>
      <c r="EL5" s="69">
        <f>EOMONTH($F$5,34)</f>
        <v>46965</v>
      </c>
      <c r="EM5" s="69"/>
      <c r="EN5" s="69"/>
      <c r="EO5" s="70"/>
      <c r="EP5" s="69">
        <f>EOMONTH($F$5,35)</f>
        <v>46996</v>
      </c>
      <c r="EQ5" s="69"/>
      <c r="ER5" s="69"/>
      <c r="ES5" s="70"/>
      <c r="ET5" s="69">
        <f>EOMONTH($F$5,36)</f>
        <v>47026</v>
      </c>
      <c r="EU5" s="69"/>
      <c r="EV5" s="69"/>
      <c r="EW5" s="70"/>
      <c r="EX5" s="69">
        <f>EOMONTH($F$5,37)</f>
        <v>47057</v>
      </c>
      <c r="EY5" s="69"/>
      <c r="EZ5" s="69"/>
      <c r="FA5" s="70"/>
      <c r="FB5" s="69">
        <f>EOMONTH($F$5,38)</f>
        <v>47087</v>
      </c>
      <c r="FC5" s="69"/>
      <c r="FD5" s="69"/>
      <c r="FE5" s="70"/>
      <c r="FF5" s="69">
        <f>EOMONTH($F$5,39)</f>
        <v>47118</v>
      </c>
      <c r="FG5" s="69"/>
      <c r="FH5" s="69"/>
      <c r="FI5" s="70"/>
      <c r="FJ5" s="69">
        <f>EOMONTH($F$5,40)</f>
        <v>47149</v>
      </c>
      <c r="FK5" s="69"/>
      <c r="FL5" s="69"/>
      <c r="FM5" s="70"/>
      <c r="FN5" s="69">
        <f>EOMONTH($F$5,41)</f>
        <v>47177</v>
      </c>
      <c r="FO5" s="69"/>
      <c r="FP5" s="69"/>
      <c r="FQ5" s="70"/>
      <c r="FR5" s="69">
        <f>EOMONTH($F$5,42)</f>
        <v>47208</v>
      </c>
      <c r="FS5" s="69"/>
      <c r="FT5" s="69"/>
      <c r="FU5" s="70"/>
      <c r="FV5" s="69">
        <f>EOMONTH($F$5,43)</f>
        <v>47238</v>
      </c>
      <c r="FW5" s="69"/>
      <c r="FX5" s="69"/>
      <c r="FY5" s="70"/>
      <c r="FZ5" s="69">
        <f>EOMONTH($F$5,44)</f>
        <v>47269</v>
      </c>
      <c r="GA5" s="69"/>
      <c r="GB5" s="69"/>
      <c r="GC5" s="70"/>
      <c r="GD5" s="69">
        <f>EOMONTH($F$5,45)</f>
        <v>47299</v>
      </c>
      <c r="GE5" s="69"/>
      <c r="GF5" s="69"/>
      <c r="GG5" s="70"/>
      <c r="GH5" s="69">
        <f>EOMONTH($F$5,46)</f>
        <v>47330</v>
      </c>
      <c r="GI5" s="69"/>
      <c r="GJ5" s="69"/>
      <c r="GK5" s="70"/>
      <c r="GL5" s="69">
        <f>EOMONTH($F$5,47)</f>
        <v>47361</v>
      </c>
      <c r="GM5" s="69"/>
      <c r="GN5" s="69"/>
      <c r="GP5" s="69">
        <f>EOMONTH($F$5,48)</f>
        <v>47391</v>
      </c>
      <c r="GQ5" s="69"/>
      <c r="GR5" s="69"/>
      <c r="GS5" s="70"/>
      <c r="GT5" s="69">
        <f>EOMONTH($F$5,49)</f>
        <v>47422</v>
      </c>
      <c r="GU5" s="69"/>
      <c r="GV5" s="69"/>
      <c r="GW5" s="70"/>
      <c r="GX5" s="69">
        <f>EOMONTH($F$5,50)</f>
        <v>47452</v>
      </c>
      <c r="GY5" s="69"/>
      <c r="GZ5" s="69"/>
      <c r="HA5" s="70"/>
      <c r="HB5" s="69">
        <f>EOMONTH($F$5,51)</f>
        <v>47483</v>
      </c>
      <c r="HC5" s="69"/>
      <c r="HD5" s="69"/>
      <c r="HE5" s="70"/>
      <c r="HF5" s="69">
        <f>EOMONTH($F$5,52)</f>
        <v>47514</v>
      </c>
      <c r="HG5" s="69"/>
      <c r="HH5" s="69"/>
      <c r="HI5" s="70"/>
      <c r="HJ5" s="69">
        <f>EOMONTH($F$5,53)</f>
        <v>47542</v>
      </c>
      <c r="HK5" s="69"/>
      <c r="HL5" s="69"/>
      <c r="HM5" s="70"/>
      <c r="HN5" s="69">
        <f>EOMONTH($F$5,54)</f>
        <v>47573</v>
      </c>
      <c r="HO5" s="69"/>
      <c r="HP5" s="69"/>
      <c r="HQ5" s="70"/>
      <c r="HR5" s="69">
        <f>EOMONTH($F$5,55)</f>
        <v>47603</v>
      </c>
      <c r="HS5" s="69"/>
      <c r="HT5" s="69"/>
      <c r="HU5" s="70"/>
      <c r="HV5" s="69">
        <f>EOMONTH($F$5,56)</f>
        <v>47634</v>
      </c>
      <c r="HW5" s="69"/>
      <c r="HX5" s="69"/>
      <c r="HY5" s="70"/>
      <c r="HZ5" s="69">
        <f>EOMONTH($F$5,57)</f>
        <v>47664</v>
      </c>
      <c r="IA5" s="69"/>
      <c r="IB5" s="69"/>
      <c r="IC5" s="70"/>
      <c r="ID5" s="69">
        <f>EOMONTH($F$5,58)</f>
        <v>47695</v>
      </c>
      <c r="IE5" s="69"/>
      <c r="IF5" s="69"/>
      <c r="IG5" s="70"/>
      <c r="IH5" s="69">
        <f>EOMONTH($F$5,59)</f>
        <v>47726</v>
      </c>
      <c r="II5" s="69"/>
      <c r="IJ5" s="69"/>
      <c r="IL5" s="69">
        <f>EOMONTH($F$5,60)</f>
        <v>47756</v>
      </c>
      <c r="IM5" s="69"/>
      <c r="IN5" s="69"/>
      <c r="IO5" s="70"/>
      <c r="IP5" s="69">
        <f>EOMONTH($F$5,61)</f>
        <v>47787</v>
      </c>
      <c r="IQ5" s="69"/>
      <c r="IR5" s="69"/>
      <c r="IS5" s="70"/>
      <c r="IT5" s="69">
        <f>EOMONTH($F$5,62)</f>
        <v>47817</v>
      </c>
      <c r="IU5" s="69"/>
      <c r="IV5" s="69"/>
      <c r="IW5" s="70"/>
      <c r="IX5" s="69">
        <f>EOMONTH($F$5,63)</f>
        <v>47848</v>
      </c>
      <c r="IY5" s="69"/>
      <c r="IZ5" s="69"/>
      <c r="JA5" s="70"/>
      <c r="JB5" s="69">
        <f>EOMONTH($F$5,64)</f>
        <v>47879</v>
      </c>
      <c r="JC5" s="69"/>
      <c r="JD5" s="69"/>
      <c r="JE5" s="70"/>
      <c r="JF5" s="69">
        <f>EOMONTH($F$5,65)</f>
        <v>47907</v>
      </c>
      <c r="JG5" s="69"/>
      <c r="JH5" s="69"/>
      <c r="JI5" s="70"/>
      <c r="JJ5" s="69">
        <f>EOMONTH($F$5,66)</f>
        <v>47938</v>
      </c>
      <c r="JK5" s="69"/>
      <c r="JL5" s="69"/>
      <c r="JM5" s="70"/>
      <c r="JO5" s="71" t="s">
        <v>108</v>
      </c>
      <c r="JP5" s="71"/>
      <c r="JQ5" s="71"/>
      <c r="JS5" s="71" t="s">
        <v>35</v>
      </c>
      <c r="JT5" s="71"/>
      <c r="JU5" s="71"/>
      <c r="JW5" s="71" t="s">
        <v>36</v>
      </c>
      <c r="JX5" s="71"/>
      <c r="JY5" s="71"/>
      <c r="KA5" s="71" t="s">
        <v>37</v>
      </c>
      <c r="KB5" s="71"/>
      <c r="KC5" s="71"/>
      <c r="KE5" s="71" t="s">
        <v>38</v>
      </c>
      <c r="KF5" s="71"/>
      <c r="KG5" s="71"/>
      <c r="KI5" s="71" t="s">
        <v>39</v>
      </c>
      <c r="KJ5" s="71"/>
      <c r="KK5" s="71"/>
      <c r="KM5" s="71" t="s">
        <v>39</v>
      </c>
      <c r="KN5" s="71"/>
      <c r="KO5" s="71"/>
    </row>
    <row r="6" spans="2:301" s="23" customFormat="1" x14ac:dyDescent="0.25">
      <c r="B6" s="21"/>
      <c r="C6" s="72" t="s">
        <v>292</v>
      </c>
      <c r="D6" s="72"/>
      <c r="E6" s="21"/>
      <c r="F6" s="73" t="s">
        <v>212</v>
      </c>
      <c r="G6" s="74" t="s">
        <v>215</v>
      </c>
      <c r="H6" s="74" t="s">
        <v>293</v>
      </c>
      <c r="I6" s="75"/>
      <c r="J6" s="73" t="s">
        <v>212</v>
      </c>
      <c r="K6" s="74" t="s">
        <v>215</v>
      </c>
      <c r="L6" s="74" t="s">
        <v>293</v>
      </c>
      <c r="M6" s="75"/>
      <c r="N6" s="73" t="s">
        <v>212</v>
      </c>
      <c r="O6" s="74" t="s">
        <v>215</v>
      </c>
      <c r="P6" s="74" t="s">
        <v>293</v>
      </c>
      <c r="Q6" s="75"/>
      <c r="R6" s="73" t="s">
        <v>212</v>
      </c>
      <c r="S6" s="74" t="s">
        <v>215</v>
      </c>
      <c r="T6" s="74" t="s">
        <v>293</v>
      </c>
      <c r="U6" s="75"/>
      <c r="V6" s="73" t="s">
        <v>212</v>
      </c>
      <c r="W6" s="74" t="s">
        <v>215</v>
      </c>
      <c r="X6" s="74" t="s">
        <v>293</v>
      </c>
      <c r="Y6" s="75"/>
      <c r="Z6" s="73" t="s">
        <v>212</v>
      </c>
      <c r="AA6" s="74" t="s">
        <v>215</v>
      </c>
      <c r="AB6" s="74" t="s">
        <v>293</v>
      </c>
      <c r="AC6" s="75"/>
      <c r="AD6" s="73" t="s">
        <v>212</v>
      </c>
      <c r="AE6" s="74" t="s">
        <v>215</v>
      </c>
      <c r="AF6" s="74" t="s">
        <v>293</v>
      </c>
      <c r="AG6" s="75"/>
      <c r="AH6" s="73" t="s">
        <v>212</v>
      </c>
      <c r="AI6" s="74" t="s">
        <v>215</v>
      </c>
      <c r="AJ6" s="74" t="s">
        <v>293</v>
      </c>
      <c r="AK6" s="75"/>
      <c r="AL6" s="73" t="s">
        <v>212</v>
      </c>
      <c r="AM6" s="74" t="s">
        <v>215</v>
      </c>
      <c r="AN6" s="74" t="s">
        <v>293</v>
      </c>
      <c r="AO6" s="75"/>
      <c r="AP6" s="73" t="s">
        <v>212</v>
      </c>
      <c r="AQ6" s="74" t="s">
        <v>215</v>
      </c>
      <c r="AR6" s="74" t="s">
        <v>293</v>
      </c>
      <c r="AS6" s="75"/>
      <c r="AT6" s="73" t="s">
        <v>212</v>
      </c>
      <c r="AU6" s="74" t="s">
        <v>215</v>
      </c>
      <c r="AV6" s="74" t="s">
        <v>293</v>
      </c>
      <c r="AW6" s="75"/>
      <c r="AX6" s="73" t="s">
        <v>212</v>
      </c>
      <c r="AY6" s="74" t="s">
        <v>215</v>
      </c>
      <c r="AZ6" s="74" t="s">
        <v>293</v>
      </c>
      <c r="BA6" s="75"/>
      <c r="BB6" s="73" t="s">
        <v>212</v>
      </c>
      <c r="BC6" s="74" t="s">
        <v>215</v>
      </c>
      <c r="BD6" s="74" t="s">
        <v>293</v>
      </c>
      <c r="BE6" s="75"/>
      <c r="BF6" s="73" t="s">
        <v>212</v>
      </c>
      <c r="BG6" s="74" t="s">
        <v>215</v>
      </c>
      <c r="BH6" s="74" t="s">
        <v>293</v>
      </c>
      <c r="BI6" s="75"/>
      <c r="BJ6" s="73" t="s">
        <v>212</v>
      </c>
      <c r="BK6" s="74" t="s">
        <v>215</v>
      </c>
      <c r="BL6" s="74" t="s">
        <v>293</v>
      </c>
      <c r="BM6" s="75"/>
      <c r="BN6" s="73" t="s">
        <v>212</v>
      </c>
      <c r="BO6" s="74" t="s">
        <v>215</v>
      </c>
      <c r="BP6" s="74" t="s">
        <v>293</v>
      </c>
      <c r="BQ6" s="75"/>
      <c r="BR6" s="73" t="s">
        <v>212</v>
      </c>
      <c r="BS6" s="74" t="s">
        <v>215</v>
      </c>
      <c r="BT6" s="74" t="s">
        <v>293</v>
      </c>
      <c r="BU6" s="75"/>
      <c r="BV6" s="73" t="s">
        <v>212</v>
      </c>
      <c r="BW6" s="74" t="s">
        <v>215</v>
      </c>
      <c r="BX6" s="74" t="s">
        <v>293</v>
      </c>
      <c r="BY6" s="75"/>
      <c r="BZ6" s="73" t="s">
        <v>212</v>
      </c>
      <c r="CA6" s="74" t="s">
        <v>215</v>
      </c>
      <c r="CB6" s="74" t="s">
        <v>293</v>
      </c>
      <c r="CC6" s="75"/>
      <c r="CD6" s="73" t="s">
        <v>212</v>
      </c>
      <c r="CE6" s="74" t="s">
        <v>215</v>
      </c>
      <c r="CF6" s="74" t="s">
        <v>293</v>
      </c>
      <c r="CG6" s="75"/>
      <c r="CH6" s="73" t="s">
        <v>212</v>
      </c>
      <c r="CI6" s="74" t="s">
        <v>215</v>
      </c>
      <c r="CJ6" s="74" t="s">
        <v>293</v>
      </c>
      <c r="CK6" s="75"/>
      <c r="CL6" s="73" t="s">
        <v>212</v>
      </c>
      <c r="CM6" s="74" t="s">
        <v>215</v>
      </c>
      <c r="CN6" s="74" t="s">
        <v>293</v>
      </c>
      <c r="CO6" s="75"/>
      <c r="CP6" s="73" t="s">
        <v>212</v>
      </c>
      <c r="CQ6" s="74" t="s">
        <v>215</v>
      </c>
      <c r="CR6" s="74" t="s">
        <v>293</v>
      </c>
      <c r="CS6" s="75"/>
      <c r="CT6" s="73" t="s">
        <v>212</v>
      </c>
      <c r="CU6" s="74" t="s">
        <v>215</v>
      </c>
      <c r="CV6" s="74" t="s">
        <v>293</v>
      </c>
      <c r="CW6" s="75"/>
      <c r="CX6" s="73" t="s">
        <v>212</v>
      </c>
      <c r="CY6" s="74" t="s">
        <v>215</v>
      </c>
      <c r="CZ6" s="74" t="s">
        <v>293</v>
      </c>
      <c r="DA6" s="75"/>
      <c r="DB6" s="73" t="s">
        <v>212</v>
      </c>
      <c r="DC6" s="74" t="s">
        <v>215</v>
      </c>
      <c r="DD6" s="74" t="s">
        <v>293</v>
      </c>
      <c r="DE6" s="75"/>
      <c r="DF6" s="73" t="s">
        <v>212</v>
      </c>
      <c r="DG6" s="74" t="s">
        <v>215</v>
      </c>
      <c r="DH6" s="74" t="s">
        <v>293</v>
      </c>
      <c r="DI6" s="75"/>
      <c r="DJ6" s="73" t="s">
        <v>212</v>
      </c>
      <c r="DK6" s="74" t="s">
        <v>215</v>
      </c>
      <c r="DL6" s="74" t="s">
        <v>293</v>
      </c>
      <c r="DM6" s="75"/>
      <c r="DN6" s="73" t="s">
        <v>212</v>
      </c>
      <c r="DO6" s="74" t="s">
        <v>215</v>
      </c>
      <c r="DP6" s="74" t="s">
        <v>293</v>
      </c>
      <c r="DQ6" s="75"/>
      <c r="DR6" s="73" t="s">
        <v>212</v>
      </c>
      <c r="DS6" s="74" t="s">
        <v>215</v>
      </c>
      <c r="DT6" s="74" t="s">
        <v>293</v>
      </c>
      <c r="DU6" s="75"/>
      <c r="DV6" s="73" t="s">
        <v>212</v>
      </c>
      <c r="DW6" s="74" t="s">
        <v>215</v>
      </c>
      <c r="DX6" s="74" t="s">
        <v>293</v>
      </c>
      <c r="DY6" s="75"/>
      <c r="DZ6" s="73" t="s">
        <v>212</v>
      </c>
      <c r="EA6" s="74" t="s">
        <v>215</v>
      </c>
      <c r="EB6" s="74" t="s">
        <v>293</v>
      </c>
      <c r="EC6" s="75"/>
      <c r="ED6" s="73" t="s">
        <v>212</v>
      </c>
      <c r="EE6" s="74" t="s">
        <v>215</v>
      </c>
      <c r="EF6" s="74" t="s">
        <v>293</v>
      </c>
      <c r="EG6" s="75"/>
      <c r="EH6" s="73" t="s">
        <v>212</v>
      </c>
      <c r="EI6" s="74" t="s">
        <v>215</v>
      </c>
      <c r="EJ6" s="74" t="s">
        <v>293</v>
      </c>
      <c r="EK6" s="75"/>
      <c r="EL6" s="73" t="s">
        <v>212</v>
      </c>
      <c r="EM6" s="74" t="s">
        <v>215</v>
      </c>
      <c r="EN6" s="74" t="s">
        <v>293</v>
      </c>
      <c r="EO6" s="75"/>
      <c r="EP6" s="73" t="s">
        <v>212</v>
      </c>
      <c r="EQ6" s="74" t="s">
        <v>215</v>
      </c>
      <c r="ER6" s="74" t="s">
        <v>293</v>
      </c>
      <c r="ES6" s="75"/>
      <c r="ET6" s="73" t="s">
        <v>212</v>
      </c>
      <c r="EU6" s="74" t="s">
        <v>215</v>
      </c>
      <c r="EV6" s="74" t="s">
        <v>293</v>
      </c>
      <c r="EW6" s="75"/>
      <c r="EX6" s="73" t="s">
        <v>212</v>
      </c>
      <c r="EY6" s="74" t="s">
        <v>215</v>
      </c>
      <c r="EZ6" s="74" t="s">
        <v>293</v>
      </c>
      <c r="FA6" s="75"/>
      <c r="FB6" s="73" t="s">
        <v>212</v>
      </c>
      <c r="FC6" s="74" t="s">
        <v>215</v>
      </c>
      <c r="FD6" s="74" t="s">
        <v>293</v>
      </c>
      <c r="FE6" s="75"/>
      <c r="FF6" s="73" t="s">
        <v>212</v>
      </c>
      <c r="FG6" s="74" t="s">
        <v>215</v>
      </c>
      <c r="FH6" s="74" t="s">
        <v>293</v>
      </c>
      <c r="FI6" s="75"/>
      <c r="FJ6" s="73" t="s">
        <v>212</v>
      </c>
      <c r="FK6" s="74" t="s">
        <v>215</v>
      </c>
      <c r="FL6" s="74" t="s">
        <v>293</v>
      </c>
      <c r="FM6" s="75"/>
      <c r="FN6" s="73" t="s">
        <v>212</v>
      </c>
      <c r="FO6" s="74" t="s">
        <v>215</v>
      </c>
      <c r="FP6" s="74" t="s">
        <v>293</v>
      </c>
      <c r="FQ6" s="75"/>
      <c r="FR6" s="73" t="s">
        <v>212</v>
      </c>
      <c r="FS6" s="74" t="s">
        <v>215</v>
      </c>
      <c r="FT6" s="74" t="s">
        <v>293</v>
      </c>
      <c r="FU6" s="75"/>
      <c r="FV6" s="73" t="s">
        <v>212</v>
      </c>
      <c r="FW6" s="74" t="s">
        <v>215</v>
      </c>
      <c r="FX6" s="74" t="s">
        <v>293</v>
      </c>
      <c r="FY6" s="75"/>
      <c r="FZ6" s="73" t="s">
        <v>212</v>
      </c>
      <c r="GA6" s="74" t="s">
        <v>215</v>
      </c>
      <c r="GB6" s="74" t="s">
        <v>293</v>
      </c>
      <c r="GC6" s="75"/>
      <c r="GD6" s="73" t="s">
        <v>212</v>
      </c>
      <c r="GE6" s="74" t="s">
        <v>215</v>
      </c>
      <c r="GF6" s="74" t="s">
        <v>293</v>
      </c>
      <c r="GG6" s="75"/>
      <c r="GH6" s="73" t="s">
        <v>212</v>
      </c>
      <c r="GI6" s="74" t="s">
        <v>215</v>
      </c>
      <c r="GJ6" s="74" t="s">
        <v>293</v>
      </c>
      <c r="GK6" s="75"/>
      <c r="GL6" s="73" t="s">
        <v>212</v>
      </c>
      <c r="GM6" s="74" t="s">
        <v>215</v>
      </c>
      <c r="GN6" s="74" t="s">
        <v>293</v>
      </c>
      <c r="GP6" s="73" t="s">
        <v>212</v>
      </c>
      <c r="GQ6" s="74" t="s">
        <v>215</v>
      </c>
      <c r="GR6" s="74" t="s">
        <v>293</v>
      </c>
      <c r="GS6" s="75"/>
      <c r="GT6" s="73" t="s">
        <v>212</v>
      </c>
      <c r="GU6" s="74" t="s">
        <v>215</v>
      </c>
      <c r="GV6" s="74" t="s">
        <v>293</v>
      </c>
      <c r="GW6" s="75"/>
      <c r="GX6" s="73" t="s">
        <v>212</v>
      </c>
      <c r="GY6" s="74" t="s">
        <v>215</v>
      </c>
      <c r="GZ6" s="74" t="s">
        <v>293</v>
      </c>
      <c r="HA6" s="75"/>
      <c r="HB6" s="73" t="s">
        <v>212</v>
      </c>
      <c r="HC6" s="74" t="s">
        <v>215</v>
      </c>
      <c r="HD6" s="74" t="s">
        <v>293</v>
      </c>
      <c r="HE6" s="75"/>
      <c r="HF6" s="73" t="s">
        <v>212</v>
      </c>
      <c r="HG6" s="74" t="s">
        <v>215</v>
      </c>
      <c r="HH6" s="74" t="s">
        <v>293</v>
      </c>
      <c r="HI6" s="75"/>
      <c r="HJ6" s="73" t="s">
        <v>212</v>
      </c>
      <c r="HK6" s="74" t="s">
        <v>215</v>
      </c>
      <c r="HL6" s="74" t="s">
        <v>293</v>
      </c>
      <c r="HM6" s="75"/>
      <c r="HN6" s="73" t="s">
        <v>212</v>
      </c>
      <c r="HO6" s="74" t="s">
        <v>215</v>
      </c>
      <c r="HP6" s="74" t="s">
        <v>293</v>
      </c>
      <c r="HQ6" s="75"/>
      <c r="HR6" s="73" t="s">
        <v>212</v>
      </c>
      <c r="HS6" s="74" t="s">
        <v>215</v>
      </c>
      <c r="HT6" s="74" t="s">
        <v>293</v>
      </c>
      <c r="HU6" s="75"/>
      <c r="HV6" s="73" t="s">
        <v>212</v>
      </c>
      <c r="HW6" s="74" t="s">
        <v>215</v>
      </c>
      <c r="HX6" s="74" t="s">
        <v>293</v>
      </c>
      <c r="HY6" s="75"/>
      <c r="HZ6" s="73" t="s">
        <v>212</v>
      </c>
      <c r="IA6" s="74" t="s">
        <v>215</v>
      </c>
      <c r="IB6" s="74" t="s">
        <v>293</v>
      </c>
      <c r="IC6" s="75"/>
      <c r="ID6" s="73" t="s">
        <v>212</v>
      </c>
      <c r="IE6" s="74" t="s">
        <v>215</v>
      </c>
      <c r="IF6" s="74" t="s">
        <v>293</v>
      </c>
      <c r="IG6" s="75"/>
      <c r="IH6" s="73" t="s">
        <v>212</v>
      </c>
      <c r="II6" s="74" t="s">
        <v>215</v>
      </c>
      <c r="IJ6" s="74" t="s">
        <v>293</v>
      </c>
      <c r="IK6" s="75"/>
      <c r="IL6" s="73" t="s">
        <v>212</v>
      </c>
      <c r="IM6" s="74" t="s">
        <v>215</v>
      </c>
      <c r="IN6" s="74" t="s">
        <v>293</v>
      </c>
      <c r="IO6" s="75"/>
      <c r="IP6" s="73" t="s">
        <v>212</v>
      </c>
      <c r="IQ6" s="74" t="s">
        <v>215</v>
      </c>
      <c r="IR6" s="74" t="s">
        <v>293</v>
      </c>
      <c r="IS6" s="75"/>
      <c r="IT6" s="73" t="s">
        <v>212</v>
      </c>
      <c r="IU6" s="74" t="s">
        <v>215</v>
      </c>
      <c r="IV6" s="74" t="s">
        <v>293</v>
      </c>
      <c r="IW6" s="75"/>
      <c r="IX6" s="73" t="s">
        <v>212</v>
      </c>
      <c r="IY6" s="74" t="s">
        <v>215</v>
      </c>
      <c r="IZ6" s="74" t="s">
        <v>293</v>
      </c>
      <c r="JA6" s="75"/>
      <c r="JB6" s="73" t="s">
        <v>212</v>
      </c>
      <c r="JC6" s="74" t="s">
        <v>215</v>
      </c>
      <c r="JD6" s="74" t="s">
        <v>293</v>
      </c>
      <c r="JE6" s="75"/>
      <c r="JF6" s="73" t="s">
        <v>212</v>
      </c>
      <c r="JG6" s="74" t="s">
        <v>215</v>
      </c>
      <c r="JH6" s="74" t="s">
        <v>293</v>
      </c>
      <c r="JI6" s="75"/>
      <c r="JJ6" s="73" t="s">
        <v>212</v>
      </c>
      <c r="JK6" s="74" t="s">
        <v>215</v>
      </c>
      <c r="JL6" s="74" t="s">
        <v>293</v>
      </c>
      <c r="JM6" s="75"/>
      <c r="JN6" s="75"/>
      <c r="JO6" s="73" t="s">
        <v>212</v>
      </c>
      <c r="JP6" s="74" t="s">
        <v>215</v>
      </c>
      <c r="JQ6" s="74" t="s">
        <v>293</v>
      </c>
      <c r="JS6" s="73" t="s">
        <v>212</v>
      </c>
      <c r="JT6" s="74" t="s">
        <v>215</v>
      </c>
      <c r="JU6" s="74" t="s">
        <v>293</v>
      </c>
      <c r="JW6" s="73" t="s">
        <v>212</v>
      </c>
      <c r="JX6" s="74" t="s">
        <v>215</v>
      </c>
      <c r="JY6" s="74" t="s">
        <v>293</v>
      </c>
      <c r="KA6" s="73" t="s">
        <v>212</v>
      </c>
      <c r="KB6" s="74" t="s">
        <v>215</v>
      </c>
      <c r="KC6" s="74" t="s">
        <v>293</v>
      </c>
      <c r="KE6" s="73" t="s">
        <v>212</v>
      </c>
      <c r="KF6" s="74" t="s">
        <v>215</v>
      </c>
      <c r="KG6" s="74" t="s">
        <v>293</v>
      </c>
      <c r="KI6" s="73" t="s">
        <v>212</v>
      </c>
      <c r="KJ6" s="74" t="s">
        <v>215</v>
      </c>
      <c r="KK6" s="74" t="s">
        <v>293</v>
      </c>
      <c r="KM6" s="73" t="s">
        <v>212</v>
      </c>
      <c r="KN6" s="74" t="s">
        <v>215</v>
      </c>
      <c r="KO6" s="74" t="s">
        <v>293</v>
      </c>
    </row>
    <row r="7" ht="9.75" customHeight="1" spans="2:301" s="23" customFormat="1" x14ac:dyDescent="0.25">
      <c r="B7" s="21"/>
      <c r="C7" s="72"/>
      <c r="D7" s="72"/>
      <c r="E7" s="21"/>
      <c r="F7" s="76"/>
      <c r="G7" s="75"/>
      <c r="H7" s="75"/>
      <c r="I7" s="75"/>
      <c r="J7" s="76"/>
      <c r="K7" s="75"/>
      <c r="L7" s="75"/>
      <c r="M7" s="75"/>
      <c r="N7" s="76"/>
      <c r="O7" s="75"/>
      <c r="P7" s="75"/>
      <c r="Q7" s="75"/>
      <c r="R7" s="76"/>
      <c r="S7" s="75"/>
      <c r="T7" s="75"/>
      <c r="U7" s="75"/>
      <c r="V7" s="76"/>
      <c r="W7" s="75"/>
      <c r="X7" s="75"/>
      <c r="Y7" s="75"/>
      <c r="Z7" s="76"/>
      <c r="AA7" s="75"/>
      <c r="AB7" s="75"/>
      <c r="AC7" s="75"/>
      <c r="AD7" s="76"/>
      <c r="AE7" s="75"/>
      <c r="AF7" s="75"/>
      <c r="AG7" s="75"/>
      <c r="AH7" s="76"/>
      <c r="AI7" s="75"/>
      <c r="AJ7" s="75"/>
      <c r="AK7" s="75"/>
      <c r="AL7" s="76"/>
      <c r="AM7" s="75"/>
      <c r="AN7" s="75"/>
      <c r="AO7" s="75"/>
      <c r="AP7" s="76"/>
      <c r="AQ7" s="75"/>
      <c r="AR7" s="75"/>
      <c r="AS7" s="75"/>
      <c r="AT7" s="76"/>
      <c r="AU7" s="75"/>
      <c r="AV7" s="75"/>
      <c r="AW7" s="75"/>
      <c r="AX7" s="76"/>
      <c r="AY7" s="75"/>
      <c r="AZ7" s="75"/>
      <c r="BA7" s="75"/>
      <c r="BB7" s="76"/>
      <c r="BC7" s="75"/>
      <c r="BD7" s="75"/>
      <c r="BE7" s="75"/>
      <c r="BF7" s="76"/>
      <c r="BG7" s="75"/>
      <c r="BH7" s="75"/>
      <c r="BI7" s="75"/>
      <c r="BJ7" s="76"/>
      <c r="BK7" s="75"/>
      <c r="BL7" s="75"/>
      <c r="BM7" s="75"/>
      <c r="BN7" s="76"/>
      <c r="BO7" s="75"/>
      <c r="BP7" s="75"/>
      <c r="BQ7" s="75"/>
      <c r="BR7" s="76"/>
      <c r="BS7" s="75"/>
      <c r="BT7" s="75"/>
      <c r="BU7" s="75"/>
      <c r="BV7" s="76"/>
      <c r="BW7" s="75"/>
      <c r="BX7" s="75"/>
      <c r="BY7" s="75"/>
      <c r="BZ7" s="76"/>
      <c r="CA7" s="75"/>
      <c r="CB7" s="75"/>
      <c r="CC7" s="75"/>
      <c r="CD7" s="76"/>
      <c r="CE7" s="75"/>
      <c r="CF7" s="75"/>
      <c r="CG7" s="75"/>
      <c r="CH7" s="76"/>
      <c r="CI7" s="75"/>
      <c r="CJ7" s="75"/>
      <c r="CK7" s="75"/>
      <c r="CL7" s="76"/>
      <c r="CM7" s="75"/>
      <c r="CN7" s="75"/>
      <c r="CO7" s="75"/>
      <c r="CP7" s="76"/>
      <c r="CQ7" s="75"/>
      <c r="CR7" s="75"/>
      <c r="CS7" s="75"/>
      <c r="CT7" s="76"/>
      <c r="CU7" s="75"/>
      <c r="CV7" s="75"/>
      <c r="CW7" s="75"/>
      <c r="CX7" s="76"/>
      <c r="CY7" s="75"/>
      <c r="CZ7" s="75"/>
      <c r="DA7" s="75"/>
      <c r="DB7" s="76"/>
      <c r="DC7" s="75"/>
      <c r="DD7" s="75"/>
      <c r="DE7" s="75"/>
      <c r="DF7" s="76"/>
      <c r="DG7" s="75"/>
      <c r="DH7" s="75"/>
      <c r="DI7" s="75"/>
      <c r="DJ7" s="76"/>
      <c r="DK7" s="75"/>
      <c r="DL7" s="75"/>
      <c r="DM7" s="75"/>
      <c r="DN7" s="76"/>
      <c r="DO7" s="75"/>
      <c r="DP7" s="75"/>
      <c r="DQ7" s="75"/>
      <c r="DR7" s="76"/>
      <c r="DS7" s="75"/>
      <c r="DT7" s="75"/>
      <c r="DU7" s="75"/>
      <c r="DV7" s="76"/>
      <c r="DW7" s="75"/>
      <c r="DX7" s="75"/>
      <c r="DY7" s="75"/>
      <c r="DZ7" s="76"/>
      <c r="EA7" s="75"/>
      <c r="EB7" s="75"/>
      <c r="EC7" s="75"/>
      <c r="ED7" s="76"/>
      <c r="EE7" s="75"/>
      <c r="EF7" s="75"/>
      <c r="EG7" s="75"/>
      <c r="EH7" s="76"/>
      <c r="EI7" s="75"/>
      <c r="EJ7" s="75"/>
      <c r="EK7" s="75"/>
      <c r="EL7" s="76"/>
      <c r="EM7" s="75"/>
      <c r="EN7" s="75"/>
      <c r="EO7" s="75"/>
      <c r="EP7" s="76"/>
      <c r="EQ7" s="75"/>
      <c r="ER7" s="75"/>
      <c r="ES7" s="75"/>
      <c r="ET7" s="76"/>
      <c r="EU7" s="75"/>
      <c r="EV7" s="75"/>
      <c r="EW7" s="75"/>
      <c r="EX7" s="76"/>
      <c r="EY7" s="75"/>
      <c r="EZ7" s="75"/>
      <c r="FA7" s="75"/>
      <c r="FB7" s="76"/>
      <c r="FC7" s="75"/>
      <c r="FD7" s="75"/>
      <c r="FE7" s="75"/>
      <c r="FF7" s="76"/>
      <c r="FG7" s="75"/>
      <c r="FH7" s="75"/>
      <c r="FI7" s="75"/>
      <c r="FJ7" s="76"/>
      <c r="FK7" s="75"/>
      <c r="FL7" s="75"/>
      <c r="FM7" s="75"/>
      <c r="FN7" s="76"/>
      <c r="FO7" s="75"/>
      <c r="FP7" s="75"/>
      <c r="FQ7" s="75"/>
      <c r="FR7" s="76"/>
      <c r="FS7" s="75"/>
      <c r="FT7" s="75"/>
      <c r="FU7" s="75"/>
      <c r="FV7" s="76"/>
      <c r="FW7" s="75"/>
      <c r="FX7" s="75"/>
      <c r="FY7" s="75"/>
      <c r="FZ7" s="76"/>
      <c r="GA7" s="75"/>
      <c r="GB7" s="75"/>
      <c r="GC7" s="75"/>
      <c r="GD7" s="76"/>
      <c r="GE7" s="75"/>
      <c r="GF7" s="75"/>
      <c r="GG7" s="75"/>
      <c r="GH7" s="76"/>
      <c r="GI7" s="75"/>
      <c r="GJ7" s="75"/>
      <c r="GK7" s="75"/>
      <c r="GL7" s="76"/>
      <c r="GM7" s="75"/>
      <c r="GN7" s="75"/>
      <c r="GP7" s="76"/>
      <c r="GQ7" s="75"/>
      <c r="GR7" s="75"/>
      <c r="GS7" s="75"/>
      <c r="GT7" s="76"/>
      <c r="GU7" s="75"/>
      <c r="GV7" s="75"/>
      <c r="GW7" s="75"/>
      <c r="GX7" s="76"/>
      <c r="GY7" s="75"/>
      <c r="GZ7" s="75"/>
      <c r="HA7" s="75"/>
      <c r="HB7" s="76"/>
      <c r="HC7" s="75"/>
      <c r="HD7" s="75"/>
      <c r="HE7" s="75"/>
      <c r="HF7" s="76"/>
      <c r="HG7" s="75"/>
      <c r="HH7" s="75"/>
      <c r="HI7" s="75"/>
      <c r="HJ7" s="76"/>
      <c r="HK7" s="75"/>
      <c r="HL7" s="75"/>
      <c r="HM7" s="75"/>
      <c r="HN7" s="76"/>
      <c r="HO7" s="75"/>
      <c r="HP7" s="75"/>
      <c r="HQ7" s="75"/>
      <c r="HR7" s="76"/>
      <c r="HS7" s="75"/>
      <c r="HT7" s="75"/>
      <c r="HU7" s="75"/>
      <c r="HV7" s="76"/>
      <c r="HW7" s="75"/>
      <c r="HX7" s="75"/>
      <c r="HY7" s="75"/>
      <c r="HZ7" s="76"/>
      <c r="IA7" s="75"/>
      <c r="IB7" s="75"/>
      <c r="IC7" s="75"/>
      <c r="ID7" s="76"/>
      <c r="IE7" s="75"/>
      <c r="IF7" s="75"/>
      <c r="IG7" s="75"/>
      <c r="IH7" s="76"/>
      <c r="II7" s="75"/>
      <c r="IJ7" s="75"/>
      <c r="IL7" s="76"/>
      <c r="IM7" s="75"/>
      <c r="IN7" s="75"/>
      <c r="IO7" s="75"/>
      <c r="IP7" s="76"/>
      <c r="IQ7" s="75"/>
      <c r="IR7" s="75"/>
      <c r="IS7" s="75"/>
      <c r="IT7" s="76"/>
      <c r="IU7" s="75"/>
      <c r="IV7" s="75"/>
      <c r="IW7" s="75"/>
      <c r="IX7" s="76"/>
      <c r="IY7" s="75"/>
      <c r="IZ7" s="75"/>
      <c r="JA7" s="75"/>
      <c r="JB7" s="76"/>
      <c r="JC7" s="75"/>
      <c r="JD7" s="75"/>
      <c r="JE7" s="75"/>
      <c r="JF7" s="76"/>
      <c r="JG7" s="75"/>
      <c r="JH7" s="75"/>
      <c r="JI7" s="75"/>
      <c r="JJ7" s="76"/>
      <c r="JK7" s="75"/>
      <c r="JL7" s="75"/>
      <c r="JM7" s="75"/>
      <c r="JO7" s="76"/>
      <c r="JP7" s="75"/>
      <c r="JQ7" s="75"/>
      <c r="JS7" s="76"/>
      <c r="JT7" s="75"/>
      <c r="JU7" s="75"/>
      <c r="JW7" s="76"/>
      <c r="JX7" s="75"/>
      <c r="JY7" s="75"/>
      <c r="KA7" s="76"/>
      <c r="KB7" s="75"/>
      <c r="KC7" s="75"/>
      <c r="KE7" s="76"/>
      <c r="KF7" s="75"/>
      <c r="KG7" s="75"/>
      <c r="KI7" s="76"/>
      <c r="KJ7" s="75"/>
      <c r="KK7" s="75"/>
      <c r="KM7" s="76"/>
      <c r="KN7" s="75"/>
      <c r="KO7" s="75"/>
    </row>
    <row r="8" ht="18.75" customHeight="1" spans="2:301" s="101" customFormat="1" x14ac:dyDescent="0.25">
      <c r="B8" s="102"/>
      <c r="C8" s="17" t="s">
        <v>294</v>
      </c>
      <c r="D8" s="17" t="s">
        <v>295</v>
      </c>
      <c r="E8" s="102"/>
      <c r="F8" s="102"/>
      <c r="G8" s="103" t="s">
        <v>217</v>
      </c>
      <c r="H8" s="103"/>
      <c r="I8" s="103"/>
      <c r="J8" s="78">
        <f>A.IIOPEX!K10+100%</f>
        <v>0.8</v>
      </c>
      <c r="K8" s="78">
        <v>1</v>
      </c>
      <c r="L8" s="78">
        <f>A.IIOPEX!K10+100%</f>
        <v>0.8</v>
      </c>
      <c r="M8" s="103"/>
      <c r="N8" s="78">
        <v>1</v>
      </c>
      <c r="O8" s="78">
        <v>1</v>
      </c>
      <c r="P8" s="78">
        <v>1</v>
      </c>
      <c r="Q8" s="103"/>
      <c r="R8" s="78">
        <f>N8</f>
        <v>1</v>
      </c>
      <c r="S8" s="78">
        <v>1</v>
      </c>
      <c r="T8" s="78">
        <f>P8</f>
        <v>1</v>
      </c>
      <c r="U8" s="103"/>
      <c r="V8" s="78">
        <f>R8</f>
        <v>1</v>
      </c>
      <c r="W8" s="78">
        <v>1</v>
      </c>
      <c r="X8" s="78">
        <f>T8</f>
        <v>1</v>
      </c>
      <c r="Y8" s="103"/>
      <c r="Z8" s="78">
        <v>1</v>
      </c>
      <c r="AA8" s="78">
        <v>1</v>
      </c>
      <c r="AB8" s="78">
        <f>X8</f>
        <v>1</v>
      </c>
      <c r="AC8" s="103"/>
      <c r="AD8" s="78">
        <f>Z8</f>
        <v>1</v>
      </c>
      <c r="AE8" s="78">
        <v>1</v>
      </c>
      <c r="AF8" s="78">
        <f>AB8</f>
        <v>1</v>
      </c>
      <c r="AG8" s="103"/>
      <c r="AH8" s="78">
        <f>A.IIOPEX!M10+100%</f>
        <v>1.35</v>
      </c>
      <c r="AI8" s="78">
        <v>1</v>
      </c>
      <c r="AJ8" s="78">
        <f>A.IIOPEX!M10+100%</f>
        <v>1.35</v>
      </c>
      <c r="AK8" s="103"/>
      <c r="AL8" s="78">
        <v>1</v>
      </c>
      <c r="AM8" s="78">
        <v>1</v>
      </c>
      <c r="AN8" s="78">
        <v>1</v>
      </c>
      <c r="AO8" s="103"/>
      <c r="AP8" s="78">
        <v>1</v>
      </c>
      <c r="AQ8" s="78">
        <v>1</v>
      </c>
      <c r="AR8" s="78">
        <f>AN8</f>
        <v>1</v>
      </c>
      <c r="AS8" s="103"/>
      <c r="AT8" s="78">
        <f>AP8</f>
        <v>1</v>
      </c>
      <c r="AU8" s="78">
        <v>1</v>
      </c>
      <c r="AV8" s="78">
        <f>AR8</f>
        <v>1</v>
      </c>
      <c r="AW8" s="103"/>
      <c r="AX8" s="78">
        <f>AT8</f>
        <v>1</v>
      </c>
      <c r="AY8" s="78">
        <v>1</v>
      </c>
      <c r="AZ8" s="78">
        <f>AV8</f>
        <v>1</v>
      </c>
      <c r="BA8" s="103"/>
      <c r="BB8" s="78">
        <f>AX8</f>
        <v>1</v>
      </c>
      <c r="BC8" s="78">
        <v>1</v>
      </c>
      <c r="BD8" s="78">
        <f>AZ8</f>
        <v>1</v>
      </c>
      <c r="BE8" s="103"/>
      <c r="BF8" s="78">
        <f>BB8</f>
        <v>1</v>
      </c>
      <c r="BG8" s="78">
        <v>1</v>
      </c>
      <c r="BH8" s="78">
        <f>BD8</f>
        <v>1</v>
      </c>
      <c r="BI8" s="103"/>
      <c r="BJ8" s="78">
        <f>BF8</f>
        <v>1</v>
      </c>
      <c r="BK8" s="78">
        <v>1</v>
      </c>
      <c r="BL8" s="78">
        <f>BH8</f>
        <v>1</v>
      </c>
      <c r="BM8" s="103"/>
      <c r="BN8" s="79">
        <f>BJ8</f>
        <v>1</v>
      </c>
      <c r="BO8" s="79">
        <v>1</v>
      </c>
      <c r="BP8" s="78">
        <f>BL8</f>
        <v>1</v>
      </c>
      <c r="BQ8" s="103"/>
      <c r="BR8" s="78">
        <f>BN8</f>
        <v>1</v>
      </c>
      <c r="BS8" s="78">
        <v>1</v>
      </c>
      <c r="BT8" s="78">
        <f>BP8</f>
        <v>1</v>
      </c>
      <c r="BU8" s="103"/>
      <c r="BV8" s="78">
        <v>1</v>
      </c>
      <c r="BW8" s="78">
        <v>1</v>
      </c>
      <c r="BX8" s="78">
        <f>BT8</f>
        <v>1</v>
      </c>
      <c r="BY8" s="103"/>
      <c r="BZ8" s="78">
        <f>BV8</f>
        <v>1</v>
      </c>
      <c r="CA8" s="78">
        <v>1</v>
      </c>
      <c r="CB8" s="78">
        <f>BX8</f>
        <v>1</v>
      </c>
      <c r="CC8" s="103"/>
      <c r="CD8" s="78">
        <f>A.IIOPEX!O10+100%</f>
        <v>3.5</v>
      </c>
      <c r="CE8" s="78">
        <v>1</v>
      </c>
      <c r="CF8" s="78">
        <f>A.IIOPEX!O10+100%</f>
        <v>3.5</v>
      </c>
      <c r="CG8" s="103"/>
      <c r="CH8" s="78">
        <v>1</v>
      </c>
      <c r="CI8" s="78">
        <v>1</v>
      </c>
      <c r="CJ8" s="78">
        <v>1</v>
      </c>
      <c r="CK8" s="103"/>
      <c r="CL8" s="78">
        <f>CH8</f>
        <v>1</v>
      </c>
      <c r="CM8" s="78">
        <v>1</v>
      </c>
      <c r="CN8" s="78">
        <f>CJ8</f>
        <v>1</v>
      </c>
      <c r="CO8" s="103"/>
      <c r="CP8" s="78">
        <f>CL8</f>
        <v>1</v>
      </c>
      <c r="CQ8" s="78">
        <v>1</v>
      </c>
      <c r="CR8" s="78">
        <f>CN8</f>
        <v>1</v>
      </c>
      <c r="CS8" s="103"/>
      <c r="CT8" s="78">
        <f>CP8</f>
        <v>1</v>
      </c>
      <c r="CU8" s="78">
        <v>1</v>
      </c>
      <c r="CV8" s="78">
        <f>CR8</f>
        <v>1</v>
      </c>
      <c r="CW8" s="103"/>
      <c r="CX8" s="78">
        <f>CT8</f>
        <v>1</v>
      </c>
      <c r="CY8" s="78">
        <v>1</v>
      </c>
      <c r="CZ8" s="78">
        <f>CV8</f>
        <v>1</v>
      </c>
      <c r="DA8" s="103"/>
      <c r="DB8" s="78">
        <f>CX8</f>
        <v>1</v>
      </c>
      <c r="DC8" s="78">
        <v>1</v>
      </c>
      <c r="DD8" s="78">
        <f>CZ8</f>
        <v>1</v>
      </c>
      <c r="DE8" s="103"/>
      <c r="DF8" s="78">
        <f>DB8</f>
        <v>1</v>
      </c>
      <c r="DG8" s="78">
        <v>1</v>
      </c>
      <c r="DH8" s="78">
        <f>DD8</f>
        <v>1</v>
      </c>
      <c r="DI8" s="103"/>
      <c r="DJ8" s="79">
        <f>DF8</f>
        <v>1</v>
      </c>
      <c r="DK8" s="79">
        <v>1</v>
      </c>
      <c r="DL8" s="78">
        <f>DH8</f>
        <v>1</v>
      </c>
      <c r="DM8" s="103"/>
      <c r="DN8" s="78">
        <f>DJ8</f>
        <v>1</v>
      </c>
      <c r="DO8" s="78">
        <v>1</v>
      </c>
      <c r="DP8" s="78">
        <f>DL8</f>
        <v>1</v>
      </c>
      <c r="DQ8" s="103"/>
      <c r="DR8" s="78">
        <v>1</v>
      </c>
      <c r="DS8" s="78">
        <v>1</v>
      </c>
      <c r="DT8" s="78">
        <f>DP8</f>
        <v>1</v>
      </c>
      <c r="DU8" s="103"/>
      <c r="DV8" s="78">
        <f>DR8</f>
        <v>1</v>
      </c>
      <c r="DW8" s="78">
        <v>1</v>
      </c>
      <c r="DX8" s="78">
        <f>DT8</f>
        <v>1</v>
      </c>
      <c r="DY8" s="103"/>
      <c r="DZ8" s="78">
        <f>A.IIOPEX!Q10+100%</f>
        <v>4.8</v>
      </c>
      <c r="EA8" s="78">
        <v>1</v>
      </c>
      <c r="EB8" s="78">
        <f>A.IIOPEX!Q10+100%</f>
        <v>4.8</v>
      </c>
      <c r="EC8" s="103"/>
      <c r="ED8" s="78">
        <v>1</v>
      </c>
      <c r="EE8" s="78">
        <v>1</v>
      </c>
      <c r="EF8" s="78">
        <v>1</v>
      </c>
      <c r="EG8" s="103"/>
      <c r="EH8" s="78">
        <f>ED8</f>
        <v>1</v>
      </c>
      <c r="EI8" s="78">
        <v>1</v>
      </c>
      <c r="EJ8" s="78">
        <f>EF8</f>
        <v>1</v>
      </c>
      <c r="EK8" s="103"/>
      <c r="EL8" s="78">
        <f>EH8</f>
        <v>1</v>
      </c>
      <c r="EM8" s="78">
        <v>1</v>
      </c>
      <c r="EN8" s="78">
        <f>EJ8</f>
        <v>1</v>
      </c>
      <c r="EO8" s="103"/>
      <c r="EP8" s="78">
        <f>EL8</f>
        <v>1</v>
      </c>
      <c r="EQ8" s="78">
        <v>1</v>
      </c>
      <c r="ER8" s="78">
        <f>EN8</f>
        <v>1</v>
      </c>
      <c r="ES8" s="103"/>
      <c r="ET8" s="78">
        <f>EP8</f>
        <v>1</v>
      </c>
      <c r="EU8" s="78">
        <v>1</v>
      </c>
      <c r="EV8" s="78">
        <f>ER8</f>
        <v>1</v>
      </c>
      <c r="EW8" s="103"/>
      <c r="EX8" s="78">
        <f>ET8</f>
        <v>1</v>
      </c>
      <c r="EY8" s="78">
        <v>1</v>
      </c>
      <c r="EZ8" s="78">
        <f>EV8</f>
        <v>1</v>
      </c>
      <c r="FA8" s="103"/>
      <c r="FB8" s="78">
        <f>EX8</f>
        <v>1</v>
      </c>
      <c r="FC8" s="78">
        <v>1</v>
      </c>
      <c r="FD8" s="78">
        <f>EZ8</f>
        <v>1</v>
      </c>
      <c r="FE8" s="103"/>
      <c r="FF8" s="79">
        <f>FB8</f>
        <v>1</v>
      </c>
      <c r="FG8" s="79">
        <v>1</v>
      </c>
      <c r="FH8" s="78">
        <f>FD8</f>
        <v>1</v>
      </c>
      <c r="FI8" s="103"/>
      <c r="FJ8" s="78">
        <f>A.IIOPEX!S10+100%</f>
        <v>1.4</v>
      </c>
      <c r="FK8" s="78">
        <v>1</v>
      </c>
      <c r="FL8" s="78">
        <f>FH8</f>
        <v>1</v>
      </c>
      <c r="FM8" s="103"/>
      <c r="FN8" s="78">
        <v>1</v>
      </c>
      <c r="FO8" s="78">
        <v>1</v>
      </c>
      <c r="FP8" s="78">
        <f>FL8</f>
        <v>1</v>
      </c>
      <c r="FQ8" s="103"/>
      <c r="FR8" s="78">
        <f>FN8</f>
        <v>1</v>
      </c>
      <c r="FS8" s="78">
        <v>1</v>
      </c>
      <c r="FT8" s="78">
        <f>FP8</f>
        <v>1</v>
      </c>
      <c r="FU8" s="103"/>
      <c r="FV8" s="78">
        <f>FR8</f>
        <v>1</v>
      </c>
      <c r="FW8" s="78">
        <v>1</v>
      </c>
      <c r="FX8" s="78">
        <f>A.IIOPEX!S10+100%</f>
        <v>1.4</v>
      </c>
      <c r="FY8" s="103"/>
      <c r="FZ8" s="78">
        <f>FV8</f>
        <v>1</v>
      </c>
      <c r="GA8" s="78">
        <v>1</v>
      </c>
      <c r="GB8" s="78">
        <v>1</v>
      </c>
      <c r="GC8" s="103"/>
      <c r="GD8" s="78">
        <f>FZ8</f>
        <v>1</v>
      </c>
      <c r="GE8" s="78">
        <v>1</v>
      </c>
      <c r="GF8" s="78">
        <f>GB8</f>
        <v>1</v>
      </c>
      <c r="GG8" s="103"/>
      <c r="GH8" s="78">
        <f>GD8</f>
        <v>1</v>
      </c>
      <c r="GI8" s="78">
        <v>1</v>
      </c>
      <c r="GJ8" s="78">
        <f>GF8</f>
        <v>1</v>
      </c>
      <c r="GK8" s="103"/>
      <c r="GL8" s="78">
        <f>GH8</f>
        <v>1</v>
      </c>
      <c r="GM8" s="78">
        <v>1</v>
      </c>
      <c r="GN8" s="78">
        <f>GJ8</f>
        <v>1</v>
      </c>
      <c r="GO8" s="103"/>
      <c r="GP8" s="78">
        <f>GL8</f>
        <v>1</v>
      </c>
      <c r="GQ8" s="78">
        <v>1</v>
      </c>
      <c r="GR8" s="78">
        <f>GN8</f>
        <v>1</v>
      </c>
      <c r="GS8" s="103"/>
      <c r="GT8" s="78">
        <f>GP8</f>
        <v>1</v>
      </c>
      <c r="GU8" s="78">
        <v>1</v>
      </c>
      <c r="GV8" s="78">
        <f>GR8</f>
        <v>1</v>
      </c>
      <c r="GW8" s="103"/>
      <c r="GX8" s="78">
        <f>GT8</f>
        <v>1</v>
      </c>
      <c r="GY8" s="78">
        <v>1</v>
      </c>
      <c r="GZ8" s="78">
        <f>GV8</f>
        <v>1</v>
      </c>
      <c r="HA8" s="103"/>
      <c r="HB8" s="79">
        <f>GX8</f>
        <v>1</v>
      </c>
      <c r="HC8" s="79">
        <v>1</v>
      </c>
      <c r="HD8" s="78">
        <f>GZ8</f>
        <v>1</v>
      </c>
      <c r="HE8" s="103"/>
      <c r="HF8" s="78">
        <f>A.IIOPEX!U10+100%</f>
        <v>1.35</v>
      </c>
      <c r="HG8" s="78">
        <v>1</v>
      </c>
      <c r="HH8" s="78">
        <f>HD8</f>
        <v>1</v>
      </c>
      <c r="HI8" s="103"/>
      <c r="HJ8" s="78">
        <v>1</v>
      </c>
      <c r="HK8" s="78">
        <v>1</v>
      </c>
      <c r="HL8" s="78">
        <f>HH8</f>
        <v>1</v>
      </c>
      <c r="HM8" s="103"/>
      <c r="HN8" s="78">
        <f>HJ8</f>
        <v>1</v>
      </c>
      <c r="HO8" s="78">
        <v>1</v>
      </c>
      <c r="HP8" s="78">
        <f>HL8</f>
        <v>1</v>
      </c>
      <c r="HQ8" s="103"/>
      <c r="HR8" s="78">
        <f>HN8</f>
        <v>1</v>
      </c>
      <c r="HS8" s="78">
        <v>1</v>
      </c>
      <c r="HT8" s="78">
        <f>A.IIOPEX!U10+100%</f>
        <v>1.35</v>
      </c>
      <c r="HU8" s="103"/>
      <c r="HV8" s="78">
        <f>HR8</f>
        <v>1</v>
      </c>
      <c r="HW8" s="78">
        <v>1</v>
      </c>
      <c r="HX8" s="78">
        <v>1</v>
      </c>
      <c r="HY8" s="103"/>
      <c r="HZ8" s="78">
        <f>HV8</f>
        <v>1</v>
      </c>
      <c r="IA8" s="78">
        <v>1</v>
      </c>
      <c r="IB8" s="78">
        <f>HX8</f>
        <v>1</v>
      </c>
      <c r="IC8" s="103"/>
      <c r="ID8" s="78">
        <f>HZ8</f>
        <v>1</v>
      </c>
      <c r="IE8" s="78">
        <v>1</v>
      </c>
      <c r="IF8" s="78">
        <f>IB8</f>
        <v>1</v>
      </c>
      <c r="IG8" s="103"/>
      <c r="IH8" s="78">
        <f>ID8</f>
        <v>1</v>
      </c>
      <c r="II8" s="78">
        <v>1</v>
      </c>
      <c r="IJ8" s="78">
        <f>IF8</f>
        <v>1</v>
      </c>
      <c r="IK8" s="103"/>
      <c r="IL8" s="78">
        <f>IH8</f>
        <v>1</v>
      </c>
      <c r="IM8" s="78">
        <v>1</v>
      </c>
      <c r="IN8" s="78">
        <f>IJ8</f>
        <v>1</v>
      </c>
      <c r="IO8" s="103"/>
      <c r="IP8" s="78">
        <f>IL8</f>
        <v>1</v>
      </c>
      <c r="IQ8" s="78">
        <v>1</v>
      </c>
      <c r="IR8" s="78">
        <f>IN8</f>
        <v>1</v>
      </c>
      <c r="IS8" s="103"/>
      <c r="IT8" s="78">
        <f>IP8</f>
        <v>1</v>
      </c>
      <c r="IU8" s="78">
        <v>1</v>
      </c>
      <c r="IV8" s="78">
        <f>IR8</f>
        <v>1</v>
      </c>
      <c r="IW8" s="103"/>
      <c r="IX8" s="79">
        <f>IT8</f>
        <v>1</v>
      </c>
      <c r="IY8" s="79">
        <v>1</v>
      </c>
      <c r="IZ8" s="78">
        <f>IV8</f>
        <v>1</v>
      </c>
      <c r="JA8" s="103"/>
      <c r="JB8" s="78" t="e">
        <f>A.IIOPEX!#REF!+100%</f>
        <v>#REF!</v>
      </c>
      <c r="JC8" s="78">
        <v>1</v>
      </c>
      <c r="JD8" s="78">
        <f>IZ8</f>
        <v>1</v>
      </c>
      <c r="JE8" s="103"/>
      <c r="JF8" s="78">
        <v>1</v>
      </c>
      <c r="JG8" s="78">
        <v>1</v>
      </c>
      <c r="JH8" s="78">
        <f>JD8</f>
        <v>1</v>
      </c>
      <c r="JI8" s="103"/>
      <c r="JJ8" s="79">
        <f>JF8</f>
        <v>1</v>
      </c>
      <c r="JK8" s="79">
        <v>1</v>
      </c>
      <c r="JL8" s="78">
        <f>JH8</f>
        <v>1</v>
      </c>
      <c r="JM8" s="103"/>
      <c r="JO8" s="78">
        <f>'A.I Revenue Streams - P2'!DU10+100%</f>
        <v>1</v>
      </c>
      <c r="JP8" s="78">
        <v>1</v>
      </c>
      <c r="JQ8" s="103"/>
      <c r="JS8" s="78">
        <f>'A.I Revenue Streams - P2'!DY10+100%</f>
        <v>1</v>
      </c>
      <c r="JT8" s="78">
        <v>1</v>
      </c>
      <c r="JU8" s="103"/>
      <c r="JW8" s="78">
        <f>'A.I Revenue Streams - P2'!EC10+100%</f>
        <v>1</v>
      </c>
      <c r="JX8" s="78">
        <v>1</v>
      </c>
      <c r="JY8" s="103"/>
      <c r="KA8" s="78">
        <f>'A.I Revenue Streams - P2'!EG10+100%</f>
        <v>1</v>
      </c>
      <c r="KB8" s="78">
        <v>1</v>
      </c>
      <c r="KC8" s="103"/>
      <c r="KE8" s="78">
        <f>'A.I Revenue Streams - P2'!EK10+100%</f>
        <v>1</v>
      </c>
      <c r="KF8" s="78">
        <v>1</v>
      </c>
      <c r="KG8" s="103"/>
      <c r="KI8" s="78">
        <f>'A.I Revenue Streams - P2'!EO10+100%</f>
        <v>1</v>
      </c>
      <c r="KJ8" s="78">
        <v>1</v>
      </c>
      <c r="KK8" s="103"/>
      <c r="KM8" s="78">
        <f>'A.I Revenue Streams - P2'!ES10+100%</f>
        <v>1</v>
      </c>
      <c r="KN8" s="78">
        <v>1</v>
      </c>
      <c r="KO8" s="103"/>
    </row>
    <row r="9" ht="18.75" customHeight="1" spans="2:301" x14ac:dyDescent="0.25">
      <c r="B9" s="5">
        <v>1</v>
      </c>
      <c r="C9" s="29" t="str">
        <f>A.IIOPEX!D9</f>
        <v>Technology &amp; Product Development</v>
      </c>
      <c r="D9" s="27"/>
      <c r="E9" s="28"/>
      <c r="F9" s="51"/>
      <c r="G9" s="51"/>
      <c r="H9" s="51"/>
      <c r="I9" s="54"/>
      <c r="J9" s="51"/>
      <c r="K9" s="51"/>
      <c r="L9" s="51"/>
      <c r="M9" s="54"/>
      <c r="N9" s="51"/>
      <c r="O9" s="51"/>
      <c r="P9" s="51"/>
      <c r="Q9" s="54"/>
      <c r="R9" s="51"/>
      <c r="S9" s="51"/>
      <c r="T9" s="51"/>
      <c r="U9" s="54"/>
      <c r="V9" s="51"/>
      <c r="W9" s="51"/>
      <c r="X9" s="51"/>
      <c r="Y9" s="54"/>
      <c r="Z9" s="51"/>
      <c r="AA9" s="51"/>
      <c r="AB9" s="51"/>
      <c r="AC9" s="54"/>
      <c r="AD9" s="51"/>
      <c r="AE9" s="51"/>
      <c r="AF9" s="51"/>
      <c r="AG9" s="54"/>
      <c r="AH9" s="51"/>
      <c r="AI9" s="51"/>
      <c r="AJ9" s="51"/>
      <c r="AK9" s="54"/>
      <c r="AL9" s="51"/>
      <c r="AM9" s="51"/>
      <c r="AN9" s="51"/>
      <c r="AO9" s="54"/>
      <c r="AP9" s="51"/>
      <c r="AQ9" s="51"/>
      <c r="AR9" s="51"/>
      <c r="AS9" s="54"/>
      <c r="AT9" s="51"/>
      <c r="AU9" s="51"/>
      <c r="AV9" s="51"/>
      <c r="AW9" s="54"/>
      <c r="AX9" s="51"/>
      <c r="AY9" s="51"/>
      <c r="AZ9" s="51"/>
      <c r="BA9" s="54"/>
      <c r="BB9" s="51"/>
      <c r="BC9" s="51"/>
      <c r="BD9" s="51"/>
      <c r="BE9" s="54"/>
      <c r="BF9" s="51"/>
      <c r="BG9" s="51"/>
      <c r="BH9" s="51"/>
      <c r="BI9" s="54"/>
      <c r="BJ9" s="51"/>
      <c r="BK9" s="51"/>
      <c r="BL9" s="51"/>
      <c r="BM9" s="54"/>
      <c r="BN9" s="51"/>
      <c r="BO9" s="51"/>
      <c r="BP9" s="51"/>
      <c r="BQ9" s="54"/>
      <c r="BR9" s="51"/>
      <c r="BS9" s="51"/>
      <c r="BT9" s="51"/>
      <c r="BU9" s="54"/>
      <c r="BV9" s="51"/>
      <c r="BW9" s="51"/>
      <c r="BX9" s="51"/>
      <c r="BY9" s="54"/>
      <c r="BZ9" s="51"/>
      <c r="CA9" s="51"/>
      <c r="CB9" s="51"/>
      <c r="CC9" s="54"/>
      <c r="CD9" s="51"/>
      <c r="CE9" s="51"/>
      <c r="CF9" s="51"/>
      <c r="CG9" s="54"/>
      <c r="CH9" s="51"/>
      <c r="CI9" s="51"/>
      <c r="CJ9" s="51"/>
      <c r="CK9" s="54"/>
      <c r="CL9" s="51"/>
      <c r="CM9" s="51"/>
      <c r="CN9" s="51"/>
      <c r="CO9" s="54"/>
      <c r="CP9" s="51"/>
      <c r="CQ9" s="51"/>
      <c r="CR9" s="51"/>
      <c r="CS9" s="54"/>
      <c r="CT9" s="51"/>
      <c r="CU9" s="51"/>
      <c r="CV9" s="51"/>
      <c r="CW9" s="54"/>
      <c r="CX9" s="51"/>
      <c r="CY9" s="51"/>
      <c r="CZ9" s="51"/>
      <c r="DA9" s="54"/>
      <c r="DB9" s="51"/>
      <c r="DC9" s="51"/>
      <c r="DD9" s="51"/>
      <c r="DE9" s="54"/>
      <c r="DF9" s="51"/>
      <c r="DG9" s="51"/>
      <c r="DH9" s="51"/>
      <c r="DI9" s="54"/>
      <c r="DJ9" s="51"/>
      <c r="DK9" s="51"/>
      <c r="DL9" s="51"/>
      <c r="DM9" s="54"/>
      <c r="DN9" s="51"/>
      <c r="DO9" s="51"/>
      <c r="DP9" s="51"/>
      <c r="DQ9" s="54"/>
      <c r="DR9" s="51"/>
      <c r="DS9" s="51"/>
      <c r="DT9" s="51"/>
      <c r="DU9" s="54"/>
      <c r="DV9" s="51"/>
      <c r="DW9" s="51"/>
      <c r="DX9" s="51"/>
      <c r="DY9" s="54"/>
      <c r="DZ9" s="51"/>
      <c r="EA9" s="51"/>
      <c r="EB9" s="51"/>
      <c r="EC9" s="54"/>
      <c r="ED9" s="51"/>
      <c r="EE9" s="51"/>
      <c r="EF9" s="51"/>
      <c r="EG9" s="54"/>
      <c r="EH9" s="51"/>
      <c r="EI9" s="51"/>
      <c r="EJ9" s="51"/>
      <c r="EK9" s="54"/>
      <c r="EL9" s="51"/>
      <c r="EM9" s="51"/>
      <c r="EN9" s="51"/>
      <c r="EO9" s="54"/>
      <c r="EP9" s="51"/>
      <c r="EQ9" s="51"/>
      <c r="ER9" s="51"/>
      <c r="ES9" s="54"/>
      <c r="ET9" s="51"/>
      <c r="EU9" s="51"/>
      <c r="EV9" s="51"/>
      <c r="EW9" s="54"/>
      <c r="EX9" s="51"/>
      <c r="EY9" s="51"/>
      <c r="EZ9" s="51"/>
      <c r="FA9" s="54"/>
      <c r="FB9" s="51"/>
      <c r="FC9" s="51"/>
      <c r="FD9" s="51"/>
      <c r="FE9" s="54"/>
      <c r="FF9" s="51"/>
      <c r="FG9" s="51"/>
      <c r="FH9" s="51"/>
      <c r="FI9" s="54"/>
      <c r="FJ9" s="51"/>
      <c r="FK9" s="51"/>
      <c r="FL9" s="51"/>
      <c r="FM9" s="54"/>
      <c r="FN9" s="51"/>
      <c r="FO9" s="51"/>
      <c r="FP9" s="51"/>
      <c r="FQ9" s="54"/>
      <c r="FR9" s="51"/>
      <c r="FS9" s="51"/>
      <c r="FT9" s="51"/>
      <c r="FU9" s="54"/>
      <c r="FV9" s="51"/>
      <c r="FW9" s="51"/>
      <c r="FX9" s="51"/>
      <c r="FY9" s="54"/>
      <c r="FZ9" s="51"/>
      <c r="GA9" s="51"/>
      <c r="GB9" s="51"/>
      <c r="GC9" s="54"/>
      <c r="GD9" s="51"/>
      <c r="GE9" s="51"/>
      <c r="GF9" s="51"/>
      <c r="GG9" s="54"/>
      <c r="GH9" s="51"/>
      <c r="GI9" s="51"/>
      <c r="GJ9" s="51"/>
      <c r="GK9" s="54"/>
      <c r="GL9" s="51"/>
      <c r="GM9" s="51"/>
      <c r="GN9" s="51"/>
      <c r="GP9" s="51"/>
      <c r="GQ9" s="51"/>
      <c r="GR9" s="51"/>
      <c r="GS9" s="54"/>
      <c r="GT9" s="51"/>
      <c r="GU9" s="51"/>
      <c r="GV9" s="51"/>
      <c r="GW9" s="54"/>
      <c r="GX9" s="51"/>
      <c r="GY9" s="51"/>
      <c r="GZ9" s="51"/>
      <c r="HA9" s="54"/>
      <c r="HB9" s="51"/>
      <c r="HC9" s="51"/>
      <c r="HD9" s="51"/>
      <c r="HE9" s="54"/>
      <c r="HF9" s="51"/>
      <c r="HG9" s="51"/>
      <c r="HH9" s="51"/>
      <c r="HI9" s="54"/>
      <c r="HJ9" s="51"/>
      <c r="HK9" s="51"/>
      <c r="HL9" s="51"/>
      <c r="HM9" s="54"/>
      <c r="HN9" s="51"/>
      <c r="HO9" s="51"/>
      <c r="HP9" s="51"/>
      <c r="HQ9" s="54"/>
      <c r="HR9" s="51"/>
      <c r="HS9" s="51"/>
      <c r="HT9" s="51"/>
      <c r="HU9" s="54"/>
      <c r="HV9" s="51"/>
      <c r="HW9" s="51"/>
      <c r="HX9" s="51"/>
      <c r="HY9" s="54"/>
      <c r="HZ9" s="51"/>
      <c r="IA9" s="51"/>
      <c r="IB9" s="51"/>
      <c r="IC9" s="54"/>
      <c r="ID9" s="51"/>
      <c r="IE9" s="51"/>
      <c r="IF9" s="51"/>
      <c r="IG9" s="54"/>
      <c r="IH9" s="51"/>
      <c r="II9" s="51"/>
      <c r="IJ9" s="51"/>
      <c r="IL9" s="51"/>
      <c r="IM9" s="51"/>
      <c r="IN9" s="51"/>
      <c r="IO9" s="54"/>
      <c r="IP9" s="51"/>
      <c r="IQ9" s="51"/>
      <c r="IR9" s="51"/>
      <c r="IS9" s="54"/>
      <c r="IT9" s="51"/>
      <c r="IU9" s="51"/>
      <c r="IV9" s="51"/>
      <c r="IW9" s="54"/>
      <c r="IX9" s="51"/>
      <c r="IY9" s="51"/>
      <c r="IZ9" s="51"/>
      <c r="JA9" s="54"/>
      <c r="JB9" s="51"/>
      <c r="JC9" s="51"/>
      <c r="JD9" s="51"/>
      <c r="JE9" s="54"/>
      <c r="JF9" s="51"/>
      <c r="JG9" s="51"/>
      <c r="JH9" s="51"/>
      <c r="JI9" s="54"/>
      <c r="JJ9" s="51"/>
      <c r="JK9" s="51"/>
      <c r="JL9" s="51"/>
      <c r="JM9" s="54"/>
      <c r="JO9" s="80"/>
      <c r="JP9" s="80"/>
      <c r="JQ9" s="80"/>
      <c r="JS9" s="80"/>
      <c r="JT9" s="80"/>
      <c r="JU9" s="80"/>
      <c r="JW9" s="80"/>
      <c r="JX9" s="80"/>
      <c r="JY9" s="80"/>
      <c r="KA9" s="80"/>
      <c r="KB9" s="80"/>
      <c r="KC9" s="80"/>
      <c r="KE9" s="80"/>
      <c r="KF9" s="80"/>
      <c r="KG9" s="80"/>
      <c r="KI9" s="80"/>
      <c r="KJ9" s="80"/>
      <c r="KK9" s="80"/>
      <c r="KM9" s="80"/>
      <c r="KN9" s="80"/>
      <c r="KO9" s="80"/>
    </row>
    <row r="10" ht="21" customHeight="1" spans="2:301" x14ac:dyDescent="0.25">
      <c r="B10" s="5" t="str">
        <f>A.IIOPEX!C10</f>
        <v>1a</v>
      </c>
      <c r="C10" s="29"/>
      <c r="D10" s="29" t="str">
        <f>A.IIOPEX!E10</f>
        <v>App Development</v>
      </c>
      <c r="E10" s="30"/>
      <c r="F10" s="51">
        <v>1</v>
      </c>
      <c r="G10" s="51"/>
      <c r="H10" s="51">
        <f>A.IIOPEX!I10</f>
        <v>83333.33333333333</v>
      </c>
      <c r="I10" s="54"/>
      <c r="J10" s="51">
        <f>F10*J$8</f>
        <v>0.8</v>
      </c>
      <c r="K10" s="51">
        <f>G10*K$8</f>
        <v>0</v>
      </c>
      <c r="L10" s="51">
        <f>H10*L$8</f>
        <v>66666.66666666667</v>
      </c>
      <c r="M10" s="54"/>
      <c r="N10" s="51">
        <f>J10*N$8</f>
        <v>0.8</v>
      </c>
      <c r="O10" s="51">
        <f>K10*O$8</f>
        <v>0</v>
      </c>
      <c r="P10" s="51">
        <f>L10*P$8</f>
        <v>66666.66666666667</v>
      </c>
      <c r="Q10" s="54"/>
      <c r="R10" s="51">
        <f>N10*R$8</f>
        <v>0.8</v>
      </c>
      <c r="S10" s="51">
        <f>O10*S$8</f>
        <v>0</v>
      </c>
      <c r="T10" s="51">
        <f>P10*T$8</f>
        <v>66666.66666666667</v>
      </c>
      <c r="U10" s="54"/>
      <c r="V10" s="51">
        <f>R10*V$8</f>
        <v>0.8</v>
      </c>
      <c r="W10" s="51">
        <f>S10*W$8</f>
        <v>0</v>
      </c>
      <c r="X10" s="51">
        <f>T10*X$8</f>
        <v>66666.66666666667</v>
      </c>
      <c r="Y10" s="54"/>
      <c r="Z10" s="51">
        <f>V10*Z$8</f>
        <v>0.8</v>
      </c>
      <c r="AA10" s="51">
        <f>W10*AA$8</f>
        <v>0</v>
      </c>
      <c r="AB10" s="51">
        <f>X10*AB$8</f>
        <v>66666.66666666667</v>
      </c>
      <c r="AC10" s="54"/>
      <c r="AD10" s="51">
        <f>Z10*AD$8</f>
        <v>0.8</v>
      </c>
      <c r="AE10" s="51">
        <f>AA10*AE$8</f>
        <v>0</v>
      </c>
      <c r="AF10" s="51">
        <f>AB10*AF$8</f>
        <v>66666.66666666667</v>
      </c>
      <c r="AG10" s="54"/>
      <c r="AH10" s="51">
        <f>AD10*AH$8</f>
        <v>1.08</v>
      </c>
      <c r="AI10" s="51">
        <f>AE10*AI$8</f>
        <v>0</v>
      </c>
      <c r="AJ10" s="51">
        <f>AF10*AJ$8</f>
        <v>90000.00000000001</v>
      </c>
      <c r="AK10" s="54"/>
      <c r="AL10" s="51">
        <f>AH10*AL$8</f>
        <v>1.08</v>
      </c>
      <c r="AM10" s="51">
        <f>AI10*AM$8</f>
        <v>0</v>
      </c>
      <c r="AN10" s="51">
        <f>AJ10*AN$8</f>
        <v>90000.00000000001</v>
      </c>
      <c r="AO10" s="54"/>
      <c r="AP10" s="51">
        <f>AL10*AP$8</f>
        <v>1.08</v>
      </c>
      <c r="AQ10" s="51">
        <f>AM10*AQ$8</f>
        <v>0</v>
      </c>
      <c r="AR10" s="51">
        <f>AN10*AR$8</f>
        <v>90000.00000000001</v>
      </c>
      <c r="AS10" s="54"/>
      <c r="AT10" s="51">
        <f>AP10*AT$8</f>
        <v>1.08</v>
      </c>
      <c r="AU10" s="51">
        <f>AQ10*AU$8</f>
        <v>0</v>
      </c>
      <c r="AV10" s="51">
        <f>AR10*AV$8</f>
        <v>90000.00000000001</v>
      </c>
      <c r="AW10" s="54"/>
      <c r="AX10" s="51">
        <f>AT10*AX$8</f>
        <v>1.08</v>
      </c>
      <c r="AY10" s="51">
        <f>AU10*AY$8</f>
        <v>0</v>
      </c>
      <c r="AZ10" s="51">
        <f>AV10*AZ$8</f>
        <v>90000.00000000001</v>
      </c>
      <c r="BA10" s="54"/>
      <c r="BB10" s="51">
        <f>AX10*BB$8</f>
        <v>1.08</v>
      </c>
      <c r="BC10" s="51">
        <f>AY10*BC$8</f>
        <v>0</v>
      </c>
      <c r="BD10" s="51">
        <f>AZ10*BD$8</f>
        <v>90000.00000000001</v>
      </c>
      <c r="BE10" s="54"/>
      <c r="BF10" s="51">
        <f>BB10*BF$8</f>
        <v>1.08</v>
      </c>
      <c r="BG10" s="51">
        <f>BC10*BG$8</f>
        <v>0</v>
      </c>
      <c r="BH10" s="51">
        <f>BD10*BH$8</f>
        <v>90000.00000000001</v>
      </c>
      <c r="BI10" s="54"/>
      <c r="BJ10" s="51">
        <f>BF10*BJ$8</f>
        <v>1.08</v>
      </c>
      <c r="BK10" s="51">
        <f>BG10*BK$8</f>
        <v>0</v>
      </c>
      <c r="BL10" s="51">
        <f>BH10*BL$8</f>
        <v>90000.00000000001</v>
      </c>
      <c r="BM10" s="54"/>
      <c r="BN10" s="51">
        <f>BJ10*BN$8</f>
        <v>1.08</v>
      </c>
      <c r="BO10" s="51">
        <f>BK10*BO$8</f>
        <v>0</v>
      </c>
      <c r="BP10" s="51">
        <f>BL10*BP$8</f>
        <v>90000.00000000001</v>
      </c>
      <c r="BQ10" s="54"/>
      <c r="BR10" s="51">
        <f>BN10*BR$8</f>
        <v>1.08</v>
      </c>
      <c r="BS10" s="51">
        <f>BO10*BS$8</f>
        <v>0</v>
      </c>
      <c r="BT10" s="51">
        <f>BP10*BT$8</f>
        <v>90000.00000000001</v>
      </c>
      <c r="BU10" s="54"/>
      <c r="BV10" s="51">
        <f>BR10*BV$8</f>
        <v>1.08</v>
      </c>
      <c r="BW10" s="51">
        <f>BS10*BW$8</f>
        <v>0</v>
      </c>
      <c r="BX10" s="51">
        <f>BT10*BX$8</f>
        <v>90000.00000000001</v>
      </c>
      <c r="BY10" s="54"/>
      <c r="BZ10" s="51">
        <f>BV10*BZ$8</f>
        <v>1.08</v>
      </c>
      <c r="CA10" s="51">
        <f>BW10*CA$8</f>
        <v>0</v>
      </c>
      <c r="CB10" s="51">
        <f>BX10*CB$8</f>
        <v>90000.00000000001</v>
      </c>
      <c r="CC10" s="54"/>
      <c r="CD10" s="51">
        <f>BZ10*CD$8</f>
        <v>3.7800000000000002</v>
      </c>
      <c r="CE10" s="51">
        <f>CA10*CE$8</f>
        <v>0</v>
      </c>
      <c r="CF10" s="51">
        <f>CB10*CF$8</f>
        <v>315000.00000000006</v>
      </c>
      <c r="CG10" s="54"/>
      <c r="CH10" s="51">
        <f>CD10*CH$8</f>
        <v>3.7800000000000002</v>
      </c>
      <c r="CI10" s="51">
        <f>CE10*CI$8</f>
        <v>0</v>
      </c>
      <c r="CJ10" s="51">
        <f>CF10*CJ$8</f>
        <v>315000.00000000006</v>
      </c>
      <c r="CK10" s="54"/>
      <c r="CL10" s="51">
        <f>CH10*CL$8</f>
        <v>3.7800000000000002</v>
      </c>
      <c r="CM10" s="51">
        <f>CI10*CM$8</f>
        <v>0</v>
      </c>
      <c r="CN10" s="51">
        <f>CJ10*CN$8</f>
        <v>315000.00000000006</v>
      </c>
      <c r="CO10" s="54"/>
      <c r="CP10" s="51">
        <f>CL10*CP$8</f>
        <v>3.7800000000000002</v>
      </c>
      <c r="CQ10" s="51">
        <f>CM10*CQ$8</f>
        <v>0</v>
      </c>
      <c r="CR10" s="51">
        <f>CN10*CR$8</f>
        <v>315000.00000000006</v>
      </c>
      <c r="CS10" s="54"/>
      <c r="CT10" s="51">
        <f>CP10*CT$8</f>
        <v>3.7800000000000002</v>
      </c>
      <c r="CU10" s="51">
        <f>CQ10*CU$8</f>
        <v>0</v>
      </c>
      <c r="CV10" s="51">
        <f>CR10*CV$8</f>
        <v>315000.00000000006</v>
      </c>
      <c r="CW10" s="54"/>
      <c r="CX10" s="51">
        <f>CT10*CX$8</f>
        <v>3.7800000000000002</v>
      </c>
      <c r="CY10" s="51">
        <f>CU10*CY$8</f>
        <v>0</v>
      </c>
      <c r="CZ10" s="51">
        <f>CV10*CZ$8</f>
        <v>315000.00000000006</v>
      </c>
      <c r="DA10" s="54"/>
      <c r="DB10" s="51">
        <f>CX10*DB$8</f>
        <v>3.7800000000000002</v>
      </c>
      <c r="DC10" s="51">
        <f>CY10*DC$8</f>
        <v>0</v>
      </c>
      <c r="DD10" s="51">
        <f>CZ10*DD$8</f>
        <v>315000.00000000006</v>
      </c>
      <c r="DE10" s="54"/>
      <c r="DF10" s="51">
        <f>DB10*DF$8</f>
        <v>3.7800000000000002</v>
      </c>
      <c r="DG10" s="51">
        <f>DC10*DG$8</f>
        <v>0</v>
      </c>
      <c r="DH10" s="51">
        <f>DD10*DH$8</f>
        <v>315000.00000000006</v>
      </c>
      <c r="DI10" s="54"/>
      <c r="DJ10" s="51">
        <f>DF10*DJ$8</f>
        <v>3.7800000000000002</v>
      </c>
      <c r="DK10" s="51">
        <f>DG10*DK$8</f>
        <v>0</v>
      </c>
      <c r="DL10" s="51">
        <f>DH10*DL$8</f>
        <v>315000.00000000006</v>
      </c>
      <c r="DM10" s="54"/>
      <c r="DN10" s="51">
        <f>DJ10*DN$8</f>
        <v>3.7800000000000002</v>
      </c>
      <c r="DO10" s="51">
        <f>DK10*DO$8</f>
        <v>0</v>
      </c>
      <c r="DP10" s="51">
        <f>DL10*DP$8</f>
        <v>315000.00000000006</v>
      </c>
      <c r="DQ10" s="54"/>
      <c r="DR10" s="51">
        <f>DN10*DR$8</f>
        <v>3.7800000000000002</v>
      </c>
      <c r="DS10" s="51">
        <f>DO10*DS$8</f>
        <v>0</v>
      </c>
      <c r="DT10" s="51">
        <f>DP10*DT$8</f>
        <v>315000.00000000006</v>
      </c>
      <c r="DU10" s="54"/>
      <c r="DV10" s="51">
        <f>DR10*DV$8</f>
        <v>3.7800000000000002</v>
      </c>
      <c r="DW10" s="51">
        <f>DS10*DW$8</f>
        <v>0</v>
      </c>
      <c r="DX10" s="51">
        <f>DT10*DX$8</f>
        <v>315000.00000000006</v>
      </c>
      <c r="DY10" s="54"/>
      <c r="DZ10" s="51">
        <f>DV10*DZ$8</f>
        <v>18.144000000000002</v>
      </c>
      <c r="EA10" s="51">
        <f>DW10*EA$8</f>
        <v>0</v>
      </c>
      <c r="EB10" s="51">
        <f>DX10*EB$8</f>
        <v>1512000.0000000002</v>
      </c>
      <c r="EC10" s="54"/>
      <c r="ED10" s="51">
        <f>DZ10*ED$8</f>
        <v>18.144000000000002</v>
      </c>
      <c r="EE10" s="51">
        <f>EA10*EE$8</f>
        <v>0</v>
      </c>
      <c r="EF10" s="51">
        <f>EB10*EF$8</f>
        <v>1512000.0000000002</v>
      </c>
      <c r="EG10" s="54"/>
      <c r="EH10" s="51">
        <f>ED10*EH$8</f>
        <v>18.144000000000002</v>
      </c>
      <c r="EI10" s="51">
        <f>EE10*EI$8</f>
        <v>0</v>
      </c>
      <c r="EJ10" s="51">
        <f>EF10*EJ$8</f>
        <v>1512000.0000000002</v>
      </c>
      <c r="EK10" s="54"/>
      <c r="EL10" s="51">
        <f>EH10*EL$8</f>
        <v>18.144000000000002</v>
      </c>
      <c r="EM10" s="51">
        <f>EI10*EM$8</f>
        <v>0</v>
      </c>
      <c r="EN10" s="51">
        <f>EJ10*EN$8</f>
        <v>1512000.0000000002</v>
      </c>
      <c r="EO10" s="54"/>
      <c r="EP10" s="51">
        <f>EL10*EP$8</f>
        <v>18.144000000000002</v>
      </c>
      <c r="EQ10" s="51">
        <f>EM10*EQ$8</f>
        <v>0</v>
      </c>
      <c r="ER10" s="51">
        <f>EN10*ER$8</f>
        <v>1512000.0000000002</v>
      </c>
      <c r="ES10" s="54"/>
      <c r="ET10" s="51">
        <f>EP10*ET$8</f>
        <v>18.144000000000002</v>
      </c>
      <c r="EU10" s="51">
        <f>EQ10*EU$8</f>
        <v>0</v>
      </c>
      <c r="EV10" s="51">
        <f>ER10*EV$8</f>
        <v>1512000.0000000002</v>
      </c>
      <c r="EW10" s="54"/>
      <c r="EX10" s="51">
        <f>ET10*EX$8</f>
        <v>18.144000000000002</v>
      </c>
      <c r="EY10" s="51">
        <f>EU10*EY$8</f>
        <v>0</v>
      </c>
      <c r="EZ10" s="51">
        <f>EV10*EZ$8</f>
        <v>1512000.0000000002</v>
      </c>
      <c r="FA10" s="54"/>
      <c r="FB10" s="51">
        <f>EX10*FB$8</f>
        <v>18.144000000000002</v>
      </c>
      <c r="FC10" s="51">
        <f>EY10*FC$8</f>
        <v>0</v>
      </c>
      <c r="FD10" s="51">
        <f>EZ10*FD$8</f>
        <v>1512000.0000000002</v>
      </c>
      <c r="FE10" s="54"/>
      <c r="FF10" s="51">
        <f>FB10*FF$8</f>
        <v>18.144000000000002</v>
      </c>
      <c r="FG10" s="51">
        <f>FC10*FG$8</f>
        <v>0</v>
      </c>
      <c r="FH10" s="51">
        <f>FD10*FH$8</f>
        <v>1512000.0000000002</v>
      </c>
      <c r="FI10" s="54"/>
      <c r="FJ10" s="51">
        <f>FF10*FJ$8</f>
        <v>25.401600000000002</v>
      </c>
      <c r="FK10" s="51">
        <f>FG10*FK$8</f>
        <v>0</v>
      </c>
      <c r="FL10" s="51">
        <f>FH10*FL$8</f>
        <v>1512000.0000000002</v>
      </c>
      <c r="FM10" s="54"/>
      <c r="FN10" s="51">
        <f>FJ10*FN$8</f>
        <v>25.401600000000002</v>
      </c>
      <c r="FO10" s="51">
        <f>FK10*FO$8</f>
        <v>0</v>
      </c>
      <c r="FP10" s="51">
        <f>FL10*FP$8</f>
        <v>1512000.0000000002</v>
      </c>
      <c r="FQ10" s="54"/>
      <c r="FR10" s="51">
        <f>FN10*FR$8</f>
        <v>25.401600000000002</v>
      </c>
      <c r="FS10" s="51">
        <f>FO10*FS$8</f>
        <v>0</v>
      </c>
      <c r="FT10" s="51">
        <f>FP10*FT$8</f>
        <v>1512000.0000000002</v>
      </c>
      <c r="FU10" s="54"/>
      <c r="FV10" s="51">
        <f>FR10*FV$8</f>
        <v>25.401600000000002</v>
      </c>
      <c r="FW10" s="51">
        <f>FS10*FW$8</f>
        <v>0</v>
      </c>
      <c r="FX10" s="51">
        <f>FT10*FX$8</f>
        <v>2116800</v>
      </c>
      <c r="FY10" s="54"/>
      <c r="FZ10" s="51">
        <f>FV10*FZ$8</f>
        <v>25.401600000000002</v>
      </c>
      <c r="GA10" s="51">
        <f>FW10*GA$8</f>
        <v>0</v>
      </c>
      <c r="GB10" s="51">
        <f>FX10*GB$8</f>
        <v>2116800</v>
      </c>
      <c r="GC10" s="54"/>
      <c r="GD10" s="51">
        <f>FZ10*GD$8</f>
        <v>25.401600000000002</v>
      </c>
      <c r="GE10" s="51">
        <f>GA10*GE$8</f>
        <v>0</v>
      </c>
      <c r="GF10" s="51">
        <f>GB10*GF$8</f>
        <v>2116800</v>
      </c>
      <c r="GG10" s="54"/>
      <c r="GH10" s="51">
        <f>GD10*GH$8</f>
        <v>25.401600000000002</v>
      </c>
      <c r="GI10" s="51">
        <f>GE10*GI$8</f>
        <v>0</v>
      </c>
      <c r="GJ10" s="51">
        <f>GF10*GJ$8</f>
        <v>2116800</v>
      </c>
      <c r="GK10" s="54"/>
      <c r="GL10" s="51">
        <f>GH10*GL$8</f>
        <v>25.401600000000002</v>
      </c>
      <c r="GM10" s="51">
        <f>GI10*GM$8</f>
        <v>0</v>
      </c>
      <c r="GN10" s="51">
        <f>GJ10*GN$8</f>
        <v>2116800</v>
      </c>
      <c r="GO10" s="54"/>
      <c r="GP10" s="51">
        <f>GL10*GP$8</f>
        <v>25.401600000000002</v>
      </c>
      <c r="GQ10" s="51">
        <f>GM10*GQ$8</f>
        <v>0</v>
      </c>
      <c r="GR10" s="51">
        <f>GN10*GR$8</f>
        <v>2116800</v>
      </c>
      <c r="GS10" s="54"/>
      <c r="GT10" s="51">
        <f>GP10*GT$8</f>
        <v>25.401600000000002</v>
      </c>
      <c r="GU10" s="51">
        <f>GQ10*GU$8</f>
        <v>0</v>
      </c>
      <c r="GV10" s="51">
        <f>GR10*GV$8</f>
        <v>2116800</v>
      </c>
      <c r="GW10" s="54"/>
      <c r="GX10" s="51">
        <f>GT10*GX$8</f>
        <v>25.401600000000002</v>
      </c>
      <c r="GY10" s="51">
        <f>GU10*GY$8</f>
        <v>0</v>
      </c>
      <c r="GZ10" s="51">
        <f>GV10*GZ$8</f>
        <v>2116800</v>
      </c>
      <c r="HA10" s="54"/>
      <c r="HB10" s="51">
        <f>GX10*HB$8</f>
        <v>25.401600000000002</v>
      </c>
      <c r="HC10" s="51">
        <f>GY10*HC$8</f>
        <v>0</v>
      </c>
      <c r="HD10" s="51">
        <f>GZ10*HD$8</f>
        <v>2116800</v>
      </c>
      <c r="HE10" s="54"/>
      <c r="HF10" s="51">
        <f>HB10*HF$8</f>
        <v>34.29216</v>
      </c>
      <c r="HG10" s="51">
        <f>HC10*HG$8</f>
        <v>0</v>
      </c>
      <c r="HH10" s="51">
        <f>HD10*HH$8</f>
        <v>2116800</v>
      </c>
      <c r="HI10" s="54"/>
      <c r="HJ10" s="51">
        <f>HF10*HJ$8</f>
        <v>34.29216</v>
      </c>
      <c r="HK10" s="51">
        <f>HG10*HK$8</f>
        <v>0</v>
      </c>
      <c r="HL10" s="51">
        <f>HH10*HL$8</f>
        <v>2116800</v>
      </c>
      <c r="HM10" s="54"/>
      <c r="HN10" s="51">
        <f>HJ10*HN$8</f>
        <v>34.29216</v>
      </c>
      <c r="HO10" s="51">
        <f>HK10*HO$8</f>
        <v>0</v>
      </c>
      <c r="HP10" s="51">
        <f>HL10*HP$8</f>
        <v>2116800</v>
      </c>
      <c r="HQ10" s="54"/>
      <c r="HR10" s="51">
        <f>HN10*HR$8</f>
        <v>34.29216</v>
      </c>
      <c r="HS10" s="51">
        <f>HO10*HS$8</f>
        <v>0</v>
      </c>
      <c r="HT10" s="51">
        <f>HP10*HT$8</f>
        <v>2857680</v>
      </c>
      <c r="HU10" s="54"/>
      <c r="HV10" s="51">
        <f>HR10*HV$8</f>
        <v>34.29216</v>
      </c>
      <c r="HW10" s="51">
        <f>HS10*HW$8</f>
        <v>0</v>
      </c>
      <c r="HX10" s="51">
        <f>HT10*HX$8</f>
        <v>2857680</v>
      </c>
      <c r="HY10" s="54"/>
      <c r="HZ10" s="51">
        <f>HV10*HZ$8</f>
        <v>34.29216</v>
      </c>
      <c r="IA10" s="51">
        <f>HW10*IA$8</f>
        <v>0</v>
      </c>
      <c r="IB10" s="51">
        <f>HX10*IB$8</f>
        <v>2857680</v>
      </c>
      <c r="IC10" s="54"/>
      <c r="ID10" s="51">
        <f>HZ10*ID$8</f>
        <v>34.29216</v>
      </c>
      <c r="IE10" s="51">
        <f>IA10*IE$8</f>
        <v>0</v>
      </c>
      <c r="IF10" s="51">
        <f>IB10*IF$8</f>
        <v>2857680</v>
      </c>
      <c r="IG10" s="54"/>
      <c r="IH10" s="51">
        <f>ID10*IH$8</f>
        <v>34.29216</v>
      </c>
      <c r="II10" s="51">
        <f>IE10*II$8</f>
        <v>0</v>
      </c>
      <c r="IJ10" s="51">
        <f>IF10*IJ$8</f>
        <v>2857680</v>
      </c>
      <c r="IK10" s="54"/>
      <c r="IL10" s="51">
        <f>IH10*IL$8</f>
        <v>34.29216</v>
      </c>
      <c r="IM10" s="51">
        <f>II10*IM$8</f>
        <v>0</v>
      </c>
      <c r="IN10" s="51">
        <f>IJ10*IN$8</f>
        <v>2857680</v>
      </c>
      <c r="IO10" s="54"/>
      <c r="IP10" s="51">
        <f>IL10*IP$8</f>
        <v>34.29216</v>
      </c>
      <c r="IQ10" s="51">
        <f>IM10*IQ$8</f>
        <v>0</v>
      </c>
      <c r="IR10" s="51">
        <f>IN10*IR$8</f>
        <v>2857680</v>
      </c>
      <c r="IS10" s="54"/>
      <c r="IT10" s="51">
        <f>IP10*IT$8</f>
        <v>34.29216</v>
      </c>
      <c r="IU10" s="51">
        <f>IQ10*IU$8</f>
        <v>0</v>
      </c>
      <c r="IV10" s="51">
        <f>IR10*IV$8</f>
        <v>2857680</v>
      </c>
      <c r="IW10" s="54"/>
      <c r="IX10" s="51">
        <f>IT10*IX$8</f>
        <v>34.29216</v>
      </c>
      <c r="IY10" s="51">
        <f>IU10*IY$8</f>
        <v>0</v>
      </c>
      <c r="IZ10" s="51">
        <f>IV10*IZ$8</f>
        <v>2857680</v>
      </c>
      <c r="JA10" s="54"/>
      <c r="JB10" s="51" t="e">
        <f>IX10*JB$8</f>
        <v>#REF!</v>
      </c>
      <c r="JC10" s="51">
        <f>IY10*JC$8</f>
        <v>0</v>
      </c>
      <c r="JD10" s="51">
        <f>IZ10*JD$8</f>
        <v>2857680</v>
      </c>
      <c r="JE10" s="54"/>
      <c r="JF10" s="51" t="e">
        <f>JB10*JF$8</f>
        <v>#REF!</v>
      </c>
      <c r="JG10" s="51">
        <f>JC10*JG$8</f>
        <v>0</v>
      </c>
      <c r="JH10" s="51">
        <f>JD10*JH$8</f>
        <v>2857680</v>
      </c>
      <c r="JI10" s="54"/>
      <c r="JJ10" s="51" t="e">
        <f>JF10*JJ$8</f>
        <v>#REF!</v>
      </c>
      <c r="JK10" s="51">
        <f>JG10*JK$8</f>
        <v>0</v>
      </c>
      <c r="JL10" s="51">
        <f>JH10*JL$8</f>
        <v>2857680</v>
      </c>
      <c r="JM10" s="54"/>
      <c r="JO10" s="80"/>
      <c r="JP10" s="80"/>
      <c r="JQ10" s="80">
        <f t="shared" ref="JQ10:JQ17" si="0">SUMIFS($F10:$JM10,$F$3:$JM$3,JO$5,$F$6:$JM$6,JQ$6)</f>
        <v>663333.3333333335</v>
      </c>
      <c r="JS10" s="80"/>
      <c r="JT10" s="80"/>
      <c r="JU10" s="80">
        <f t="shared" ref="JU10:JU17" si="1">SUMIFS($F10:$JM10,$F$3:$JM$3,JS$5,$F$6:$JM$6,JU$6)</f>
        <v>900000.0000000001</v>
      </c>
      <c r="JW10" s="80"/>
      <c r="JX10" s="80"/>
      <c r="JY10" s="80">
        <f t="shared" ref="JY10:JY17" si="2">SUMIFS($F10:$JM10,$F$3:$JM$3,JW$5,$F$6:$JM$6,JY$6)</f>
        <v>3780000.0000000005</v>
      </c>
      <c r="KA10" s="80"/>
      <c r="KB10" s="80"/>
      <c r="KC10" s="80">
        <f t="shared" ref="KC10:KC17" si="3">SUMIFS($F10:$JM10,$F$3:$JM$3,KA$5,$F$6:$JM$6,KC$6)</f>
        <v>18144000.000000004</v>
      </c>
      <c r="KE10" s="80"/>
      <c r="KF10" s="80"/>
      <c r="KG10" s="80">
        <f t="shared" ref="KG10:KG17" si="4">SUMIFS($F10:$JM10,$F$3:$JM$3,KE$5,$F$6:$JM$6,KG$6)</f>
        <v>25401600</v>
      </c>
      <c r="KI10" s="80"/>
      <c r="KJ10" s="80"/>
      <c r="KK10" s="80">
        <f t="shared" ref="KK10:KK17" si="5">SUMIFS($F10:$JM10,$F$3:$JM$3,KI$5,$F$6:$JM$6,KK$6)</f>
        <v>34292160</v>
      </c>
      <c r="KM10" s="80"/>
      <c r="KN10" s="80"/>
      <c r="KO10" s="80">
        <f t="shared" ref="KO10:KO17" si="6">SUMIFS($F10:$JM10,$F$3:$JM$3,KM$5,$F$6:$JM$6,KO$6)</f>
        <v>34292160</v>
      </c>
    </row>
    <row r="11" ht="18.75" customHeight="1" spans="2:301" x14ac:dyDescent="0.25">
      <c r="B11" s="5" t="str">
        <f>A.IIOPEX!C11</f>
        <v>1b</v>
      </c>
      <c r="C11" s="29"/>
      <c r="D11" s="29" t="str">
        <f>A.IIOPEX!E11</f>
        <v>App maintenance</v>
      </c>
      <c r="E11" s="30"/>
      <c r="F11" s="51">
        <v>1</v>
      </c>
      <c r="G11" s="51"/>
      <c r="H11" s="51">
        <f>A.IIOPEX!I11</f>
        <v>250000</v>
      </c>
      <c r="I11" s="54"/>
      <c r="J11" s="51">
        <f t="shared" ref="J11:K16" si="7">F11*J$8</f>
        <v>0.8</v>
      </c>
      <c r="K11" s="51">
        <f t="shared" si="7"/>
        <v>0</v>
      </c>
      <c r="L11" s="51">
        <f t="shared" ref="L11:L16" si="8">H11*L$8</f>
        <v>200000</v>
      </c>
      <c r="M11" s="54"/>
      <c r="N11" s="51">
        <f t="shared" ref="N11:O16" si="9">J11*N$8</f>
        <v>0.8</v>
      </c>
      <c r="O11" s="51">
        <f t="shared" si="9"/>
        <v>0</v>
      </c>
      <c r="P11" s="51">
        <f t="shared" ref="P11:P16" si="10">L11*P$8</f>
        <v>200000</v>
      </c>
      <c r="Q11" s="54"/>
      <c r="R11" s="51">
        <f t="shared" ref="R11:S16" si="11">N11*R$8</f>
        <v>0.8</v>
      </c>
      <c r="S11" s="51">
        <f t="shared" si="11"/>
        <v>0</v>
      </c>
      <c r="T11" s="51">
        <f t="shared" ref="T11:T16" si="12">P11*T$8</f>
        <v>200000</v>
      </c>
      <c r="U11" s="54"/>
      <c r="V11" s="51">
        <f t="shared" ref="V11:W16" si="13">R11*V$8</f>
        <v>0.8</v>
      </c>
      <c r="W11" s="51">
        <f t="shared" si="13"/>
        <v>0</v>
      </c>
      <c r="X11" s="51">
        <f t="shared" ref="X11:X16" si="14">T11*X$8</f>
        <v>200000</v>
      </c>
      <c r="Y11" s="54"/>
      <c r="Z11" s="51">
        <f t="shared" ref="Z11:AA16" si="15">V11*Z$8</f>
        <v>0.8</v>
      </c>
      <c r="AA11" s="51">
        <f t="shared" si="15"/>
        <v>0</v>
      </c>
      <c r="AB11" s="51">
        <f t="shared" ref="AB11:AB16" si="16">X11*AB$8</f>
        <v>200000</v>
      </c>
      <c r="AC11" s="54"/>
      <c r="AD11" s="51">
        <f t="shared" ref="AD11:AD16" si="17">Z11*AD$8</f>
        <v>0.8</v>
      </c>
      <c r="AE11" s="51">
        <f t="shared" ref="AE11:AF16" si="18">AA11*AE$8</f>
        <v>0</v>
      </c>
      <c r="AF11" s="51">
        <f t="shared" si="18"/>
        <v>200000</v>
      </c>
      <c r="AG11" s="54"/>
      <c r="AH11" s="51">
        <f t="shared" ref="AH11:AH16" si="19">AD11*AH$8</f>
        <v>1.08</v>
      </c>
      <c r="AI11" s="51">
        <f t="shared" ref="AI11:AJ16" si="20">AE11*AI$8</f>
        <v>0</v>
      </c>
      <c r="AJ11" s="51">
        <f t="shared" si="20"/>
        <v>270000</v>
      </c>
      <c r="AK11" s="54"/>
      <c r="AL11" s="51">
        <f t="shared" ref="AL11:AL16" si="21">AH11*AL$8</f>
        <v>1.08</v>
      </c>
      <c r="AM11" s="51">
        <f t="shared" ref="AM11:AN16" si="22">AI11*AM$8</f>
        <v>0</v>
      </c>
      <c r="AN11" s="51">
        <f t="shared" si="22"/>
        <v>270000</v>
      </c>
      <c r="AO11" s="54"/>
      <c r="AP11" s="51">
        <f t="shared" ref="AP11:AP16" si="23">AL11*AP$8</f>
        <v>1.08</v>
      </c>
      <c r="AQ11" s="51">
        <f t="shared" ref="AQ11:AR16" si="24">AM11*AQ$8</f>
        <v>0</v>
      </c>
      <c r="AR11" s="51">
        <f t="shared" si="24"/>
        <v>270000</v>
      </c>
      <c r="AS11" s="54"/>
      <c r="AT11" s="51">
        <f t="shared" ref="AT11:AT16" si="25">AP11*AT$8</f>
        <v>1.08</v>
      </c>
      <c r="AU11" s="51">
        <f t="shared" ref="AU11:AV16" si="26">AQ11*AU$8</f>
        <v>0</v>
      </c>
      <c r="AV11" s="51">
        <f t="shared" si="26"/>
        <v>270000</v>
      </c>
      <c r="AW11" s="54"/>
      <c r="AX11" s="51">
        <f t="shared" ref="AX11:AX16" si="27">AT11*AX$8</f>
        <v>1.08</v>
      </c>
      <c r="AY11" s="51">
        <f t="shared" ref="AY11:AZ16" si="28">AU11*AY$8</f>
        <v>0</v>
      </c>
      <c r="AZ11" s="51">
        <f t="shared" si="28"/>
        <v>270000</v>
      </c>
      <c r="BA11" s="54"/>
      <c r="BB11" s="51">
        <f t="shared" ref="BB11:BB16" si="29">AX11*BB$8</f>
        <v>1.08</v>
      </c>
      <c r="BC11" s="51">
        <f t="shared" ref="BC11:BD16" si="30">AY11*BC$8</f>
        <v>0</v>
      </c>
      <c r="BD11" s="51">
        <f t="shared" si="30"/>
        <v>270000</v>
      </c>
      <c r="BE11" s="54"/>
      <c r="BF11" s="51">
        <f t="shared" ref="BF11:BF16" si="31">BB11*BF$8</f>
        <v>1.08</v>
      </c>
      <c r="BG11" s="51">
        <f t="shared" ref="BG11:BH16" si="32">BC11*BG$8</f>
        <v>0</v>
      </c>
      <c r="BH11" s="51">
        <f t="shared" si="32"/>
        <v>270000</v>
      </c>
      <c r="BI11" s="54"/>
      <c r="BJ11" s="51">
        <f t="shared" ref="BJ11:BJ16" si="33">BF11*BJ$8</f>
        <v>1.08</v>
      </c>
      <c r="BK11" s="51">
        <f t="shared" ref="BK11:BL16" si="34">BG11*BK$8</f>
        <v>0</v>
      </c>
      <c r="BL11" s="51">
        <f t="shared" si="34"/>
        <v>270000</v>
      </c>
      <c r="BM11" s="54"/>
      <c r="BN11" s="51">
        <f t="shared" ref="BN11:BN16" si="35">BJ11*BN$8</f>
        <v>1.08</v>
      </c>
      <c r="BO11" s="51">
        <f t="shared" ref="BO11:BP16" si="36">BK11*BO$8</f>
        <v>0</v>
      </c>
      <c r="BP11" s="51">
        <f t="shared" si="36"/>
        <v>270000</v>
      </c>
      <c r="BQ11" s="54"/>
      <c r="BR11" s="51">
        <f t="shared" ref="BR11:BR16" si="37">BN11*BR$8</f>
        <v>1.08</v>
      </c>
      <c r="BS11" s="51">
        <f t="shared" ref="BS11:BT16" si="38">BO11*BS$8</f>
        <v>0</v>
      </c>
      <c r="BT11" s="51">
        <f t="shared" si="38"/>
        <v>270000</v>
      </c>
      <c r="BU11" s="54"/>
      <c r="BV11" s="51">
        <f t="shared" ref="BV11:BV16" si="39">BR11*BV$8</f>
        <v>1.08</v>
      </c>
      <c r="BW11" s="51">
        <f t="shared" ref="BW11:BX16" si="40">BS11*BW$8</f>
        <v>0</v>
      </c>
      <c r="BX11" s="51">
        <f t="shared" si="40"/>
        <v>270000</v>
      </c>
      <c r="BY11" s="54"/>
      <c r="BZ11" s="51">
        <f t="shared" ref="BZ11:BZ16" si="41">BV11*BZ$8</f>
        <v>1.08</v>
      </c>
      <c r="CA11" s="51">
        <f t="shared" ref="CA11:CB16" si="42">BW11*CA$8</f>
        <v>0</v>
      </c>
      <c r="CB11" s="51">
        <f t="shared" si="42"/>
        <v>270000</v>
      </c>
      <c r="CC11" s="54"/>
      <c r="CD11" s="51">
        <f t="shared" ref="CD11:CD16" si="43">BZ11*CD$8</f>
        <v>3.7800000000000002</v>
      </c>
      <c r="CE11" s="51">
        <f t="shared" ref="CE11:CF16" si="44">CA11*CE$8</f>
        <v>0</v>
      </c>
      <c r="CF11" s="51">
        <f t="shared" si="44"/>
        <v>945000</v>
      </c>
      <c r="CG11" s="54"/>
      <c r="CH11" s="51">
        <f t="shared" ref="CH11:CH16" si="45">CD11*CH$8</f>
        <v>3.7800000000000002</v>
      </c>
      <c r="CI11" s="51">
        <f t="shared" ref="CI11:CJ16" si="46">CE11*CI$8</f>
        <v>0</v>
      </c>
      <c r="CJ11" s="51">
        <f t="shared" si="46"/>
        <v>945000</v>
      </c>
      <c r="CK11" s="54"/>
      <c r="CL11" s="51">
        <f t="shared" ref="CL11:CL16" si="47">CH11*CL$8</f>
        <v>3.7800000000000002</v>
      </c>
      <c r="CM11" s="51">
        <f t="shared" ref="CM11:CN16" si="48">CI11*CM$8</f>
        <v>0</v>
      </c>
      <c r="CN11" s="51">
        <f t="shared" si="48"/>
        <v>945000</v>
      </c>
      <c r="CO11" s="54"/>
      <c r="CP11" s="51">
        <f t="shared" ref="CP11:CP16" si="49">CL11*CP$8</f>
        <v>3.7800000000000002</v>
      </c>
      <c r="CQ11" s="51">
        <f t="shared" ref="CQ11:CR16" si="50">CM11*CQ$8</f>
        <v>0</v>
      </c>
      <c r="CR11" s="51">
        <f t="shared" si="50"/>
        <v>945000</v>
      </c>
      <c r="CS11" s="54"/>
      <c r="CT11" s="51">
        <f t="shared" ref="CT11:CT16" si="51">CP11*CT$8</f>
        <v>3.7800000000000002</v>
      </c>
      <c r="CU11" s="51">
        <f t="shared" ref="CU11:CV16" si="52">CQ11*CU$8</f>
        <v>0</v>
      </c>
      <c r="CV11" s="51">
        <f t="shared" si="52"/>
        <v>945000</v>
      </c>
      <c r="CW11" s="54"/>
      <c r="CX11" s="51">
        <f t="shared" ref="CX11:CX16" si="53">CT11*CX$8</f>
        <v>3.7800000000000002</v>
      </c>
      <c r="CY11" s="51">
        <f t="shared" ref="CY11:CZ16" si="54">CU11*CY$8</f>
        <v>0</v>
      </c>
      <c r="CZ11" s="51">
        <f t="shared" si="54"/>
        <v>945000</v>
      </c>
      <c r="DA11" s="54"/>
      <c r="DB11" s="51">
        <f t="shared" ref="DB11:DB16" si="55">CX11*DB$8</f>
        <v>3.7800000000000002</v>
      </c>
      <c r="DC11" s="51">
        <f t="shared" ref="DC11:DD16" si="56">CY11*DC$8</f>
        <v>0</v>
      </c>
      <c r="DD11" s="51">
        <f t="shared" si="56"/>
        <v>945000</v>
      </c>
      <c r="DE11" s="54"/>
      <c r="DF11" s="51">
        <f t="shared" ref="DF11:DF16" si="57">DB11*DF$8</f>
        <v>3.7800000000000002</v>
      </c>
      <c r="DG11" s="51">
        <f t="shared" ref="DG11:DH16" si="58">DC11*DG$8</f>
        <v>0</v>
      </c>
      <c r="DH11" s="51">
        <f t="shared" si="58"/>
        <v>945000</v>
      </c>
      <c r="DI11" s="54"/>
      <c r="DJ11" s="51">
        <f t="shared" ref="DJ11:DJ16" si="59">DF11*DJ$8</f>
        <v>3.7800000000000002</v>
      </c>
      <c r="DK11" s="51">
        <f t="shared" ref="DK11:DL16" si="60">DG11*DK$8</f>
        <v>0</v>
      </c>
      <c r="DL11" s="51">
        <f t="shared" si="60"/>
        <v>945000</v>
      </c>
      <c r="DM11" s="54"/>
      <c r="DN11" s="51">
        <f t="shared" ref="DN11:DN16" si="61">DJ11*DN$8</f>
        <v>3.7800000000000002</v>
      </c>
      <c r="DO11" s="51">
        <f t="shared" ref="DO11:DP16" si="62">DK11*DO$8</f>
        <v>0</v>
      </c>
      <c r="DP11" s="51">
        <f t="shared" si="62"/>
        <v>945000</v>
      </c>
      <c r="DQ11" s="54"/>
      <c r="DR11" s="51">
        <f t="shared" ref="DR11:DR16" si="63">DN11*DR$8</f>
        <v>3.7800000000000002</v>
      </c>
      <c r="DS11" s="51">
        <f t="shared" ref="DS11:DT16" si="64">DO11*DS$8</f>
        <v>0</v>
      </c>
      <c r="DT11" s="51">
        <f t="shared" si="64"/>
        <v>945000</v>
      </c>
      <c r="DU11" s="54"/>
      <c r="DV11" s="51">
        <f t="shared" ref="DV11:DV16" si="65">DR11*DV$8</f>
        <v>3.7800000000000002</v>
      </c>
      <c r="DW11" s="51">
        <f t="shared" ref="DW11:DX16" si="66">DS11*DW$8</f>
        <v>0</v>
      </c>
      <c r="DX11" s="51">
        <f t="shared" si="66"/>
        <v>945000</v>
      </c>
      <c r="DY11" s="54"/>
      <c r="DZ11" s="51">
        <f t="shared" ref="DZ11:DZ16" si="67">DV11*DZ$8</f>
        <v>18.144000000000002</v>
      </c>
      <c r="EA11" s="51">
        <f t="shared" ref="EA11:EB16" si="68">DW11*EA$8</f>
        <v>0</v>
      </c>
      <c r="EB11" s="51">
        <f t="shared" si="68"/>
        <v>4536000</v>
      </c>
      <c r="EC11" s="54"/>
      <c r="ED11" s="51">
        <f t="shared" ref="ED11:ED16" si="69">DZ11*ED$8</f>
        <v>18.144000000000002</v>
      </c>
      <c r="EE11" s="51">
        <f t="shared" ref="EE11:EF16" si="70">EA11*EE$8</f>
        <v>0</v>
      </c>
      <c r="EF11" s="51">
        <f t="shared" si="70"/>
        <v>4536000</v>
      </c>
      <c r="EG11" s="54"/>
      <c r="EH11" s="51">
        <f t="shared" ref="EH11:EH16" si="71">ED11*EH$8</f>
        <v>18.144000000000002</v>
      </c>
      <c r="EI11" s="51">
        <f t="shared" ref="EI11:EJ16" si="72">EE11*EI$8</f>
        <v>0</v>
      </c>
      <c r="EJ11" s="51">
        <f t="shared" si="72"/>
        <v>4536000</v>
      </c>
      <c r="EK11" s="54"/>
      <c r="EL11" s="51">
        <f t="shared" ref="EL11:EL16" si="73">EH11*EL$8</f>
        <v>18.144000000000002</v>
      </c>
      <c r="EM11" s="51">
        <f t="shared" ref="EM11:EN16" si="74">EI11*EM$8</f>
        <v>0</v>
      </c>
      <c r="EN11" s="51">
        <f t="shared" si="74"/>
        <v>4536000</v>
      </c>
      <c r="EO11" s="54"/>
      <c r="EP11" s="51">
        <f t="shared" ref="EP11:EP16" si="75">EL11*EP$8</f>
        <v>18.144000000000002</v>
      </c>
      <c r="EQ11" s="51">
        <f t="shared" ref="EQ11:ER16" si="76">EM11*EQ$8</f>
        <v>0</v>
      </c>
      <c r="ER11" s="51">
        <f t="shared" si="76"/>
        <v>4536000</v>
      </c>
      <c r="ES11" s="54"/>
      <c r="ET11" s="51">
        <f t="shared" ref="ET11:ET16" si="77">EP11*ET$8</f>
        <v>18.144000000000002</v>
      </c>
      <c r="EU11" s="51">
        <f t="shared" ref="EU11:EV16" si="78">EQ11*EU$8</f>
        <v>0</v>
      </c>
      <c r="EV11" s="51">
        <f t="shared" si="78"/>
        <v>4536000</v>
      </c>
      <c r="EW11" s="54"/>
      <c r="EX11" s="51">
        <f t="shared" ref="EX11:EX16" si="79">ET11*EX$8</f>
        <v>18.144000000000002</v>
      </c>
      <c r="EY11" s="51">
        <f t="shared" ref="EY11:EZ16" si="80">EU11*EY$8</f>
        <v>0</v>
      </c>
      <c r="EZ11" s="51">
        <f t="shared" si="80"/>
        <v>4536000</v>
      </c>
      <c r="FA11" s="54"/>
      <c r="FB11" s="51">
        <f t="shared" ref="FB11:FB16" si="81">EX11*FB$8</f>
        <v>18.144000000000002</v>
      </c>
      <c r="FC11" s="51">
        <f t="shared" ref="FC11:FD16" si="82">EY11*FC$8</f>
        <v>0</v>
      </c>
      <c r="FD11" s="51">
        <f t="shared" si="82"/>
        <v>4536000</v>
      </c>
      <c r="FE11" s="54"/>
      <c r="FF11" s="51">
        <f t="shared" ref="FF11:FF16" si="83">FB11*FF$8</f>
        <v>18.144000000000002</v>
      </c>
      <c r="FG11" s="51">
        <f t="shared" ref="FG11:FH16" si="84">FC11*FG$8</f>
        <v>0</v>
      </c>
      <c r="FH11" s="51">
        <f t="shared" si="84"/>
        <v>4536000</v>
      </c>
      <c r="FI11" s="54"/>
      <c r="FJ11" s="51">
        <f t="shared" ref="FJ11:FJ16" si="85">FF11*FJ$8</f>
        <v>25.401600000000002</v>
      </c>
      <c r="FK11" s="51">
        <f t="shared" ref="FK11:FL16" si="86">FG11*FK$8</f>
        <v>0</v>
      </c>
      <c r="FL11" s="51">
        <f t="shared" si="86"/>
        <v>4536000</v>
      </c>
      <c r="FM11" s="54"/>
      <c r="FN11" s="51">
        <f t="shared" ref="FN11:FN16" si="87">FJ11*FN$8</f>
        <v>25.401600000000002</v>
      </c>
      <c r="FO11" s="51">
        <f t="shared" ref="FO11:FP16" si="88">FK11*FO$8</f>
        <v>0</v>
      </c>
      <c r="FP11" s="51">
        <f t="shared" si="88"/>
        <v>4536000</v>
      </c>
      <c r="FQ11" s="54"/>
      <c r="FR11" s="51">
        <f t="shared" ref="FR11:FR16" si="89">FN11*FR$8</f>
        <v>25.401600000000002</v>
      </c>
      <c r="FS11" s="51">
        <f t="shared" ref="FS11:FT16" si="90">FO11*FS$8</f>
        <v>0</v>
      </c>
      <c r="FT11" s="51">
        <f t="shared" si="90"/>
        <v>4536000</v>
      </c>
      <c r="FU11" s="54"/>
      <c r="FV11" s="51">
        <f t="shared" ref="FV11:FV16" si="91">FR11*FV$8</f>
        <v>25.401600000000002</v>
      </c>
      <c r="FW11" s="51">
        <f t="shared" ref="FW11:FX16" si="92">FS11*FW$8</f>
        <v>0</v>
      </c>
      <c r="FX11" s="51">
        <f t="shared" si="92"/>
        <v>6350400</v>
      </c>
      <c r="FY11" s="54"/>
      <c r="FZ11" s="51">
        <f t="shared" ref="FZ11:FZ16" si="93">FV11*FZ$8</f>
        <v>25.401600000000002</v>
      </c>
      <c r="GA11" s="51">
        <f t="shared" ref="GA11:GB16" si="94">FW11*GA$8</f>
        <v>0</v>
      </c>
      <c r="GB11" s="51">
        <f t="shared" si="94"/>
        <v>6350400</v>
      </c>
      <c r="GC11" s="54"/>
      <c r="GD11" s="51">
        <f t="shared" ref="GD11:GD16" si="95">FZ11*GD$8</f>
        <v>25.401600000000002</v>
      </c>
      <c r="GE11" s="51">
        <f t="shared" ref="GE11:GF16" si="96">GA11*GE$8</f>
        <v>0</v>
      </c>
      <c r="GF11" s="51">
        <f t="shared" si="96"/>
        <v>6350400</v>
      </c>
      <c r="GG11" s="54"/>
      <c r="GH11" s="51">
        <f t="shared" ref="GH11:GH16" si="97">GD11*GH$8</f>
        <v>25.401600000000002</v>
      </c>
      <c r="GI11" s="51">
        <f t="shared" ref="GI11:GJ16" si="98">GE11*GI$8</f>
        <v>0</v>
      </c>
      <c r="GJ11" s="51">
        <f t="shared" si="98"/>
        <v>6350400</v>
      </c>
      <c r="GK11" s="54"/>
      <c r="GL11" s="51">
        <f t="shared" ref="GL11:GL16" si="99">GH11*GL$8</f>
        <v>25.401600000000002</v>
      </c>
      <c r="GM11" s="51">
        <f t="shared" ref="GM11:GN16" si="100">GI11*GM$8</f>
        <v>0</v>
      </c>
      <c r="GN11" s="51">
        <f t="shared" si="100"/>
        <v>6350400</v>
      </c>
      <c r="GO11" s="54"/>
      <c r="GP11" s="51">
        <f t="shared" ref="GP11:GP16" si="101">GL11*GP$8</f>
        <v>25.401600000000002</v>
      </c>
      <c r="GQ11" s="51">
        <f t="shared" ref="GQ11:GR16" si="102">GM11*GQ$8</f>
        <v>0</v>
      </c>
      <c r="GR11" s="51">
        <f t="shared" si="102"/>
        <v>6350400</v>
      </c>
      <c r="GS11" s="54"/>
      <c r="GT11" s="51">
        <f t="shared" ref="GT11:GT16" si="103">GP11*GT$8</f>
        <v>25.401600000000002</v>
      </c>
      <c r="GU11" s="51">
        <f t="shared" ref="GU11:GV16" si="104">GQ11*GU$8</f>
        <v>0</v>
      </c>
      <c r="GV11" s="51">
        <f t="shared" si="104"/>
        <v>6350400</v>
      </c>
      <c r="GW11" s="54"/>
      <c r="GX11" s="51">
        <f t="shared" ref="GX11:GX16" si="105">GT11*GX$8</f>
        <v>25.401600000000002</v>
      </c>
      <c r="GY11" s="51">
        <f t="shared" ref="GY11:GZ16" si="106">GU11*GY$8</f>
        <v>0</v>
      </c>
      <c r="GZ11" s="51">
        <f t="shared" si="106"/>
        <v>6350400</v>
      </c>
      <c r="HA11" s="54"/>
      <c r="HB11" s="51">
        <f t="shared" ref="HB11:HB16" si="107">GX11*HB$8</f>
        <v>25.401600000000002</v>
      </c>
      <c r="HC11" s="51">
        <f t="shared" ref="HC11:HD16" si="108">GY11*HC$8</f>
        <v>0</v>
      </c>
      <c r="HD11" s="51">
        <f t="shared" si="108"/>
        <v>6350400</v>
      </c>
      <c r="HE11" s="54"/>
      <c r="HF11" s="51">
        <f t="shared" ref="HF11:HF16" si="109">HB11*HF$8</f>
        <v>34.29216</v>
      </c>
      <c r="HG11" s="51">
        <f t="shared" ref="HG11:HH16" si="110">HC11*HG$8</f>
        <v>0</v>
      </c>
      <c r="HH11" s="51">
        <f t="shared" si="110"/>
        <v>6350400</v>
      </c>
      <c r="HI11" s="54"/>
      <c r="HJ11" s="51">
        <f t="shared" ref="HJ11:HJ16" si="111">HF11*HJ$8</f>
        <v>34.29216</v>
      </c>
      <c r="HK11" s="51">
        <f t="shared" ref="HK11:HL16" si="112">HG11*HK$8</f>
        <v>0</v>
      </c>
      <c r="HL11" s="51">
        <f t="shared" si="112"/>
        <v>6350400</v>
      </c>
      <c r="HM11" s="54"/>
      <c r="HN11" s="51">
        <f t="shared" ref="HN11:HN16" si="113">HJ11*HN$8</f>
        <v>34.29216</v>
      </c>
      <c r="HO11" s="51">
        <f t="shared" ref="HO11:HP16" si="114">HK11*HO$8</f>
        <v>0</v>
      </c>
      <c r="HP11" s="51">
        <f t="shared" si="114"/>
        <v>6350400</v>
      </c>
      <c r="HQ11" s="54"/>
      <c r="HR11" s="51">
        <f t="shared" ref="HR11:HR16" si="115">HN11*HR$8</f>
        <v>34.29216</v>
      </c>
      <c r="HS11" s="51">
        <f t="shared" ref="HS11:HT16" si="116">HO11*HS$8</f>
        <v>0</v>
      </c>
      <c r="HT11" s="51">
        <f t="shared" si="116"/>
        <v>8573040</v>
      </c>
      <c r="HU11" s="54"/>
      <c r="HV11" s="51">
        <f t="shared" ref="HV11:HV16" si="117">HR11*HV$8</f>
        <v>34.29216</v>
      </c>
      <c r="HW11" s="51">
        <f t="shared" ref="HW11:HX16" si="118">HS11*HW$8</f>
        <v>0</v>
      </c>
      <c r="HX11" s="51">
        <f t="shared" si="118"/>
        <v>8573040</v>
      </c>
      <c r="HY11" s="54"/>
      <c r="HZ11" s="51">
        <f t="shared" ref="HZ11:HZ16" si="119">HV11*HZ$8</f>
        <v>34.29216</v>
      </c>
      <c r="IA11" s="51">
        <f t="shared" ref="IA11:IB16" si="120">HW11*IA$8</f>
        <v>0</v>
      </c>
      <c r="IB11" s="51">
        <f t="shared" si="120"/>
        <v>8573040</v>
      </c>
      <c r="IC11" s="54"/>
      <c r="ID11" s="51">
        <f t="shared" ref="ID11:ID16" si="121">HZ11*ID$8</f>
        <v>34.29216</v>
      </c>
      <c r="IE11" s="51">
        <f t="shared" ref="IE11:IF16" si="122">IA11*IE$8</f>
        <v>0</v>
      </c>
      <c r="IF11" s="51">
        <f t="shared" si="122"/>
        <v>8573040</v>
      </c>
      <c r="IG11" s="54"/>
      <c r="IH11" s="51">
        <f t="shared" ref="IH11:IH16" si="123">ID11*IH$8</f>
        <v>34.29216</v>
      </c>
      <c r="II11" s="51">
        <f t="shared" ref="II11:IJ16" si="124">IE11*II$8</f>
        <v>0</v>
      </c>
      <c r="IJ11" s="51">
        <f t="shared" si="124"/>
        <v>8573040</v>
      </c>
      <c r="IK11" s="54"/>
      <c r="IL11" s="51">
        <f t="shared" ref="IL11:IL16" si="125">IH11*IL$8</f>
        <v>34.29216</v>
      </c>
      <c r="IM11" s="51">
        <f t="shared" ref="IM11:IN16" si="126">II11*IM$8</f>
        <v>0</v>
      </c>
      <c r="IN11" s="51">
        <f t="shared" si="126"/>
        <v>8573040</v>
      </c>
      <c r="IO11" s="54"/>
      <c r="IP11" s="51">
        <f t="shared" ref="IP11:IP16" si="127">IL11*IP$8</f>
        <v>34.29216</v>
      </c>
      <c r="IQ11" s="51">
        <f t="shared" ref="IQ11:IR16" si="128">IM11*IQ$8</f>
        <v>0</v>
      </c>
      <c r="IR11" s="51">
        <f t="shared" si="128"/>
        <v>8573040</v>
      </c>
      <c r="IS11" s="54"/>
      <c r="IT11" s="51">
        <f t="shared" ref="IT11:IT16" si="129">IP11*IT$8</f>
        <v>34.29216</v>
      </c>
      <c r="IU11" s="51">
        <f t="shared" ref="IU11:IV16" si="130">IQ11*IU$8</f>
        <v>0</v>
      </c>
      <c r="IV11" s="51">
        <f t="shared" si="130"/>
        <v>8573040</v>
      </c>
      <c r="IW11" s="54"/>
      <c r="IX11" s="51">
        <f t="shared" ref="IX11:IX16" si="131">IT11*IX$8</f>
        <v>34.29216</v>
      </c>
      <c r="IY11" s="51">
        <f t="shared" ref="IY11:IZ16" si="132">IU11*IY$8</f>
        <v>0</v>
      </c>
      <c r="IZ11" s="51">
        <f t="shared" si="132"/>
        <v>8573040</v>
      </c>
      <c r="JA11" s="54"/>
      <c r="JB11" s="51" t="e">
        <f t="shared" ref="JB11:JB16" si="133">IX11*JB$8</f>
        <v>#REF!</v>
      </c>
      <c r="JC11" s="51">
        <f t="shared" ref="JC11:JD16" si="134">IY11*JC$8</f>
        <v>0</v>
      </c>
      <c r="JD11" s="51">
        <f t="shared" si="134"/>
        <v>8573040</v>
      </c>
      <c r="JE11" s="54"/>
      <c r="JF11" s="51" t="e">
        <f t="shared" ref="JF11:JF16" si="135">JB11*JF$8</f>
        <v>#REF!</v>
      </c>
      <c r="JG11" s="51">
        <f t="shared" ref="JG11:JH16" si="136">JC11*JG$8</f>
        <v>0</v>
      </c>
      <c r="JH11" s="51">
        <f t="shared" si="136"/>
        <v>8573040</v>
      </c>
      <c r="JI11" s="54"/>
      <c r="JJ11" s="51" t="e">
        <f t="shared" ref="JJ11:JJ16" si="137">JF11*JJ$8</f>
        <v>#REF!</v>
      </c>
      <c r="JK11" s="51">
        <f t="shared" ref="JK11:JL16" si="138">JG11*JK$8</f>
        <v>0</v>
      </c>
      <c r="JL11" s="51">
        <f t="shared" si="138"/>
        <v>8573040</v>
      </c>
      <c r="JM11" s="54"/>
      <c r="JO11" s="80"/>
      <c r="JP11" s="80"/>
      <c r="JQ11" s="80">
        <f t="shared" si="0"/>
        <v>1990000</v>
      </c>
      <c r="JS11" s="80"/>
      <c r="JT11" s="80"/>
      <c r="JU11" s="80">
        <f t="shared" si="1"/>
        <v>2700000</v>
      </c>
      <c r="JW11" s="80"/>
      <c r="JX11" s="80"/>
      <c r="JY11" s="80">
        <f t="shared" si="2"/>
        <v>11340000</v>
      </c>
      <c r="KA11" s="80"/>
      <c r="KB11" s="80"/>
      <c r="KC11" s="80">
        <f t="shared" si="3"/>
        <v>54432000</v>
      </c>
      <c r="KE11" s="80"/>
      <c r="KF11" s="80"/>
      <c r="KG11" s="80">
        <f t="shared" si="4"/>
        <v>76204800</v>
      </c>
      <c r="KI11" s="80"/>
      <c r="KJ11" s="80"/>
      <c r="KK11" s="80">
        <f t="shared" si="5"/>
        <v>102876480</v>
      </c>
      <c r="KM11" s="80"/>
      <c r="KN11" s="80"/>
      <c r="KO11" s="80">
        <f t="shared" si="6"/>
        <v>102876480</v>
      </c>
    </row>
    <row r="12" ht="18.75" customHeight="1" spans="2:301" x14ac:dyDescent="0.25">
      <c r="B12" s="5" t="str">
        <f>A.IIOPEX!C12</f>
        <v>1c</v>
      </c>
      <c r="C12" s="29"/>
      <c r="D12" s="29">
        <f>A.IIOPEX!E12</f>
        <v>0</v>
      </c>
      <c r="E12" s="30"/>
      <c r="F12" s="51">
        <v>1</v>
      </c>
      <c r="G12" s="51"/>
      <c r="H12" s="51">
        <f>A.IIOPEX!I12</f>
        <v>0</v>
      </c>
      <c r="I12" s="54"/>
      <c r="J12" s="51">
        <f t="shared" si="7"/>
        <v>0.8</v>
      </c>
      <c r="K12" s="51">
        <f t="shared" si="7"/>
        <v>0</v>
      </c>
      <c r="L12" s="51">
        <f t="shared" si="8"/>
        <v>0</v>
      </c>
      <c r="M12" s="54"/>
      <c r="N12" s="51">
        <f t="shared" si="9"/>
        <v>0.8</v>
      </c>
      <c r="O12" s="51">
        <f t="shared" si="9"/>
        <v>0</v>
      </c>
      <c r="P12" s="51">
        <f t="shared" si="10"/>
        <v>0</v>
      </c>
      <c r="Q12" s="54"/>
      <c r="R12" s="51">
        <f t="shared" si="11"/>
        <v>0.8</v>
      </c>
      <c r="S12" s="51">
        <f t="shared" si="11"/>
        <v>0</v>
      </c>
      <c r="T12" s="51">
        <f t="shared" si="12"/>
        <v>0</v>
      </c>
      <c r="U12" s="54"/>
      <c r="V12" s="51">
        <f t="shared" si="13"/>
        <v>0.8</v>
      </c>
      <c r="W12" s="51">
        <f t="shared" si="13"/>
        <v>0</v>
      </c>
      <c r="X12" s="51">
        <f t="shared" si="14"/>
        <v>0</v>
      </c>
      <c r="Y12" s="54"/>
      <c r="Z12" s="51">
        <f t="shared" si="15"/>
        <v>0.8</v>
      </c>
      <c r="AA12" s="51">
        <f t="shared" si="15"/>
        <v>0</v>
      </c>
      <c r="AB12" s="51">
        <f t="shared" si="16"/>
        <v>0</v>
      </c>
      <c r="AC12" s="54"/>
      <c r="AD12" s="51">
        <f t="shared" si="17"/>
        <v>0.8</v>
      </c>
      <c r="AE12" s="51">
        <f t="shared" si="18"/>
        <v>0</v>
      </c>
      <c r="AF12" s="51">
        <f t="shared" si="18"/>
        <v>0</v>
      </c>
      <c r="AG12" s="54"/>
      <c r="AH12" s="51">
        <f t="shared" si="19"/>
        <v>1.08</v>
      </c>
      <c r="AI12" s="51">
        <f t="shared" si="20"/>
        <v>0</v>
      </c>
      <c r="AJ12" s="51">
        <f t="shared" si="20"/>
        <v>0</v>
      </c>
      <c r="AK12" s="54"/>
      <c r="AL12" s="51">
        <f t="shared" si="21"/>
        <v>1.08</v>
      </c>
      <c r="AM12" s="51">
        <f t="shared" si="22"/>
        <v>0</v>
      </c>
      <c r="AN12" s="51">
        <f t="shared" si="22"/>
        <v>0</v>
      </c>
      <c r="AO12" s="54"/>
      <c r="AP12" s="51">
        <f t="shared" si="23"/>
        <v>1.08</v>
      </c>
      <c r="AQ12" s="51">
        <f t="shared" si="24"/>
        <v>0</v>
      </c>
      <c r="AR12" s="51">
        <f t="shared" si="24"/>
        <v>0</v>
      </c>
      <c r="AS12" s="54"/>
      <c r="AT12" s="51">
        <f t="shared" si="25"/>
        <v>1.08</v>
      </c>
      <c r="AU12" s="51">
        <f t="shared" si="26"/>
        <v>0</v>
      </c>
      <c r="AV12" s="51">
        <f t="shared" si="26"/>
        <v>0</v>
      </c>
      <c r="AW12" s="54"/>
      <c r="AX12" s="51">
        <f t="shared" si="27"/>
        <v>1.08</v>
      </c>
      <c r="AY12" s="51">
        <f t="shared" si="28"/>
        <v>0</v>
      </c>
      <c r="AZ12" s="51">
        <f t="shared" si="28"/>
        <v>0</v>
      </c>
      <c r="BA12" s="54"/>
      <c r="BB12" s="51">
        <f t="shared" si="29"/>
        <v>1.08</v>
      </c>
      <c r="BC12" s="51">
        <f t="shared" si="30"/>
        <v>0</v>
      </c>
      <c r="BD12" s="51">
        <f t="shared" si="30"/>
        <v>0</v>
      </c>
      <c r="BE12" s="54"/>
      <c r="BF12" s="51">
        <f t="shared" si="31"/>
        <v>1.08</v>
      </c>
      <c r="BG12" s="51">
        <f t="shared" si="32"/>
        <v>0</v>
      </c>
      <c r="BH12" s="51">
        <f t="shared" si="32"/>
        <v>0</v>
      </c>
      <c r="BI12" s="54"/>
      <c r="BJ12" s="51">
        <f t="shared" si="33"/>
        <v>1.08</v>
      </c>
      <c r="BK12" s="51">
        <f t="shared" si="34"/>
        <v>0</v>
      </c>
      <c r="BL12" s="51">
        <f t="shared" si="34"/>
        <v>0</v>
      </c>
      <c r="BM12" s="54"/>
      <c r="BN12" s="51">
        <f t="shared" si="35"/>
        <v>1.08</v>
      </c>
      <c r="BO12" s="51">
        <f t="shared" si="36"/>
        <v>0</v>
      </c>
      <c r="BP12" s="51">
        <f t="shared" si="36"/>
        <v>0</v>
      </c>
      <c r="BQ12" s="54"/>
      <c r="BR12" s="51">
        <f t="shared" si="37"/>
        <v>1.08</v>
      </c>
      <c r="BS12" s="51">
        <f t="shared" si="38"/>
        <v>0</v>
      </c>
      <c r="BT12" s="51">
        <f t="shared" si="38"/>
        <v>0</v>
      </c>
      <c r="BU12" s="54"/>
      <c r="BV12" s="51">
        <f t="shared" si="39"/>
        <v>1.08</v>
      </c>
      <c r="BW12" s="51">
        <f t="shared" si="40"/>
        <v>0</v>
      </c>
      <c r="BX12" s="51">
        <f t="shared" si="40"/>
        <v>0</v>
      </c>
      <c r="BY12" s="54"/>
      <c r="BZ12" s="51">
        <f t="shared" si="41"/>
        <v>1.08</v>
      </c>
      <c r="CA12" s="51">
        <f t="shared" si="42"/>
        <v>0</v>
      </c>
      <c r="CB12" s="51">
        <f t="shared" si="42"/>
        <v>0</v>
      </c>
      <c r="CC12" s="54"/>
      <c r="CD12" s="51">
        <f t="shared" si="43"/>
        <v>3.7800000000000002</v>
      </c>
      <c r="CE12" s="51">
        <f t="shared" si="44"/>
        <v>0</v>
      </c>
      <c r="CF12" s="51">
        <f t="shared" si="44"/>
        <v>0</v>
      </c>
      <c r="CG12" s="54"/>
      <c r="CH12" s="51">
        <f t="shared" si="45"/>
        <v>3.7800000000000002</v>
      </c>
      <c r="CI12" s="51">
        <f t="shared" si="46"/>
        <v>0</v>
      </c>
      <c r="CJ12" s="51">
        <f t="shared" si="46"/>
        <v>0</v>
      </c>
      <c r="CK12" s="54"/>
      <c r="CL12" s="51">
        <f t="shared" si="47"/>
        <v>3.7800000000000002</v>
      </c>
      <c r="CM12" s="51">
        <f t="shared" si="48"/>
        <v>0</v>
      </c>
      <c r="CN12" s="51">
        <f t="shared" si="48"/>
        <v>0</v>
      </c>
      <c r="CO12" s="54"/>
      <c r="CP12" s="51">
        <f t="shared" si="49"/>
        <v>3.7800000000000002</v>
      </c>
      <c r="CQ12" s="51">
        <f t="shared" si="50"/>
        <v>0</v>
      </c>
      <c r="CR12" s="51">
        <f t="shared" si="50"/>
        <v>0</v>
      </c>
      <c r="CS12" s="54"/>
      <c r="CT12" s="51">
        <f t="shared" si="51"/>
        <v>3.7800000000000002</v>
      </c>
      <c r="CU12" s="51">
        <f t="shared" si="52"/>
        <v>0</v>
      </c>
      <c r="CV12" s="51">
        <f t="shared" si="52"/>
        <v>0</v>
      </c>
      <c r="CW12" s="54"/>
      <c r="CX12" s="51">
        <f t="shared" si="53"/>
        <v>3.7800000000000002</v>
      </c>
      <c r="CY12" s="51">
        <f t="shared" si="54"/>
        <v>0</v>
      </c>
      <c r="CZ12" s="51">
        <f t="shared" si="54"/>
        <v>0</v>
      </c>
      <c r="DA12" s="54"/>
      <c r="DB12" s="51">
        <f t="shared" si="55"/>
        <v>3.7800000000000002</v>
      </c>
      <c r="DC12" s="51">
        <f t="shared" si="56"/>
        <v>0</v>
      </c>
      <c r="DD12" s="51">
        <f t="shared" si="56"/>
        <v>0</v>
      </c>
      <c r="DE12" s="54"/>
      <c r="DF12" s="51">
        <f t="shared" si="57"/>
        <v>3.7800000000000002</v>
      </c>
      <c r="DG12" s="51">
        <f t="shared" si="58"/>
        <v>0</v>
      </c>
      <c r="DH12" s="51">
        <f t="shared" si="58"/>
        <v>0</v>
      </c>
      <c r="DI12" s="54"/>
      <c r="DJ12" s="51">
        <f t="shared" si="59"/>
        <v>3.7800000000000002</v>
      </c>
      <c r="DK12" s="51">
        <f t="shared" si="60"/>
        <v>0</v>
      </c>
      <c r="DL12" s="51">
        <f t="shared" si="60"/>
        <v>0</v>
      </c>
      <c r="DM12" s="54"/>
      <c r="DN12" s="51">
        <f t="shared" si="61"/>
        <v>3.7800000000000002</v>
      </c>
      <c r="DO12" s="51">
        <f t="shared" si="62"/>
        <v>0</v>
      </c>
      <c r="DP12" s="51">
        <f t="shared" si="62"/>
        <v>0</v>
      </c>
      <c r="DQ12" s="54"/>
      <c r="DR12" s="51">
        <f t="shared" si="63"/>
        <v>3.7800000000000002</v>
      </c>
      <c r="DS12" s="51">
        <f t="shared" si="64"/>
        <v>0</v>
      </c>
      <c r="DT12" s="51">
        <f t="shared" si="64"/>
        <v>0</v>
      </c>
      <c r="DU12" s="54"/>
      <c r="DV12" s="51">
        <f t="shared" si="65"/>
        <v>3.7800000000000002</v>
      </c>
      <c r="DW12" s="51">
        <f t="shared" si="66"/>
        <v>0</v>
      </c>
      <c r="DX12" s="51">
        <f t="shared" si="66"/>
        <v>0</v>
      </c>
      <c r="DY12" s="54"/>
      <c r="DZ12" s="51">
        <f t="shared" si="67"/>
        <v>18.144000000000002</v>
      </c>
      <c r="EA12" s="51">
        <f t="shared" si="68"/>
        <v>0</v>
      </c>
      <c r="EB12" s="51">
        <f t="shared" si="68"/>
        <v>0</v>
      </c>
      <c r="EC12" s="54"/>
      <c r="ED12" s="51">
        <f t="shared" si="69"/>
        <v>18.144000000000002</v>
      </c>
      <c r="EE12" s="51">
        <f t="shared" si="70"/>
        <v>0</v>
      </c>
      <c r="EF12" s="51">
        <f t="shared" si="70"/>
        <v>0</v>
      </c>
      <c r="EG12" s="54"/>
      <c r="EH12" s="51">
        <f t="shared" si="71"/>
        <v>18.144000000000002</v>
      </c>
      <c r="EI12" s="51">
        <f t="shared" si="72"/>
        <v>0</v>
      </c>
      <c r="EJ12" s="51">
        <f t="shared" si="72"/>
        <v>0</v>
      </c>
      <c r="EK12" s="54"/>
      <c r="EL12" s="51">
        <f t="shared" si="73"/>
        <v>18.144000000000002</v>
      </c>
      <c r="EM12" s="51">
        <f t="shared" si="74"/>
        <v>0</v>
      </c>
      <c r="EN12" s="51">
        <f t="shared" si="74"/>
        <v>0</v>
      </c>
      <c r="EO12" s="54"/>
      <c r="EP12" s="51">
        <f t="shared" si="75"/>
        <v>18.144000000000002</v>
      </c>
      <c r="EQ12" s="51">
        <f t="shared" si="76"/>
        <v>0</v>
      </c>
      <c r="ER12" s="51">
        <f t="shared" si="76"/>
        <v>0</v>
      </c>
      <c r="ES12" s="54"/>
      <c r="ET12" s="51">
        <f t="shared" si="77"/>
        <v>18.144000000000002</v>
      </c>
      <c r="EU12" s="51">
        <f t="shared" si="78"/>
        <v>0</v>
      </c>
      <c r="EV12" s="51">
        <f t="shared" si="78"/>
        <v>0</v>
      </c>
      <c r="EW12" s="54"/>
      <c r="EX12" s="51">
        <f t="shared" si="79"/>
        <v>18.144000000000002</v>
      </c>
      <c r="EY12" s="51">
        <f t="shared" si="80"/>
        <v>0</v>
      </c>
      <c r="EZ12" s="51">
        <f t="shared" si="80"/>
        <v>0</v>
      </c>
      <c r="FA12" s="54"/>
      <c r="FB12" s="51">
        <f t="shared" si="81"/>
        <v>18.144000000000002</v>
      </c>
      <c r="FC12" s="51">
        <f t="shared" si="82"/>
        <v>0</v>
      </c>
      <c r="FD12" s="51">
        <f t="shared" si="82"/>
        <v>0</v>
      </c>
      <c r="FE12" s="54"/>
      <c r="FF12" s="51">
        <f t="shared" si="83"/>
        <v>18.144000000000002</v>
      </c>
      <c r="FG12" s="51">
        <f t="shared" si="84"/>
        <v>0</v>
      </c>
      <c r="FH12" s="51">
        <f t="shared" si="84"/>
        <v>0</v>
      </c>
      <c r="FI12" s="54"/>
      <c r="FJ12" s="51">
        <f t="shared" si="85"/>
        <v>25.401600000000002</v>
      </c>
      <c r="FK12" s="51">
        <f t="shared" si="86"/>
        <v>0</v>
      </c>
      <c r="FL12" s="51">
        <f t="shared" si="86"/>
        <v>0</v>
      </c>
      <c r="FM12" s="54"/>
      <c r="FN12" s="51">
        <f t="shared" si="87"/>
        <v>25.401600000000002</v>
      </c>
      <c r="FO12" s="51">
        <f t="shared" si="88"/>
        <v>0</v>
      </c>
      <c r="FP12" s="51">
        <f t="shared" si="88"/>
        <v>0</v>
      </c>
      <c r="FQ12" s="54"/>
      <c r="FR12" s="51">
        <f t="shared" si="89"/>
        <v>25.401600000000002</v>
      </c>
      <c r="FS12" s="51">
        <f t="shared" si="90"/>
        <v>0</v>
      </c>
      <c r="FT12" s="51">
        <f t="shared" si="90"/>
        <v>0</v>
      </c>
      <c r="FU12" s="54"/>
      <c r="FV12" s="51">
        <f t="shared" si="91"/>
        <v>25.401600000000002</v>
      </c>
      <c r="FW12" s="51">
        <f t="shared" si="92"/>
        <v>0</v>
      </c>
      <c r="FX12" s="51">
        <f t="shared" si="92"/>
        <v>0</v>
      </c>
      <c r="FY12" s="54"/>
      <c r="FZ12" s="51">
        <f t="shared" si="93"/>
        <v>25.401600000000002</v>
      </c>
      <c r="GA12" s="51">
        <f t="shared" si="94"/>
        <v>0</v>
      </c>
      <c r="GB12" s="51">
        <f t="shared" si="94"/>
        <v>0</v>
      </c>
      <c r="GC12" s="54"/>
      <c r="GD12" s="51">
        <f t="shared" si="95"/>
        <v>25.401600000000002</v>
      </c>
      <c r="GE12" s="51">
        <f t="shared" si="96"/>
        <v>0</v>
      </c>
      <c r="GF12" s="51">
        <f t="shared" si="96"/>
        <v>0</v>
      </c>
      <c r="GG12" s="54"/>
      <c r="GH12" s="51">
        <f t="shared" si="97"/>
        <v>25.401600000000002</v>
      </c>
      <c r="GI12" s="51">
        <f t="shared" si="98"/>
        <v>0</v>
      </c>
      <c r="GJ12" s="51">
        <f t="shared" si="98"/>
        <v>0</v>
      </c>
      <c r="GK12" s="54"/>
      <c r="GL12" s="51">
        <f t="shared" si="99"/>
        <v>25.401600000000002</v>
      </c>
      <c r="GM12" s="51">
        <f t="shared" si="100"/>
        <v>0</v>
      </c>
      <c r="GN12" s="51">
        <f t="shared" si="100"/>
        <v>0</v>
      </c>
      <c r="GO12" s="54"/>
      <c r="GP12" s="51">
        <f t="shared" si="101"/>
        <v>25.401600000000002</v>
      </c>
      <c r="GQ12" s="51">
        <f t="shared" si="102"/>
        <v>0</v>
      </c>
      <c r="GR12" s="51">
        <f t="shared" si="102"/>
        <v>0</v>
      </c>
      <c r="GS12" s="54"/>
      <c r="GT12" s="51">
        <f t="shared" si="103"/>
        <v>25.401600000000002</v>
      </c>
      <c r="GU12" s="51">
        <f t="shared" si="104"/>
        <v>0</v>
      </c>
      <c r="GV12" s="51">
        <f t="shared" si="104"/>
        <v>0</v>
      </c>
      <c r="GW12" s="54"/>
      <c r="GX12" s="51">
        <f t="shared" si="105"/>
        <v>25.401600000000002</v>
      </c>
      <c r="GY12" s="51">
        <f t="shared" si="106"/>
        <v>0</v>
      </c>
      <c r="GZ12" s="51">
        <f t="shared" si="106"/>
        <v>0</v>
      </c>
      <c r="HA12" s="54"/>
      <c r="HB12" s="51">
        <f t="shared" si="107"/>
        <v>25.401600000000002</v>
      </c>
      <c r="HC12" s="51">
        <f t="shared" si="108"/>
        <v>0</v>
      </c>
      <c r="HD12" s="51">
        <f t="shared" si="108"/>
        <v>0</v>
      </c>
      <c r="HE12" s="54"/>
      <c r="HF12" s="51">
        <f t="shared" si="109"/>
        <v>34.29216</v>
      </c>
      <c r="HG12" s="51">
        <f t="shared" si="110"/>
        <v>0</v>
      </c>
      <c r="HH12" s="51">
        <f t="shared" si="110"/>
        <v>0</v>
      </c>
      <c r="HI12" s="54"/>
      <c r="HJ12" s="51">
        <f t="shared" si="111"/>
        <v>34.29216</v>
      </c>
      <c r="HK12" s="51">
        <f t="shared" si="112"/>
        <v>0</v>
      </c>
      <c r="HL12" s="51">
        <f t="shared" si="112"/>
        <v>0</v>
      </c>
      <c r="HM12" s="54"/>
      <c r="HN12" s="51">
        <f t="shared" si="113"/>
        <v>34.29216</v>
      </c>
      <c r="HO12" s="51">
        <f t="shared" si="114"/>
        <v>0</v>
      </c>
      <c r="HP12" s="51">
        <f t="shared" si="114"/>
        <v>0</v>
      </c>
      <c r="HQ12" s="54"/>
      <c r="HR12" s="51">
        <f t="shared" si="115"/>
        <v>34.29216</v>
      </c>
      <c r="HS12" s="51">
        <f t="shared" si="116"/>
        <v>0</v>
      </c>
      <c r="HT12" s="51">
        <f t="shared" si="116"/>
        <v>0</v>
      </c>
      <c r="HU12" s="54"/>
      <c r="HV12" s="51">
        <f t="shared" si="117"/>
        <v>34.29216</v>
      </c>
      <c r="HW12" s="51">
        <f t="shared" si="118"/>
        <v>0</v>
      </c>
      <c r="HX12" s="51">
        <f t="shared" si="118"/>
        <v>0</v>
      </c>
      <c r="HY12" s="54"/>
      <c r="HZ12" s="51">
        <f t="shared" si="119"/>
        <v>34.29216</v>
      </c>
      <c r="IA12" s="51">
        <f t="shared" si="120"/>
        <v>0</v>
      </c>
      <c r="IB12" s="51">
        <f t="shared" si="120"/>
        <v>0</v>
      </c>
      <c r="IC12" s="54"/>
      <c r="ID12" s="51">
        <f t="shared" si="121"/>
        <v>34.29216</v>
      </c>
      <c r="IE12" s="51">
        <f t="shared" si="122"/>
        <v>0</v>
      </c>
      <c r="IF12" s="51">
        <f t="shared" si="122"/>
        <v>0</v>
      </c>
      <c r="IG12" s="54"/>
      <c r="IH12" s="51">
        <f t="shared" si="123"/>
        <v>34.29216</v>
      </c>
      <c r="II12" s="51">
        <f t="shared" si="124"/>
        <v>0</v>
      </c>
      <c r="IJ12" s="51">
        <f t="shared" si="124"/>
        <v>0</v>
      </c>
      <c r="IK12" s="54"/>
      <c r="IL12" s="51">
        <f t="shared" si="125"/>
        <v>34.29216</v>
      </c>
      <c r="IM12" s="51">
        <f t="shared" si="126"/>
        <v>0</v>
      </c>
      <c r="IN12" s="51">
        <f t="shared" si="126"/>
        <v>0</v>
      </c>
      <c r="IO12" s="54"/>
      <c r="IP12" s="51">
        <f t="shared" si="127"/>
        <v>34.29216</v>
      </c>
      <c r="IQ12" s="51">
        <f t="shared" si="128"/>
        <v>0</v>
      </c>
      <c r="IR12" s="51">
        <f t="shared" si="128"/>
        <v>0</v>
      </c>
      <c r="IS12" s="54"/>
      <c r="IT12" s="51">
        <f t="shared" si="129"/>
        <v>34.29216</v>
      </c>
      <c r="IU12" s="51">
        <f t="shared" si="130"/>
        <v>0</v>
      </c>
      <c r="IV12" s="51">
        <f t="shared" si="130"/>
        <v>0</v>
      </c>
      <c r="IW12" s="54"/>
      <c r="IX12" s="51">
        <f t="shared" si="131"/>
        <v>34.29216</v>
      </c>
      <c r="IY12" s="51">
        <f t="shared" si="132"/>
        <v>0</v>
      </c>
      <c r="IZ12" s="51">
        <f t="shared" si="132"/>
        <v>0</v>
      </c>
      <c r="JA12" s="54"/>
      <c r="JB12" s="51" t="e">
        <f t="shared" si="133"/>
        <v>#REF!</v>
      </c>
      <c r="JC12" s="51">
        <f t="shared" si="134"/>
        <v>0</v>
      </c>
      <c r="JD12" s="51">
        <f t="shared" si="134"/>
        <v>0</v>
      </c>
      <c r="JE12" s="54"/>
      <c r="JF12" s="51" t="e">
        <f t="shared" si="135"/>
        <v>#REF!</v>
      </c>
      <c r="JG12" s="51">
        <f t="shared" si="136"/>
        <v>0</v>
      </c>
      <c r="JH12" s="51">
        <f t="shared" si="136"/>
        <v>0</v>
      </c>
      <c r="JI12" s="54"/>
      <c r="JJ12" s="51" t="e">
        <f t="shared" si="137"/>
        <v>#REF!</v>
      </c>
      <c r="JK12" s="51">
        <f t="shared" si="138"/>
        <v>0</v>
      </c>
      <c r="JL12" s="51">
        <f t="shared" si="138"/>
        <v>0</v>
      </c>
      <c r="JM12" s="54"/>
      <c r="JO12" s="80"/>
      <c r="JP12" s="80"/>
      <c r="JQ12" s="80">
        <f t="shared" si="0"/>
        <v>0</v>
      </c>
      <c r="JS12" s="80"/>
      <c r="JT12" s="80"/>
      <c r="JU12" s="80">
        <f t="shared" si="1"/>
        <v>0</v>
      </c>
      <c r="JW12" s="80"/>
      <c r="JX12" s="80"/>
      <c r="JY12" s="80">
        <f t="shared" si="2"/>
        <v>0</v>
      </c>
      <c r="KA12" s="80"/>
      <c r="KB12" s="80"/>
      <c r="KC12" s="80">
        <f t="shared" si="3"/>
        <v>0</v>
      </c>
      <c r="KE12" s="80"/>
      <c r="KF12" s="80"/>
      <c r="KG12" s="80">
        <f t="shared" si="4"/>
        <v>0</v>
      </c>
      <c r="KI12" s="80"/>
      <c r="KJ12" s="80"/>
      <c r="KK12" s="80">
        <f t="shared" si="5"/>
        <v>0</v>
      </c>
      <c r="KM12" s="80"/>
      <c r="KN12" s="80"/>
      <c r="KO12" s="80">
        <f t="shared" si="6"/>
        <v>0</v>
      </c>
    </row>
    <row r="13" ht="18.75" customHeight="1" spans="2:301" x14ac:dyDescent="0.25">
      <c r="B13" s="5" t="str">
        <f>A.IIOPEX!C13</f>
        <v>1d</v>
      </c>
      <c r="C13" s="29"/>
      <c r="D13" s="29">
        <f>A.IIOPEX!E13</f>
        <v>0</v>
      </c>
      <c r="E13" s="30"/>
      <c r="F13" s="51">
        <v>1</v>
      </c>
      <c r="G13" s="51"/>
      <c r="H13" s="51">
        <f>A.IIOPEX!I13</f>
        <v>0</v>
      </c>
      <c r="I13" s="54"/>
      <c r="J13" s="51">
        <f t="shared" si="7"/>
        <v>0.8</v>
      </c>
      <c r="K13" s="51">
        <f t="shared" si="7"/>
        <v>0</v>
      </c>
      <c r="L13" s="51">
        <f t="shared" si="8"/>
        <v>0</v>
      </c>
      <c r="M13" s="54"/>
      <c r="N13" s="51">
        <f t="shared" si="9"/>
        <v>0.8</v>
      </c>
      <c r="O13" s="51">
        <f t="shared" si="9"/>
        <v>0</v>
      </c>
      <c r="P13" s="51">
        <f t="shared" si="10"/>
        <v>0</v>
      </c>
      <c r="Q13" s="54"/>
      <c r="R13" s="51">
        <f t="shared" si="11"/>
        <v>0.8</v>
      </c>
      <c r="S13" s="51">
        <f t="shared" si="11"/>
        <v>0</v>
      </c>
      <c r="T13" s="51">
        <f t="shared" si="12"/>
        <v>0</v>
      </c>
      <c r="U13" s="54"/>
      <c r="V13" s="51">
        <f t="shared" si="13"/>
        <v>0.8</v>
      </c>
      <c r="W13" s="51">
        <f t="shared" si="13"/>
        <v>0</v>
      </c>
      <c r="X13" s="51">
        <f t="shared" si="14"/>
        <v>0</v>
      </c>
      <c r="Y13" s="54"/>
      <c r="Z13" s="51">
        <f t="shared" si="15"/>
        <v>0.8</v>
      </c>
      <c r="AA13" s="51">
        <f t="shared" si="15"/>
        <v>0</v>
      </c>
      <c r="AB13" s="51">
        <f t="shared" si="16"/>
        <v>0</v>
      </c>
      <c r="AC13" s="54"/>
      <c r="AD13" s="51">
        <f t="shared" si="17"/>
        <v>0.8</v>
      </c>
      <c r="AE13" s="51">
        <f t="shared" si="18"/>
        <v>0</v>
      </c>
      <c r="AF13" s="51">
        <f t="shared" si="18"/>
        <v>0</v>
      </c>
      <c r="AG13" s="54"/>
      <c r="AH13" s="51">
        <f t="shared" si="19"/>
        <v>1.08</v>
      </c>
      <c r="AI13" s="51">
        <f t="shared" si="20"/>
        <v>0</v>
      </c>
      <c r="AJ13" s="51">
        <f t="shared" si="20"/>
        <v>0</v>
      </c>
      <c r="AK13" s="54"/>
      <c r="AL13" s="51">
        <f t="shared" si="21"/>
        <v>1.08</v>
      </c>
      <c r="AM13" s="51">
        <f t="shared" si="22"/>
        <v>0</v>
      </c>
      <c r="AN13" s="51">
        <f t="shared" si="22"/>
        <v>0</v>
      </c>
      <c r="AO13" s="54"/>
      <c r="AP13" s="51">
        <f t="shared" si="23"/>
        <v>1.08</v>
      </c>
      <c r="AQ13" s="51">
        <f t="shared" si="24"/>
        <v>0</v>
      </c>
      <c r="AR13" s="51">
        <f t="shared" si="24"/>
        <v>0</v>
      </c>
      <c r="AS13" s="54"/>
      <c r="AT13" s="51">
        <f t="shared" si="25"/>
        <v>1.08</v>
      </c>
      <c r="AU13" s="51">
        <f t="shared" si="26"/>
        <v>0</v>
      </c>
      <c r="AV13" s="51">
        <f t="shared" si="26"/>
        <v>0</v>
      </c>
      <c r="AW13" s="54"/>
      <c r="AX13" s="51">
        <f t="shared" si="27"/>
        <v>1.08</v>
      </c>
      <c r="AY13" s="51">
        <f t="shared" si="28"/>
        <v>0</v>
      </c>
      <c r="AZ13" s="51">
        <f t="shared" si="28"/>
        <v>0</v>
      </c>
      <c r="BA13" s="54"/>
      <c r="BB13" s="51">
        <f t="shared" si="29"/>
        <v>1.08</v>
      </c>
      <c r="BC13" s="51">
        <f t="shared" si="30"/>
        <v>0</v>
      </c>
      <c r="BD13" s="51">
        <f t="shared" si="30"/>
        <v>0</v>
      </c>
      <c r="BE13" s="54"/>
      <c r="BF13" s="51">
        <f t="shared" si="31"/>
        <v>1.08</v>
      </c>
      <c r="BG13" s="51">
        <f t="shared" si="32"/>
        <v>0</v>
      </c>
      <c r="BH13" s="51">
        <f t="shared" si="32"/>
        <v>0</v>
      </c>
      <c r="BI13" s="54"/>
      <c r="BJ13" s="51">
        <f t="shared" si="33"/>
        <v>1.08</v>
      </c>
      <c r="BK13" s="51">
        <f t="shared" si="34"/>
        <v>0</v>
      </c>
      <c r="BL13" s="51">
        <f t="shared" si="34"/>
        <v>0</v>
      </c>
      <c r="BM13" s="54"/>
      <c r="BN13" s="51">
        <f t="shared" si="35"/>
        <v>1.08</v>
      </c>
      <c r="BO13" s="51">
        <f t="shared" si="36"/>
        <v>0</v>
      </c>
      <c r="BP13" s="51">
        <f t="shared" si="36"/>
        <v>0</v>
      </c>
      <c r="BQ13" s="54"/>
      <c r="BR13" s="51">
        <f t="shared" si="37"/>
        <v>1.08</v>
      </c>
      <c r="BS13" s="51">
        <f t="shared" si="38"/>
        <v>0</v>
      </c>
      <c r="BT13" s="51">
        <f t="shared" si="38"/>
        <v>0</v>
      </c>
      <c r="BU13" s="54"/>
      <c r="BV13" s="51">
        <f t="shared" si="39"/>
        <v>1.08</v>
      </c>
      <c r="BW13" s="51">
        <f t="shared" si="40"/>
        <v>0</v>
      </c>
      <c r="BX13" s="51">
        <f t="shared" si="40"/>
        <v>0</v>
      </c>
      <c r="BY13" s="54"/>
      <c r="BZ13" s="51">
        <f t="shared" si="41"/>
        <v>1.08</v>
      </c>
      <c r="CA13" s="51">
        <f t="shared" si="42"/>
        <v>0</v>
      </c>
      <c r="CB13" s="51">
        <f t="shared" si="42"/>
        <v>0</v>
      </c>
      <c r="CC13" s="54"/>
      <c r="CD13" s="51">
        <f t="shared" si="43"/>
        <v>3.7800000000000002</v>
      </c>
      <c r="CE13" s="51">
        <f t="shared" si="44"/>
        <v>0</v>
      </c>
      <c r="CF13" s="51">
        <f t="shared" si="44"/>
        <v>0</v>
      </c>
      <c r="CG13" s="54"/>
      <c r="CH13" s="51">
        <f t="shared" si="45"/>
        <v>3.7800000000000002</v>
      </c>
      <c r="CI13" s="51">
        <f t="shared" si="46"/>
        <v>0</v>
      </c>
      <c r="CJ13" s="51">
        <f t="shared" si="46"/>
        <v>0</v>
      </c>
      <c r="CK13" s="54"/>
      <c r="CL13" s="51">
        <f t="shared" si="47"/>
        <v>3.7800000000000002</v>
      </c>
      <c r="CM13" s="51">
        <f t="shared" si="48"/>
        <v>0</v>
      </c>
      <c r="CN13" s="51">
        <f t="shared" si="48"/>
        <v>0</v>
      </c>
      <c r="CO13" s="54"/>
      <c r="CP13" s="51">
        <f t="shared" si="49"/>
        <v>3.7800000000000002</v>
      </c>
      <c r="CQ13" s="51">
        <f t="shared" si="50"/>
        <v>0</v>
      </c>
      <c r="CR13" s="51">
        <f t="shared" si="50"/>
        <v>0</v>
      </c>
      <c r="CS13" s="54"/>
      <c r="CT13" s="51">
        <f t="shared" si="51"/>
        <v>3.7800000000000002</v>
      </c>
      <c r="CU13" s="51">
        <f t="shared" si="52"/>
        <v>0</v>
      </c>
      <c r="CV13" s="51">
        <f t="shared" si="52"/>
        <v>0</v>
      </c>
      <c r="CW13" s="54"/>
      <c r="CX13" s="51">
        <f t="shared" si="53"/>
        <v>3.7800000000000002</v>
      </c>
      <c r="CY13" s="51">
        <f t="shared" si="54"/>
        <v>0</v>
      </c>
      <c r="CZ13" s="51">
        <f t="shared" si="54"/>
        <v>0</v>
      </c>
      <c r="DA13" s="54"/>
      <c r="DB13" s="51">
        <f t="shared" si="55"/>
        <v>3.7800000000000002</v>
      </c>
      <c r="DC13" s="51">
        <f t="shared" si="56"/>
        <v>0</v>
      </c>
      <c r="DD13" s="51">
        <f t="shared" si="56"/>
        <v>0</v>
      </c>
      <c r="DE13" s="54"/>
      <c r="DF13" s="51">
        <f t="shared" si="57"/>
        <v>3.7800000000000002</v>
      </c>
      <c r="DG13" s="51">
        <f t="shared" si="58"/>
        <v>0</v>
      </c>
      <c r="DH13" s="51">
        <f t="shared" si="58"/>
        <v>0</v>
      </c>
      <c r="DI13" s="54"/>
      <c r="DJ13" s="51">
        <f t="shared" si="59"/>
        <v>3.7800000000000002</v>
      </c>
      <c r="DK13" s="51">
        <f t="shared" si="60"/>
        <v>0</v>
      </c>
      <c r="DL13" s="51">
        <f t="shared" si="60"/>
        <v>0</v>
      </c>
      <c r="DM13" s="54"/>
      <c r="DN13" s="51">
        <f t="shared" si="61"/>
        <v>3.7800000000000002</v>
      </c>
      <c r="DO13" s="51">
        <f t="shared" si="62"/>
        <v>0</v>
      </c>
      <c r="DP13" s="51">
        <f t="shared" si="62"/>
        <v>0</v>
      </c>
      <c r="DQ13" s="54"/>
      <c r="DR13" s="51">
        <f t="shared" si="63"/>
        <v>3.7800000000000002</v>
      </c>
      <c r="DS13" s="51">
        <f t="shared" si="64"/>
        <v>0</v>
      </c>
      <c r="DT13" s="51">
        <f t="shared" si="64"/>
        <v>0</v>
      </c>
      <c r="DU13" s="54"/>
      <c r="DV13" s="51">
        <f t="shared" si="65"/>
        <v>3.7800000000000002</v>
      </c>
      <c r="DW13" s="51">
        <f t="shared" si="66"/>
        <v>0</v>
      </c>
      <c r="DX13" s="51">
        <f t="shared" si="66"/>
        <v>0</v>
      </c>
      <c r="DY13" s="54"/>
      <c r="DZ13" s="51">
        <f t="shared" si="67"/>
        <v>18.144000000000002</v>
      </c>
      <c r="EA13" s="51">
        <f t="shared" si="68"/>
        <v>0</v>
      </c>
      <c r="EB13" s="51">
        <f t="shared" si="68"/>
        <v>0</v>
      </c>
      <c r="EC13" s="54"/>
      <c r="ED13" s="51">
        <f t="shared" si="69"/>
        <v>18.144000000000002</v>
      </c>
      <c r="EE13" s="51">
        <f t="shared" si="70"/>
        <v>0</v>
      </c>
      <c r="EF13" s="51">
        <f t="shared" si="70"/>
        <v>0</v>
      </c>
      <c r="EG13" s="54"/>
      <c r="EH13" s="51">
        <f t="shared" si="71"/>
        <v>18.144000000000002</v>
      </c>
      <c r="EI13" s="51">
        <f t="shared" si="72"/>
        <v>0</v>
      </c>
      <c r="EJ13" s="51">
        <f t="shared" si="72"/>
        <v>0</v>
      </c>
      <c r="EK13" s="54"/>
      <c r="EL13" s="51">
        <f t="shared" si="73"/>
        <v>18.144000000000002</v>
      </c>
      <c r="EM13" s="51">
        <f t="shared" si="74"/>
        <v>0</v>
      </c>
      <c r="EN13" s="51">
        <f t="shared" si="74"/>
        <v>0</v>
      </c>
      <c r="EO13" s="54"/>
      <c r="EP13" s="51">
        <f t="shared" si="75"/>
        <v>18.144000000000002</v>
      </c>
      <c r="EQ13" s="51">
        <f t="shared" si="76"/>
        <v>0</v>
      </c>
      <c r="ER13" s="51">
        <f t="shared" si="76"/>
        <v>0</v>
      </c>
      <c r="ES13" s="54"/>
      <c r="ET13" s="51">
        <f t="shared" si="77"/>
        <v>18.144000000000002</v>
      </c>
      <c r="EU13" s="51">
        <f t="shared" si="78"/>
        <v>0</v>
      </c>
      <c r="EV13" s="51">
        <f t="shared" si="78"/>
        <v>0</v>
      </c>
      <c r="EW13" s="54"/>
      <c r="EX13" s="51">
        <f t="shared" si="79"/>
        <v>18.144000000000002</v>
      </c>
      <c r="EY13" s="51">
        <f t="shared" si="80"/>
        <v>0</v>
      </c>
      <c r="EZ13" s="51">
        <f t="shared" si="80"/>
        <v>0</v>
      </c>
      <c r="FA13" s="54"/>
      <c r="FB13" s="51">
        <f t="shared" si="81"/>
        <v>18.144000000000002</v>
      </c>
      <c r="FC13" s="51">
        <f t="shared" si="82"/>
        <v>0</v>
      </c>
      <c r="FD13" s="51">
        <f t="shared" si="82"/>
        <v>0</v>
      </c>
      <c r="FE13" s="54"/>
      <c r="FF13" s="51">
        <f t="shared" si="83"/>
        <v>18.144000000000002</v>
      </c>
      <c r="FG13" s="51">
        <f t="shared" si="84"/>
        <v>0</v>
      </c>
      <c r="FH13" s="51">
        <f t="shared" si="84"/>
        <v>0</v>
      </c>
      <c r="FI13" s="54"/>
      <c r="FJ13" s="51">
        <f t="shared" si="85"/>
        <v>25.401600000000002</v>
      </c>
      <c r="FK13" s="51">
        <f t="shared" si="86"/>
        <v>0</v>
      </c>
      <c r="FL13" s="51">
        <f t="shared" si="86"/>
        <v>0</v>
      </c>
      <c r="FM13" s="54"/>
      <c r="FN13" s="51">
        <f t="shared" si="87"/>
        <v>25.401600000000002</v>
      </c>
      <c r="FO13" s="51">
        <f t="shared" si="88"/>
        <v>0</v>
      </c>
      <c r="FP13" s="51">
        <f t="shared" si="88"/>
        <v>0</v>
      </c>
      <c r="FQ13" s="54"/>
      <c r="FR13" s="51">
        <f t="shared" si="89"/>
        <v>25.401600000000002</v>
      </c>
      <c r="FS13" s="51">
        <f t="shared" si="90"/>
        <v>0</v>
      </c>
      <c r="FT13" s="51">
        <f t="shared" si="90"/>
        <v>0</v>
      </c>
      <c r="FU13" s="54"/>
      <c r="FV13" s="51">
        <f t="shared" si="91"/>
        <v>25.401600000000002</v>
      </c>
      <c r="FW13" s="51">
        <f t="shared" si="92"/>
        <v>0</v>
      </c>
      <c r="FX13" s="51">
        <f t="shared" si="92"/>
        <v>0</v>
      </c>
      <c r="FY13" s="54"/>
      <c r="FZ13" s="51">
        <f t="shared" si="93"/>
        <v>25.401600000000002</v>
      </c>
      <c r="GA13" s="51">
        <f t="shared" si="94"/>
        <v>0</v>
      </c>
      <c r="GB13" s="51">
        <f t="shared" si="94"/>
        <v>0</v>
      </c>
      <c r="GC13" s="54"/>
      <c r="GD13" s="51">
        <f t="shared" si="95"/>
        <v>25.401600000000002</v>
      </c>
      <c r="GE13" s="51">
        <f t="shared" si="96"/>
        <v>0</v>
      </c>
      <c r="GF13" s="51">
        <f t="shared" si="96"/>
        <v>0</v>
      </c>
      <c r="GG13" s="54"/>
      <c r="GH13" s="51">
        <f t="shared" si="97"/>
        <v>25.401600000000002</v>
      </c>
      <c r="GI13" s="51">
        <f t="shared" si="98"/>
        <v>0</v>
      </c>
      <c r="GJ13" s="51">
        <f t="shared" si="98"/>
        <v>0</v>
      </c>
      <c r="GK13" s="54"/>
      <c r="GL13" s="51">
        <f t="shared" si="99"/>
        <v>25.401600000000002</v>
      </c>
      <c r="GM13" s="51">
        <f t="shared" si="100"/>
        <v>0</v>
      </c>
      <c r="GN13" s="51">
        <f t="shared" si="100"/>
        <v>0</v>
      </c>
      <c r="GO13" s="54"/>
      <c r="GP13" s="51">
        <f t="shared" si="101"/>
        <v>25.401600000000002</v>
      </c>
      <c r="GQ13" s="51">
        <f t="shared" si="102"/>
        <v>0</v>
      </c>
      <c r="GR13" s="51">
        <f t="shared" si="102"/>
        <v>0</v>
      </c>
      <c r="GS13" s="54"/>
      <c r="GT13" s="51">
        <f t="shared" si="103"/>
        <v>25.401600000000002</v>
      </c>
      <c r="GU13" s="51">
        <f t="shared" si="104"/>
        <v>0</v>
      </c>
      <c r="GV13" s="51">
        <f t="shared" si="104"/>
        <v>0</v>
      </c>
      <c r="GW13" s="54"/>
      <c r="GX13" s="51">
        <f t="shared" si="105"/>
        <v>25.401600000000002</v>
      </c>
      <c r="GY13" s="51">
        <f t="shared" si="106"/>
        <v>0</v>
      </c>
      <c r="GZ13" s="51">
        <f t="shared" si="106"/>
        <v>0</v>
      </c>
      <c r="HA13" s="54"/>
      <c r="HB13" s="51">
        <f t="shared" si="107"/>
        <v>25.401600000000002</v>
      </c>
      <c r="HC13" s="51">
        <f t="shared" si="108"/>
        <v>0</v>
      </c>
      <c r="HD13" s="51">
        <f t="shared" si="108"/>
        <v>0</v>
      </c>
      <c r="HE13" s="54"/>
      <c r="HF13" s="51">
        <f t="shared" si="109"/>
        <v>34.29216</v>
      </c>
      <c r="HG13" s="51">
        <f t="shared" si="110"/>
        <v>0</v>
      </c>
      <c r="HH13" s="51">
        <f t="shared" si="110"/>
        <v>0</v>
      </c>
      <c r="HI13" s="54"/>
      <c r="HJ13" s="51">
        <f t="shared" si="111"/>
        <v>34.29216</v>
      </c>
      <c r="HK13" s="51">
        <f t="shared" si="112"/>
        <v>0</v>
      </c>
      <c r="HL13" s="51">
        <f t="shared" si="112"/>
        <v>0</v>
      </c>
      <c r="HM13" s="54"/>
      <c r="HN13" s="51">
        <f t="shared" si="113"/>
        <v>34.29216</v>
      </c>
      <c r="HO13" s="51">
        <f t="shared" si="114"/>
        <v>0</v>
      </c>
      <c r="HP13" s="51">
        <f t="shared" si="114"/>
        <v>0</v>
      </c>
      <c r="HQ13" s="54"/>
      <c r="HR13" s="51">
        <f t="shared" si="115"/>
        <v>34.29216</v>
      </c>
      <c r="HS13" s="51">
        <f t="shared" si="116"/>
        <v>0</v>
      </c>
      <c r="HT13" s="51">
        <f t="shared" si="116"/>
        <v>0</v>
      </c>
      <c r="HU13" s="54"/>
      <c r="HV13" s="51">
        <f t="shared" si="117"/>
        <v>34.29216</v>
      </c>
      <c r="HW13" s="51">
        <f t="shared" si="118"/>
        <v>0</v>
      </c>
      <c r="HX13" s="51">
        <f t="shared" si="118"/>
        <v>0</v>
      </c>
      <c r="HY13" s="54"/>
      <c r="HZ13" s="51">
        <f t="shared" si="119"/>
        <v>34.29216</v>
      </c>
      <c r="IA13" s="51">
        <f t="shared" si="120"/>
        <v>0</v>
      </c>
      <c r="IB13" s="51">
        <f t="shared" si="120"/>
        <v>0</v>
      </c>
      <c r="IC13" s="54"/>
      <c r="ID13" s="51">
        <f t="shared" si="121"/>
        <v>34.29216</v>
      </c>
      <c r="IE13" s="51">
        <f t="shared" si="122"/>
        <v>0</v>
      </c>
      <c r="IF13" s="51">
        <f t="shared" si="122"/>
        <v>0</v>
      </c>
      <c r="IG13" s="54"/>
      <c r="IH13" s="51">
        <f t="shared" si="123"/>
        <v>34.29216</v>
      </c>
      <c r="II13" s="51">
        <f t="shared" si="124"/>
        <v>0</v>
      </c>
      <c r="IJ13" s="51">
        <f t="shared" si="124"/>
        <v>0</v>
      </c>
      <c r="IK13" s="54"/>
      <c r="IL13" s="51">
        <f t="shared" si="125"/>
        <v>34.29216</v>
      </c>
      <c r="IM13" s="51">
        <f t="shared" si="126"/>
        <v>0</v>
      </c>
      <c r="IN13" s="51">
        <f t="shared" si="126"/>
        <v>0</v>
      </c>
      <c r="IO13" s="54"/>
      <c r="IP13" s="51">
        <f t="shared" si="127"/>
        <v>34.29216</v>
      </c>
      <c r="IQ13" s="51">
        <f t="shared" si="128"/>
        <v>0</v>
      </c>
      <c r="IR13" s="51">
        <f t="shared" si="128"/>
        <v>0</v>
      </c>
      <c r="IS13" s="54"/>
      <c r="IT13" s="51">
        <f t="shared" si="129"/>
        <v>34.29216</v>
      </c>
      <c r="IU13" s="51">
        <f t="shared" si="130"/>
        <v>0</v>
      </c>
      <c r="IV13" s="51">
        <f t="shared" si="130"/>
        <v>0</v>
      </c>
      <c r="IW13" s="54"/>
      <c r="IX13" s="51">
        <f t="shared" si="131"/>
        <v>34.29216</v>
      </c>
      <c r="IY13" s="51">
        <f t="shared" si="132"/>
        <v>0</v>
      </c>
      <c r="IZ13" s="51">
        <f t="shared" si="132"/>
        <v>0</v>
      </c>
      <c r="JA13" s="54"/>
      <c r="JB13" s="51" t="e">
        <f t="shared" si="133"/>
        <v>#REF!</v>
      </c>
      <c r="JC13" s="51">
        <f t="shared" si="134"/>
        <v>0</v>
      </c>
      <c r="JD13" s="51">
        <f t="shared" si="134"/>
        <v>0</v>
      </c>
      <c r="JE13" s="54"/>
      <c r="JF13" s="51" t="e">
        <f t="shared" si="135"/>
        <v>#REF!</v>
      </c>
      <c r="JG13" s="51">
        <f t="shared" si="136"/>
        <v>0</v>
      </c>
      <c r="JH13" s="51">
        <f t="shared" si="136"/>
        <v>0</v>
      </c>
      <c r="JI13" s="54"/>
      <c r="JJ13" s="51" t="e">
        <f t="shared" si="137"/>
        <v>#REF!</v>
      </c>
      <c r="JK13" s="51">
        <f t="shared" si="138"/>
        <v>0</v>
      </c>
      <c r="JL13" s="51">
        <f t="shared" si="138"/>
        <v>0</v>
      </c>
      <c r="JM13" s="54"/>
      <c r="JO13" s="80"/>
      <c r="JP13" s="80"/>
      <c r="JQ13" s="80">
        <f t="shared" si="0"/>
        <v>0</v>
      </c>
      <c r="JS13" s="80"/>
      <c r="JT13" s="80"/>
      <c r="JU13" s="80">
        <f t="shared" si="1"/>
        <v>0</v>
      </c>
      <c r="JW13" s="80"/>
      <c r="JX13" s="80"/>
      <c r="JY13" s="80">
        <f t="shared" si="2"/>
        <v>0</v>
      </c>
      <c r="KA13" s="80"/>
      <c r="KB13" s="80"/>
      <c r="KC13" s="80">
        <f t="shared" si="3"/>
        <v>0</v>
      </c>
      <c r="KE13" s="80"/>
      <c r="KF13" s="80"/>
      <c r="KG13" s="80">
        <f t="shared" si="4"/>
        <v>0</v>
      </c>
      <c r="KI13" s="80"/>
      <c r="KJ13" s="80"/>
      <c r="KK13" s="80">
        <f t="shared" si="5"/>
        <v>0</v>
      </c>
      <c r="KM13" s="80"/>
      <c r="KN13" s="80"/>
      <c r="KO13" s="80">
        <f t="shared" si="6"/>
        <v>0</v>
      </c>
    </row>
    <row r="14" ht="18.75" customHeight="1" spans="2:301" x14ac:dyDescent="0.25">
      <c r="B14" s="5" t="str">
        <f>A.IIOPEX!C14</f>
        <v>1e</v>
      </c>
      <c r="C14" s="29"/>
      <c r="D14" s="29">
        <f>A.IIOPEX!E14</f>
        <v>0</v>
      </c>
      <c r="E14" s="30"/>
      <c r="F14" s="51">
        <v>1</v>
      </c>
      <c r="G14" s="51"/>
      <c r="H14" s="51">
        <f>A.IIOPEX!I14</f>
        <v>0</v>
      </c>
      <c r="I14" s="54"/>
      <c r="J14" s="51">
        <f t="shared" si="7"/>
        <v>0.8</v>
      </c>
      <c r="K14" s="51">
        <f t="shared" si="7"/>
        <v>0</v>
      </c>
      <c r="L14" s="51">
        <f t="shared" si="8"/>
        <v>0</v>
      </c>
      <c r="M14" s="54"/>
      <c r="N14" s="51">
        <f t="shared" si="9"/>
        <v>0.8</v>
      </c>
      <c r="O14" s="51">
        <f t="shared" si="9"/>
        <v>0</v>
      </c>
      <c r="P14" s="51">
        <f t="shared" si="10"/>
        <v>0</v>
      </c>
      <c r="Q14" s="54"/>
      <c r="R14" s="51">
        <f t="shared" si="11"/>
        <v>0.8</v>
      </c>
      <c r="S14" s="51">
        <f t="shared" si="11"/>
        <v>0</v>
      </c>
      <c r="T14" s="51">
        <f t="shared" si="12"/>
        <v>0</v>
      </c>
      <c r="U14" s="54"/>
      <c r="V14" s="51">
        <f t="shared" si="13"/>
        <v>0.8</v>
      </c>
      <c r="W14" s="51">
        <f t="shared" si="13"/>
        <v>0</v>
      </c>
      <c r="X14" s="51">
        <f t="shared" si="14"/>
        <v>0</v>
      </c>
      <c r="Y14" s="54"/>
      <c r="Z14" s="51">
        <f t="shared" si="15"/>
        <v>0.8</v>
      </c>
      <c r="AA14" s="51">
        <f t="shared" si="15"/>
        <v>0</v>
      </c>
      <c r="AB14" s="51">
        <f t="shared" si="16"/>
        <v>0</v>
      </c>
      <c r="AC14" s="54"/>
      <c r="AD14" s="51">
        <f t="shared" si="17"/>
        <v>0.8</v>
      </c>
      <c r="AE14" s="51">
        <f t="shared" si="18"/>
        <v>0</v>
      </c>
      <c r="AF14" s="51">
        <f t="shared" si="18"/>
        <v>0</v>
      </c>
      <c r="AG14" s="54"/>
      <c r="AH14" s="51">
        <f t="shared" si="19"/>
        <v>1.08</v>
      </c>
      <c r="AI14" s="51">
        <f t="shared" si="20"/>
        <v>0</v>
      </c>
      <c r="AJ14" s="51">
        <f t="shared" si="20"/>
        <v>0</v>
      </c>
      <c r="AK14" s="54"/>
      <c r="AL14" s="51">
        <f t="shared" si="21"/>
        <v>1.08</v>
      </c>
      <c r="AM14" s="51">
        <f t="shared" si="22"/>
        <v>0</v>
      </c>
      <c r="AN14" s="51">
        <f t="shared" si="22"/>
        <v>0</v>
      </c>
      <c r="AO14" s="54"/>
      <c r="AP14" s="51">
        <f t="shared" si="23"/>
        <v>1.08</v>
      </c>
      <c r="AQ14" s="51">
        <f t="shared" si="24"/>
        <v>0</v>
      </c>
      <c r="AR14" s="51">
        <f t="shared" si="24"/>
        <v>0</v>
      </c>
      <c r="AS14" s="54"/>
      <c r="AT14" s="51">
        <f t="shared" si="25"/>
        <v>1.08</v>
      </c>
      <c r="AU14" s="51">
        <f t="shared" si="26"/>
        <v>0</v>
      </c>
      <c r="AV14" s="51">
        <f t="shared" si="26"/>
        <v>0</v>
      </c>
      <c r="AW14" s="54"/>
      <c r="AX14" s="51">
        <f t="shared" si="27"/>
        <v>1.08</v>
      </c>
      <c r="AY14" s="51">
        <f t="shared" si="28"/>
        <v>0</v>
      </c>
      <c r="AZ14" s="51">
        <f t="shared" si="28"/>
        <v>0</v>
      </c>
      <c r="BA14" s="54"/>
      <c r="BB14" s="51">
        <f t="shared" si="29"/>
        <v>1.08</v>
      </c>
      <c r="BC14" s="51">
        <f t="shared" si="30"/>
        <v>0</v>
      </c>
      <c r="BD14" s="51">
        <f t="shared" si="30"/>
        <v>0</v>
      </c>
      <c r="BE14" s="54"/>
      <c r="BF14" s="51">
        <f t="shared" si="31"/>
        <v>1.08</v>
      </c>
      <c r="BG14" s="51">
        <f t="shared" si="32"/>
        <v>0</v>
      </c>
      <c r="BH14" s="51">
        <f t="shared" si="32"/>
        <v>0</v>
      </c>
      <c r="BI14" s="54"/>
      <c r="BJ14" s="51">
        <f t="shared" si="33"/>
        <v>1.08</v>
      </c>
      <c r="BK14" s="51">
        <f t="shared" si="34"/>
        <v>0</v>
      </c>
      <c r="BL14" s="51">
        <f t="shared" si="34"/>
        <v>0</v>
      </c>
      <c r="BM14" s="54"/>
      <c r="BN14" s="51">
        <f t="shared" si="35"/>
        <v>1.08</v>
      </c>
      <c r="BO14" s="51">
        <f t="shared" si="36"/>
        <v>0</v>
      </c>
      <c r="BP14" s="51">
        <f t="shared" si="36"/>
        <v>0</v>
      </c>
      <c r="BQ14" s="54"/>
      <c r="BR14" s="51">
        <f t="shared" si="37"/>
        <v>1.08</v>
      </c>
      <c r="BS14" s="51">
        <f t="shared" si="38"/>
        <v>0</v>
      </c>
      <c r="BT14" s="51">
        <f t="shared" si="38"/>
        <v>0</v>
      </c>
      <c r="BU14" s="54"/>
      <c r="BV14" s="51">
        <f t="shared" si="39"/>
        <v>1.08</v>
      </c>
      <c r="BW14" s="51">
        <f t="shared" si="40"/>
        <v>0</v>
      </c>
      <c r="BX14" s="51">
        <f t="shared" si="40"/>
        <v>0</v>
      </c>
      <c r="BY14" s="54"/>
      <c r="BZ14" s="51">
        <f t="shared" si="41"/>
        <v>1.08</v>
      </c>
      <c r="CA14" s="51">
        <f t="shared" si="42"/>
        <v>0</v>
      </c>
      <c r="CB14" s="51">
        <f t="shared" si="42"/>
        <v>0</v>
      </c>
      <c r="CC14" s="54"/>
      <c r="CD14" s="51">
        <f t="shared" si="43"/>
        <v>3.7800000000000002</v>
      </c>
      <c r="CE14" s="51">
        <f t="shared" si="44"/>
        <v>0</v>
      </c>
      <c r="CF14" s="51">
        <f t="shared" si="44"/>
        <v>0</v>
      </c>
      <c r="CG14" s="54"/>
      <c r="CH14" s="51">
        <f t="shared" si="45"/>
        <v>3.7800000000000002</v>
      </c>
      <c r="CI14" s="51">
        <f t="shared" si="46"/>
        <v>0</v>
      </c>
      <c r="CJ14" s="51">
        <f t="shared" si="46"/>
        <v>0</v>
      </c>
      <c r="CK14" s="54"/>
      <c r="CL14" s="51">
        <f t="shared" si="47"/>
        <v>3.7800000000000002</v>
      </c>
      <c r="CM14" s="51">
        <f t="shared" si="48"/>
        <v>0</v>
      </c>
      <c r="CN14" s="51">
        <f t="shared" si="48"/>
        <v>0</v>
      </c>
      <c r="CO14" s="54"/>
      <c r="CP14" s="51">
        <f t="shared" si="49"/>
        <v>3.7800000000000002</v>
      </c>
      <c r="CQ14" s="51">
        <f t="shared" si="50"/>
        <v>0</v>
      </c>
      <c r="CR14" s="51">
        <f t="shared" si="50"/>
        <v>0</v>
      </c>
      <c r="CS14" s="54"/>
      <c r="CT14" s="51">
        <f t="shared" si="51"/>
        <v>3.7800000000000002</v>
      </c>
      <c r="CU14" s="51">
        <f t="shared" si="52"/>
        <v>0</v>
      </c>
      <c r="CV14" s="51">
        <f t="shared" si="52"/>
        <v>0</v>
      </c>
      <c r="CW14" s="54"/>
      <c r="CX14" s="51">
        <f t="shared" si="53"/>
        <v>3.7800000000000002</v>
      </c>
      <c r="CY14" s="51">
        <f t="shared" si="54"/>
        <v>0</v>
      </c>
      <c r="CZ14" s="51">
        <f t="shared" si="54"/>
        <v>0</v>
      </c>
      <c r="DA14" s="54"/>
      <c r="DB14" s="51">
        <f t="shared" si="55"/>
        <v>3.7800000000000002</v>
      </c>
      <c r="DC14" s="51">
        <f t="shared" si="56"/>
        <v>0</v>
      </c>
      <c r="DD14" s="51">
        <f t="shared" si="56"/>
        <v>0</v>
      </c>
      <c r="DE14" s="54"/>
      <c r="DF14" s="51">
        <f t="shared" si="57"/>
        <v>3.7800000000000002</v>
      </c>
      <c r="DG14" s="51">
        <f t="shared" si="58"/>
        <v>0</v>
      </c>
      <c r="DH14" s="51">
        <f t="shared" si="58"/>
        <v>0</v>
      </c>
      <c r="DI14" s="54"/>
      <c r="DJ14" s="51">
        <f t="shared" si="59"/>
        <v>3.7800000000000002</v>
      </c>
      <c r="DK14" s="51">
        <f t="shared" si="60"/>
        <v>0</v>
      </c>
      <c r="DL14" s="51">
        <f t="shared" si="60"/>
        <v>0</v>
      </c>
      <c r="DM14" s="54"/>
      <c r="DN14" s="51">
        <f t="shared" si="61"/>
        <v>3.7800000000000002</v>
      </c>
      <c r="DO14" s="51">
        <f t="shared" si="62"/>
        <v>0</v>
      </c>
      <c r="DP14" s="51">
        <f t="shared" si="62"/>
        <v>0</v>
      </c>
      <c r="DQ14" s="54"/>
      <c r="DR14" s="51">
        <f t="shared" si="63"/>
        <v>3.7800000000000002</v>
      </c>
      <c r="DS14" s="51">
        <f t="shared" si="64"/>
        <v>0</v>
      </c>
      <c r="DT14" s="51">
        <f t="shared" si="64"/>
        <v>0</v>
      </c>
      <c r="DU14" s="54"/>
      <c r="DV14" s="51">
        <f t="shared" si="65"/>
        <v>3.7800000000000002</v>
      </c>
      <c r="DW14" s="51">
        <f t="shared" si="66"/>
        <v>0</v>
      </c>
      <c r="DX14" s="51">
        <f t="shared" si="66"/>
        <v>0</v>
      </c>
      <c r="DY14" s="54"/>
      <c r="DZ14" s="51">
        <f t="shared" si="67"/>
        <v>18.144000000000002</v>
      </c>
      <c r="EA14" s="51">
        <f t="shared" si="68"/>
        <v>0</v>
      </c>
      <c r="EB14" s="51">
        <f t="shared" si="68"/>
        <v>0</v>
      </c>
      <c r="EC14" s="54"/>
      <c r="ED14" s="51">
        <f t="shared" si="69"/>
        <v>18.144000000000002</v>
      </c>
      <c r="EE14" s="51">
        <f t="shared" si="70"/>
        <v>0</v>
      </c>
      <c r="EF14" s="51">
        <f t="shared" si="70"/>
        <v>0</v>
      </c>
      <c r="EG14" s="54"/>
      <c r="EH14" s="51">
        <f t="shared" si="71"/>
        <v>18.144000000000002</v>
      </c>
      <c r="EI14" s="51">
        <f t="shared" si="72"/>
        <v>0</v>
      </c>
      <c r="EJ14" s="51">
        <f t="shared" si="72"/>
        <v>0</v>
      </c>
      <c r="EK14" s="54"/>
      <c r="EL14" s="51">
        <f t="shared" si="73"/>
        <v>18.144000000000002</v>
      </c>
      <c r="EM14" s="51">
        <f t="shared" si="74"/>
        <v>0</v>
      </c>
      <c r="EN14" s="51">
        <f t="shared" si="74"/>
        <v>0</v>
      </c>
      <c r="EO14" s="54"/>
      <c r="EP14" s="51">
        <f t="shared" si="75"/>
        <v>18.144000000000002</v>
      </c>
      <c r="EQ14" s="51">
        <f t="shared" si="76"/>
        <v>0</v>
      </c>
      <c r="ER14" s="51">
        <f t="shared" si="76"/>
        <v>0</v>
      </c>
      <c r="ES14" s="54"/>
      <c r="ET14" s="51">
        <f t="shared" si="77"/>
        <v>18.144000000000002</v>
      </c>
      <c r="EU14" s="51">
        <f t="shared" si="78"/>
        <v>0</v>
      </c>
      <c r="EV14" s="51">
        <f t="shared" si="78"/>
        <v>0</v>
      </c>
      <c r="EW14" s="54"/>
      <c r="EX14" s="51">
        <f t="shared" si="79"/>
        <v>18.144000000000002</v>
      </c>
      <c r="EY14" s="51">
        <f t="shared" si="80"/>
        <v>0</v>
      </c>
      <c r="EZ14" s="51">
        <f t="shared" si="80"/>
        <v>0</v>
      </c>
      <c r="FA14" s="54"/>
      <c r="FB14" s="51">
        <f t="shared" si="81"/>
        <v>18.144000000000002</v>
      </c>
      <c r="FC14" s="51">
        <f t="shared" si="82"/>
        <v>0</v>
      </c>
      <c r="FD14" s="51">
        <f t="shared" si="82"/>
        <v>0</v>
      </c>
      <c r="FE14" s="54"/>
      <c r="FF14" s="51">
        <f t="shared" si="83"/>
        <v>18.144000000000002</v>
      </c>
      <c r="FG14" s="51">
        <f t="shared" si="84"/>
        <v>0</v>
      </c>
      <c r="FH14" s="51">
        <f t="shared" si="84"/>
        <v>0</v>
      </c>
      <c r="FI14" s="54"/>
      <c r="FJ14" s="51">
        <f t="shared" si="85"/>
        <v>25.401600000000002</v>
      </c>
      <c r="FK14" s="51">
        <f t="shared" si="86"/>
        <v>0</v>
      </c>
      <c r="FL14" s="51">
        <f t="shared" si="86"/>
        <v>0</v>
      </c>
      <c r="FM14" s="54"/>
      <c r="FN14" s="51">
        <f t="shared" si="87"/>
        <v>25.401600000000002</v>
      </c>
      <c r="FO14" s="51">
        <f t="shared" si="88"/>
        <v>0</v>
      </c>
      <c r="FP14" s="51">
        <f t="shared" si="88"/>
        <v>0</v>
      </c>
      <c r="FQ14" s="54"/>
      <c r="FR14" s="51">
        <f t="shared" si="89"/>
        <v>25.401600000000002</v>
      </c>
      <c r="FS14" s="51">
        <f t="shared" si="90"/>
        <v>0</v>
      </c>
      <c r="FT14" s="51">
        <f t="shared" si="90"/>
        <v>0</v>
      </c>
      <c r="FU14" s="54"/>
      <c r="FV14" s="51">
        <f t="shared" si="91"/>
        <v>25.401600000000002</v>
      </c>
      <c r="FW14" s="51">
        <f t="shared" si="92"/>
        <v>0</v>
      </c>
      <c r="FX14" s="51">
        <f t="shared" si="92"/>
        <v>0</v>
      </c>
      <c r="FY14" s="54"/>
      <c r="FZ14" s="51">
        <f t="shared" si="93"/>
        <v>25.401600000000002</v>
      </c>
      <c r="GA14" s="51">
        <f t="shared" si="94"/>
        <v>0</v>
      </c>
      <c r="GB14" s="51">
        <f t="shared" si="94"/>
        <v>0</v>
      </c>
      <c r="GC14" s="54"/>
      <c r="GD14" s="51">
        <f t="shared" si="95"/>
        <v>25.401600000000002</v>
      </c>
      <c r="GE14" s="51">
        <f t="shared" si="96"/>
        <v>0</v>
      </c>
      <c r="GF14" s="51">
        <f t="shared" si="96"/>
        <v>0</v>
      </c>
      <c r="GG14" s="54"/>
      <c r="GH14" s="51">
        <f t="shared" si="97"/>
        <v>25.401600000000002</v>
      </c>
      <c r="GI14" s="51">
        <f t="shared" si="98"/>
        <v>0</v>
      </c>
      <c r="GJ14" s="51">
        <f t="shared" si="98"/>
        <v>0</v>
      </c>
      <c r="GK14" s="54"/>
      <c r="GL14" s="51">
        <f t="shared" si="99"/>
        <v>25.401600000000002</v>
      </c>
      <c r="GM14" s="51">
        <f t="shared" si="100"/>
        <v>0</v>
      </c>
      <c r="GN14" s="51">
        <f t="shared" si="100"/>
        <v>0</v>
      </c>
      <c r="GO14" s="54"/>
      <c r="GP14" s="51">
        <f t="shared" si="101"/>
        <v>25.401600000000002</v>
      </c>
      <c r="GQ14" s="51">
        <f t="shared" si="102"/>
        <v>0</v>
      </c>
      <c r="GR14" s="51">
        <f t="shared" si="102"/>
        <v>0</v>
      </c>
      <c r="GS14" s="54"/>
      <c r="GT14" s="51">
        <f t="shared" si="103"/>
        <v>25.401600000000002</v>
      </c>
      <c r="GU14" s="51">
        <f t="shared" si="104"/>
        <v>0</v>
      </c>
      <c r="GV14" s="51">
        <f t="shared" si="104"/>
        <v>0</v>
      </c>
      <c r="GW14" s="54"/>
      <c r="GX14" s="51">
        <f t="shared" si="105"/>
        <v>25.401600000000002</v>
      </c>
      <c r="GY14" s="51">
        <f t="shared" si="106"/>
        <v>0</v>
      </c>
      <c r="GZ14" s="51">
        <f t="shared" si="106"/>
        <v>0</v>
      </c>
      <c r="HA14" s="54"/>
      <c r="HB14" s="51">
        <f t="shared" si="107"/>
        <v>25.401600000000002</v>
      </c>
      <c r="HC14" s="51">
        <f t="shared" si="108"/>
        <v>0</v>
      </c>
      <c r="HD14" s="51">
        <f t="shared" si="108"/>
        <v>0</v>
      </c>
      <c r="HE14" s="54"/>
      <c r="HF14" s="51">
        <f t="shared" si="109"/>
        <v>34.29216</v>
      </c>
      <c r="HG14" s="51">
        <f t="shared" si="110"/>
        <v>0</v>
      </c>
      <c r="HH14" s="51">
        <f t="shared" si="110"/>
        <v>0</v>
      </c>
      <c r="HI14" s="54"/>
      <c r="HJ14" s="51">
        <f t="shared" si="111"/>
        <v>34.29216</v>
      </c>
      <c r="HK14" s="51">
        <f t="shared" si="112"/>
        <v>0</v>
      </c>
      <c r="HL14" s="51">
        <f t="shared" si="112"/>
        <v>0</v>
      </c>
      <c r="HM14" s="54"/>
      <c r="HN14" s="51">
        <f t="shared" si="113"/>
        <v>34.29216</v>
      </c>
      <c r="HO14" s="51">
        <f t="shared" si="114"/>
        <v>0</v>
      </c>
      <c r="HP14" s="51">
        <f t="shared" si="114"/>
        <v>0</v>
      </c>
      <c r="HQ14" s="54"/>
      <c r="HR14" s="51">
        <f t="shared" si="115"/>
        <v>34.29216</v>
      </c>
      <c r="HS14" s="51">
        <f t="shared" si="116"/>
        <v>0</v>
      </c>
      <c r="HT14" s="51">
        <f t="shared" si="116"/>
        <v>0</v>
      </c>
      <c r="HU14" s="54"/>
      <c r="HV14" s="51">
        <f t="shared" si="117"/>
        <v>34.29216</v>
      </c>
      <c r="HW14" s="51">
        <f t="shared" si="118"/>
        <v>0</v>
      </c>
      <c r="HX14" s="51">
        <f t="shared" si="118"/>
        <v>0</v>
      </c>
      <c r="HY14" s="54"/>
      <c r="HZ14" s="51">
        <f t="shared" si="119"/>
        <v>34.29216</v>
      </c>
      <c r="IA14" s="51">
        <f t="shared" si="120"/>
        <v>0</v>
      </c>
      <c r="IB14" s="51">
        <f t="shared" si="120"/>
        <v>0</v>
      </c>
      <c r="IC14" s="54"/>
      <c r="ID14" s="51">
        <f t="shared" si="121"/>
        <v>34.29216</v>
      </c>
      <c r="IE14" s="51">
        <f t="shared" si="122"/>
        <v>0</v>
      </c>
      <c r="IF14" s="51">
        <f t="shared" si="122"/>
        <v>0</v>
      </c>
      <c r="IG14" s="54"/>
      <c r="IH14" s="51">
        <f t="shared" si="123"/>
        <v>34.29216</v>
      </c>
      <c r="II14" s="51">
        <f t="shared" si="124"/>
        <v>0</v>
      </c>
      <c r="IJ14" s="51">
        <f t="shared" si="124"/>
        <v>0</v>
      </c>
      <c r="IK14" s="54"/>
      <c r="IL14" s="51">
        <f t="shared" si="125"/>
        <v>34.29216</v>
      </c>
      <c r="IM14" s="51">
        <f t="shared" si="126"/>
        <v>0</v>
      </c>
      <c r="IN14" s="51">
        <f t="shared" si="126"/>
        <v>0</v>
      </c>
      <c r="IO14" s="54"/>
      <c r="IP14" s="51">
        <f t="shared" si="127"/>
        <v>34.29216</v>
      </c>
      <c r="IQ14" s="51">
        <f t="shared" si="128"/>
        <v>0</v>
      </c>
      <c r="IR14" s="51">
        <f t="shared" si="128"/>
        <v>0</v>
      </c>
      <c r="IS14" s="54"/>
      <c r="IT14" s="51">
        <f t="shared" si="129"/>
        <v>34.29216</v>
      </c>
      <c r="IU14" s="51">
        <f t="shared" si="130"/>
        <v>0</v>
      </c>
      <c r="IV14" s="51">
        <f t="shared" si="130"/>
        <v>0</v>
      </c>
      <c r="IW14" s="54"/>
      <c r="IX14" s="51">
        <f t="shared" si="131"/>
        <v>34.29216</v>
      </c>
      <c r="IY14" s="51">
        <f t="shared" si="132"/>
        <v>0</v>
      </c>
      <c r="IZ14" s="51">
        <f t="shared" si="132"/>
        <v>0</v>
      </c>
      <c r="JA14" s="54"/>
      <c r="JB14" s="51" t="e">
        <f t="shared" si="133"/>
        <v>#REF!</v>
      </c>
      <c r="JC14" s="51">
        <f t="shared" si="134"/>
        <v>0</v>
      </c>
      <c r="JD14" s="51">
        <f t="shared" si="134"/>
        <v>0</v>
      </c>
      <c r="JE14" s="54"/>
      <c r="JF14" s="51" t="e">
        <f t="shared" si="135"/>
        <v>#REF!</v>
      </c>
      <c r="JG14" s="51">
        <f t="shared" si="136"/>
        <v>0</v>
      </c>
      <c r="JH14" s="51">
        <f t="shared" si="136"/>
        <v>0</v>
      </c>
      <c r="JI14" s="54"/>
      <c r="JJ14" s="51" t="e">
        <f t="shared" si="137"/>
        <v>#REF!</v>
      </c>
      <c r="JK14" s="51">
        <f t="shared" si="138"/>
        <v>0</v>
      </c>
      <c r="JL14" s="51">
        <f t="shared" si="138"/>
        <v>0</v>
      </c>
      <c r="JM14" s="54"/>
      <c r="JO14" s="80"/>
      <c r="JP14" s="80"/>
      <c r="JQ14" s="80">
        <f t="shared" si="0"/>
        <v>0</v>
      </c>
      <c r="JS14" s="80"/>
      <c r="JT14" s="80"/>
      <c r="JU14" s="80">
        <f t="shared" si="1"/>
        <v>0</v>
      </c>
      <c r="JW14" s="80"/>
      <c r="JX14" s="80"/>
      <c r="JY14" s="80">
        <f t="shared" si="2"/>
        <v>0</v>
      </c>
      <c r="KA14" s="80"/>
      <c r="KB14" s="80"/>
      <c r="KC14" s="80">
        <f t="shared" si="3"/>
        <v>0</v>
      </c>
      <c r="KE14" s="80"/>
      <c r="KF14" s="80"/>
      <c r="KG14" s="80">
        <f t="shared" si="4"/>
        <v>0</v>
      </c>
      <c r="KI14" s="80"/>
      <c r="KJ14" s="80"/>
      <c r="KK14" s="80">
        <f t="shared" si="5"/>
        <v>0</v>
      </c>
      <c r="KM14" s="80"/>
      <c r="KN14" s="80"/>
      <c r="KO14" s="80">
        <f t="shared" si="6"/>
        <v>0</v>
      </c>
    </row>
    <row r="15" ht="18.75" customHeight="1" spans="2:301" x14ac:dyDescent="0.25">
      <c r="B15" s="5" t="str">
        <f>A.IIOPEX!C15</f>
        <v>1f</v>
      </c>
      <c r="C15" s="29"/>
      <c r="D15" s="29">
        <f>A.IIOPEX!E15</f>
        <v>0</v>
      </c>
      <c r="E15" s="30"/>
      <c r="F15" s="51">
        <v>1</v>
      </c>
      <c r="G15" s="51"/>
      <c r="H15" s="51">
        <f>A.IIOPEX!I15</f>
        <v>0</v>
      </c>
      <c r="I15" s="54"/>
      <c r="J15" s="51">
        <f t="shared" si="7"/>
        <v>0.8</v>
      </c>
      <c r="K15" s="51">
        <f t="shared" si="7"/>
        <v>0</v>
      </c>
      <c r="L15" s="51">
        <f t="shared" si="8"/>
        <v>0</v>
      </c>
      <c r="M15" s="54"/>
      <c r="N15" s="51">
        <f t="shared" si="9"/>
        <v>0.8</v>
      </c>
      <c r="O15" s="51">
        <f t="shared" si="9"/>
        <v>0</v>
      </c>
      <c r="P15" s="51">
        <f t="shared" si="10"/>
        <v>0</v>
      </c>
      <c r="Q15" s="54"/>
      <c r="R15" s="51">
        <f t="shared" si="11"/>
        <v>0.8</v>
      </c>
      <c r="S15" s="51">
        <f t="shared" si="11"/>
        <v>0</v>
      </c>
      <c r="T15" s="51">
        <f t="shared" si="12"/>
        <v>0</v>
      </c>
      <c r="U15" s="54"/>
      <c r="V15" s="51">
        <f t="shared" si="13"/>
        <v>0.8</v>
      </c>
      <c r="W15" s="51">
        <f t="shared" si="13"/>
        <v>0</v>
      </c>
      <c r="X15" s="51">
        <f t="shared" si="14"/>
        <v>0</v>
      </c>
      <c r="Y15" s="54"/>
      <c r="Z15" s="51">
        <f t="shared" si="15"/>
        <v>0.8</v>
      </c>
      <c r="AA15" s="51">
        <f t="shared" si="15"/>
        <v>0</v>
      </c>
      <c r="AB15" s="51">
        <f t="shared" si="16"/>
        <v>0</v>
      </c>
      <c r="AC15" s="54"/>
      <c r="AD15" s="51">
        <f t="shared" si="17"/>
        <v>0.8</v>
      </c>
      <c r="AE15" s="51">
        <f t="shared" si="18"/>
        <v>0</v>
      </c>
      <c r="AF15" s="51">
        <f t="shared" si="18"/>
        <v>0</v>
      </c>
      <c r="AG15" s="54"/>
      <c r="AH15" s="51">
        <f t="shared" si="19"/>
        <v>1.08</v>
      </c>
      <c r="AI15" s="51">
        <f t="shared" si="20"/>
        <v>0</v>
      </c>
      <c r="AJ15" s="51">
        <f t="shared" si="20"/>
        <v>0</v>
      </c>
      <c r="AK15" s="54"/>
      <c r="AL15" s="51">
        <f t="shared" si="21"/>
        <v>1.08</v>
      </c>
      <c r="AM15" s="51">
        <f t="shared" si="22"/>
        <v>0</v>
      </c>
      <c r="AN15" s="51">
        <f t="shared" si="22"/>
        <v>0</v>
      </c>
      <c r="AO15" s="54"/>
      <c r="AP15" s="51">
        <f t="shared" si="23"/>
        <v>1.08</v>
      </c>
      <c r="AQ15" s="51">
        <f t="shared" si="24"/>
        <v>0</v>
      </c>
      <c r="AR15" s="51">
        <f t="shared" si="24"/>
        <v>0</v>
      </c>
      <c r="AS15" s="54"/>
      <c r="AT15" s="51">
        <f t="shared" si="25"/>
        <v>1.08</v>
      </c>
      <c r="AU15" s="51">
        <f t="shared" si="26"/>
        <v>0</v>
      </c>
      <c r="AV15" s="51">
        <f t="shared" si="26"/>
        <v>0</v>
      </c>
      <c r="AW15" s="54"/>
      <c r="AX15" s="51">
        <f t="shared" si="27"/>
        <v>1.08</v>
      </c>
      <c r="AY15" s="51">
        <f t="shared" si="28"/>
        <v>0</v>
      </c>
      <c r="AZ15" s="51">
        <f t="shared" si="28"/>
        <v>0</v>
      </c>
      <c r="BA15" s="54"/>
      <c r="BB15" s="51">
        <f t="shared" si="29"/>
        <v>1.08</v>
      </c>
      <c r="BC15" s="51">
        <f t="shared" si="30"/>
        <v>0</v>
      </c>
      <c r="BD15" s="51">
        <f t="shared" si="30"/>
        <v>0</v>
      </c>
      <c r="BE15" s="54"/>
      <c r="BF15" s="51">
        <f t="shared" si="31"/>
        <v>1.08</v>
      </c>
      <c r="BG15" s="51">
        <f t="shared" si="32"/>
        <v>0</v>
      </c>
      <c r="BH15" s="51">
        <f t="shared" si="32"/>
        <v>0</v>
      </c>
      <c r="BI15" s="54"/>
      <c r="BJ15" s="51">
        <f t="shared" si="33"/>
        <v>1.08</v>
      </c>
      <c r="BK15" s="51">
        <f t="shared" si="34"/>
        <v>0</v>
      </c>
      <c r="BL15" s="51">
        <f t="shared" si="34"/>
        <v>0</v>
      </c>
      <c r="BM15" s="54"/>
      <c r="BN15" s="51">
        <f t="shared" si="35"/>
        <v>1.08</v>
      </c>
      <c r="BO15" s="51">
        <f t="shared" si="36"/>
        <v>0</v>
      </c>
      <c r="BP15" s="51">
        <f t="shared" si="36"/>
        <v>0</v>
      </c>
      <c r="BQ15" s="54"/>
      <c r="BR15" s="51">
        <f t="shared" si="37"/>
        <v>1.08</v>
      </c>
      <c r="BS15" s="51">
        <f t="shared" si="38"/>
        <v>0</v>
      </c>
      <c r="BT15" s="51">
        <f t="shared" si="38"/>
        <v>0</v>
      </c>
      <c r="BU15" s="54"/>
      <c r="BV15" s="51">
        <f t="shared" si="39"/>
        <v>1.08</v>
      </c>
      <c r="BW15" s="51">
        <f t="shared" si="40"/>
        <v>0</v>
      </c>
      <c r="BX15" s="51">
        <f t="shared" si="40"/>
        <v>0</v>
      </c>
      <c r="BY15" s="54"/>
      <c r="BZ15" s="51">
        <f t="shared" si="41"/>
        <v>1.08</v>
      </c>
      <c r="CA15" s="51">
        <f t="shared" si="42"/>
        <v>0</v>
      </c>
      <c r="CB15" s="51">
        <f t="shared" si="42"/>
        <v>0</v>
      </c>
      <c r="CC15" s="54"/>
      <c r="CD15" s="51">
        <f t="shared" si="43"/>
        <v>3.7800000000000002</v>
      </c>
      <c r="CE15" s="51">
        <f t="shared" si="44"/>
        <v>0</v>
      </c>
      <c r="CF15" s="51">
        <f t="shared" si="44"/>
        <v>0</v>
      </c>
      <c r="CG15" s="54"/>
      <c r="CH15" s="51">
        <f t="shared" si="45"/>
        <v>3.7800000000000002</v>
      </c>
      <c r="CI15" s="51">
        <f t="shared" si="46"/>
        <v>0</v>
      </c>
      <c r="CJ15" s="51">
        <f t="shared" si="46"/>
        <v>0</v>
      </c>
      <c r="CK15" s="54"/>
      <c r="CL15" s="51">
        <f t="shared" si="47"/>
        <v>3.7800000000000002</v>
      </c>
      <c r="CM15" s="51">
        <f t="shared" si="48"/>
        <v>0</v>
      </c>
      <c r="CN15" s="51">
        <f t="shared" si="48"/>
        <v>0</v>
      </c>
      <c r="CO15" s="54"/>
      <c r="CP15" s="51">
        <f t="shared" si="49"/>
        <v>3.7800000000000002</v>
      </c>
      <c r="CQ15" s="51">
        <f t="shared" si="50"/>
        <v>0</v>
      </c>
      <c r="CR15" s="51">
        <f t="shared" si="50"/>
        <v>0</v>
      </c>
      <c r="CS15" s="54"/>
      <c r="CT15" s="51">
        <f t="shared" si="51"/>
        <v>3.7800000000000002</v>
      </c>
      <c r="CU15" s="51">
        <f t="shared" si="52"/>
        <v>0</v>
      </c>
      <c r="CV15" s="51">
        <f t="shared" si="52"/>
        <v>0</v>
      </c>
      <c r="CW15" s="54"/>
      <c r="CX15" s="51">
        <f t="shared" si="53"/>
        <v>3.7800000000000002</v>
      </c>
      <c r="CY15" s="51">
        <f t="shared" si="54"/>
        <v>0</v>
      </c>
      <c r="CZ15" s="51">
        <f t="shared" si="54"/>
        <v>0</v>
      </c>
      <c r="DA15" s="54"/>
      <c r="DB15" s="51">
        <f t="shared" si="55"/>
        <v>3.7800000000000002</v>
      </c>
      <c r="DC15" s="51">
        <f t="shared" si="56"/>
        <v>0</v>
      </c>
      <c r="DD15" s="51">
        <f t="shared" si="56"/>
        <v>0</v>
      </c>
      <c r="DE15" s="54"/>
      <c r="DF15" s="51">
        <f t="shared" si="57"/>
        <v>3.7800000000000002</v>
      </c>
      <c r="DG15" s="51">
        <f t="shared" si="58"/>
        <v>0</v>
      </c>
      <c r="DH15" s="51">
        <f t="shared" si="58"/>
        <v>0</v>
      </c>
      <c r="DI15" s="54"/>
      <c r="DJ15" s="51">
        <f t="shared" si="59"/>
        <v>3.7800000000000002</v>
      </c>
      <c r="DK15" s="51">
        <f t="shared" si="60"/>
        <v>0</v>
      </c>
      <c r="DL15" s="51">
        <f t="shared" si="60"/>
        <v>0</v>
      </c>
      <c r="DM15" s="54"/>
      <c r="DN15" s="51">
        <f t="shared" si="61"/>
        <v>3.7800000000000002</v>
      </c>
      <c r="DO15" s="51">
        <f t="shared" si="62"/>
        <v>0</v>
      </c>
      <c r="DP15" s="51">
        <f t="shared" si="62"/>
        <v>0</v>
      </c>
      <c r="DQ15" s="54"/>
      <c r="DR15" s="51">
        <f t="shared" si="63"/>
        <v>3.7800000000000002</v>
      </c>
      <c r="DS15" s="51">
        <f t="shared" si="64"/>
        <v>0</v>
      </c>
      <c r="DT15" s="51">
        <f t="shared" si="64"/>
        <v>0</v>
      </c>
      <c r="DU15" s="54"/>
      <c r="DV15" s="51">
        <f t="shared" si="65"/>
        <v>3.7800000000000002</v>
      </c>
      <c r="DW15" s="51">
        <f t="shared" si="66"/>
        <v>0</v>
      </c>
      <c r="DX15" s="51">
        <f t="shared" si="66"/>
        <v>0</v>
      </c>
      <c r="DY15" s="54"/>
      <c r="DZ15" s="51">
        <f t="shared" si="67"/>
        <v>18.144000000000002</v>
      </c>
      <c r="EA15" s="51">
        <f t="shared" si="68"/>
        <v>0</v>
      </c>
      <c r="EB15" s="51">
        <f t="shared" si="68"/>
        <v>0</v>
      </c>
      <c r="EC15" s="54"/>
      <c r="ED15" s="51">
        <f t="shared" si="69"/>
        <v>18.144000000000002</v>
      </c>
      <c r="EE15" s="51">
        <f t="shared" si="70"/>
        <v>0</v>
      </c>
      <c r="EF15" s="51">
        <f t="shared" si="70"/>
        <v>0</v>
      </c>
      <c r="EG15" s="54"/>
      <c r="EH15" s="51">
        <f t="shared" si="71"/>
        <v>18.144000000000002</v>
      </c>
      <c r="EI15" s="51">
        <f t="shared" si="72"/>
        <v>0</v>
      </c>
      <c r="EJ15" s="51">
        <f t="shared" si="72"/>
        <v>0</v>
      </c>
      <c r="EK15" s="54"/>
      <c r="EL15" s="51">
        <f t="shared" si="73"/>
        <v>18.144000000000002</v>
      </c>
      <c r="EM15" s="51">
        <f t="shared" si="74"/>
        <v>0</v>
      </c>
      <c r="EN15" s="51">
        <f t="shared" si="74"/>
        <v>0</v>
      </c>
      <c r="EO15" s="54"/>
      <c r="EP15" s="51">
        <f t="shared" si="75"/>
        <v>18.144000000000002</v>
      </c>
      <c r="EQ15" s="51">
        <f t="shared" si="76"/>
        <v>0</v>
      </c>
      <c r="ER15" s="51">
        <f t="shared" si="76"/>
        <v>0</v>
      </c>
      <c r="ES15" s="54"/>
      <c r="ET15" s="51">
        <f t="shared" si="77"/>
        <v>18.144000000000002</v>
      </c>
      <c r="EU15" s="51">
        <f t="shared" si="78"/>
        <v>0</v>
      </c>
      <c r="EV15" s="51">
        <f t="shared" si="78"/>
        <v>0</v>
      </c>
      <c r="EW15" s="54"/>
      <c r="EX15" s="51">
        <f t="shared" si="79"/>
        <v>18.144000000000002</v>
      </c>
      <c r="EY15" s="51">
        <f t="shared" si="80"/>
        <v>0</v>
      </c>
      <c r="EZ15" s="51">
        <f t="shared" si="80"/>
        <v>0</v>
      </c>
      <c r="FA15" s="54"/>
      <c r="FB15" s="51">
        <f t="shared" si="81"/>
        <v>18.144000000000002</v>
      </c>
      <c r="FC15" s="51">
        <f t="shared" si="82"/>
        <v>0</v>
      </c>
      <c r="FD15" s="51">
        <f t="shared" si="82"/>
        <v>0</v>
      </c>
      <c r="FE15" s="54"/>
      <c r="FF15" s="51">
        <f t="shared" si="83"/>
        <v>18.144000000000002</v>
      </c>
      <c r="FG15" s="51">
        <f t="shared" si="84"/>
        <v>0</v>
      </c>
      <c r="FH15" s="51">
        <f t="shared" si="84"/>
        <v>0</v>
      </c>
      <c r="FI15" s="54"/>
      <c r="FJ15" s="51">
        <f t="shared" si="85"/>
        <v>25.401600000000002</v>
      </c>
      <c r="FK15" s="51">
        <f t="shared" si="86"/>
        <v>0</v>
      </c>
      <c r="FL15" s="51">
        <f t="shared" si="86"/>
        <v>0</v>
      </c>
      <c r="FM15" s="54"/>
      <c r="FN15" s="51">
        <f t="shared" si="87"/>
        <v>25.401600000000002</v>
      </c>
      <c r="FO15" s="51">
        <f t="shared" si="88"/>
        <v>0</v>
      </c>
      <c r="FP15" s="51">
        <f t="shared" si="88"/>
        <v>0</v>
      </c>
      <c r="FQ15" s="54"/>
      <c r="FR15" s="51">
        <f t="shared" si="89"/>
        <v>25.401600000000002</v>
      </c>
      <c r="FS15" s="51">
        <f t="shared" si="90"/>
        <v>0</v>
      </c>
      <c r="FT15" s="51">
        <f t="shared" si="90"/>
        <v>0</v>
      </c>
      <c r="FU15" s="54"/>
      <c r="FV15" s="51">
        <f t="shared" si="91"/>
        <v>25.401600000000002</v>
      </c>
      <c r="FW15" s="51">
        <f t="shared" si="92"/>
        <v>0</v>
      </c>
      <c r="FX15" s="51">
        <f t="shared" si="92"/>
        <v>0</v>
      </c>
      <c r="FY15" s="54"/>
      <c r="FZ15" s="51">
        <f t="shared" si="93"/>
        <v>25.401600000000002</v>
      </c>
      <c r="GA15" s="51">
        <f t="shared" si="94"/>
        <v>0</v>
      </c>
      <c r="GB15" s="51">
        <f t="shared" si="94"/>
        <v>0</v>
      </c>
      <c r="GC15" s="54"/>
      <c r="GD15" s="51">
        <f t="shared" si="95"/>
        <v>25.401600000000002</v>
      </c>
      <c r="GE15" s="51">
        <f t="shared" si="96"/>
        <v>0</v>
      </c>
      <c r="GF15" s="51">
        <f t="shared" si="96"/>
        <v>0</v>
      </c>
      <c r="GG15" s="54"/>
      <c r="GH15" s="51">
        <f t="shared" si="97"/>
        <v>25.401600000000002</v>
      </c>
      <c r="GI15" s="51">
        <f t="shared" si="98"/>
        <v>0</v>
      </c>
      <c r="GJ15" s="51">
        <f t="shared" si="98"/>
        <v>0</v>
      </c>
      <c r="GK15" s="54"/>
      <c r="GL15" s="51">
        <f t="shared" si="99"/>
        <v>25.401600000000002</v>
      </c>
      <c r="GM15" s="51">
        <f t="shared" si="100"/>
        <v>0</v>
      </c>
      <c r="GN15" s="51">
        <f t="shared" si="100"/>
        <v>0</v>
      </c>
      <c r="GO15" s="54"/>
      <c r="GP15" s="51">
        <f t="shared" si="101"/>
        <v>25.401600000000002</v>
      </c>
      <c r="GQ15" s="51">
        <f t="shared" si="102"/>
        <v>0</v>
      </c>
      <c r="GR15" s="51">
        <f t="shared" si="102"/>
        <v>0</v>
      </c>
      <c r="GS15" s="54"/>
      <c r="GT15" s="51">
        <f t="shared" si="103"/>
        <v>25.401600000000002</v>
      </c>
      <c r="GU15" s="51">
        <f t="shared" si="104"/>
        <v>0</v>
      </c>
      <c r="GV15" s="51">
        <f t="shared" si="104"/>
        <v>0</v>
      </c>
      <c r="GW15" s="54"/>
      <c r="GX15" s="51">
        <f t="shared" si="105"/>
        <v>25.401600000000002</v>
      </c>
      <c r="GY15" s="51">
        <f t="shared" si="106"/>
        <v>0</v>
      </c>
      <c r="GZ15" s="51">
        <f t="shared" si="106"/>
        <v>0</v>
      </c>
      <c r="HA15" s="54"/>
      <c r="HB15" s="51">
        <f t="shared" si="107"/>
        <v>25.401600000000002</v>
      </c>
      <c r="HC15" s="51">
        <f t="shared" si="108"/>
        <v>0</v>
      </c>
      <c r="HD15" s="51">
        <f t="shared" si="108"/>
        <v>0</v>
      </c>
      <c r="HE15" s="54"/>
      <c r="HF15" s="51">
        <f t="shared" si="109"/>
        <v>34.29216</v>
      </c>
      <c r="HG15" s="51">
        <f t="shared" si="110"/>
        <v>0</v>
      </c>
      <c r="HH15" s="51">
        <f t="shared" si="110"/>
        <v>0</v>
      </c>
      <c r="HI15" s="54"/>
      <c r="HJ15" s="51">
        <f t="shared" si="111"/>
        <v>34.29216</v>
      </c>
      <c r="HK15" s="51">
        <f t="shared" si="112"/>
        <v>0</v>
      </c>
      <c r="HL15" s="51">
        <f t="shared" si="112"/>
        <v>0</v>
      </c>
      <c r="HM15" s="54"/>
      <c r="HN15" s="51">
        <f t="shared" si="113"/>
        <v>34.29216</v>
      </c>
      <c r="HO15" s="51">
        <f t="shared" si="114"/>
        <v>0</v>
      </c>
      <c r="HP15" s="51">
        <f t="shared" si="114"/>
        <v>0</v>
      </c>
      <c r="HQ15" s="54"/>
      <c r="HR15" s="51">
        <f t="shared" si="115"/>
        <v>34.29216</v>
      </c>
      <c r="HS15" s="51">
        <f t="shared" si="116"/>
        <v>0</v>
      </c>
      <c r="HT15" s="51">
        <f t="shared" si="116"/>
        <v>0</v>
      </c>
      <c r="HU15" s="54"/>
      <c r="HV15" s="51">
        <f t="shared" si="117"/>
        <v>34.29216</v>
      </c>
      <c r="HW15" s="51">
        <f t="shared" si="118"/>
        <v>0</v>
      </c>
      <c r="HX15" s="51">
        <f t="shared" si="118"/>
        <v>0</v>
      </c>
      <c r="HY15" s="54"/>
      <c r="HZ15" s="51">
        <f t="shared" si="119"/>
        <v>34.29216</v>
      </c>
      <c r="IA15" s="51">
        <f t="shared" si="120"/>
        <v>0</v>
      </c>
      <c r="IB15" s="51">
        <f t="shared" si="120"/>
        <v>0</v>
      </c>
      <c r="IC15" s="54"/>
      <c r="ID15" s="51">
        <f t="shared" si="121"/>
        <v>34.29216</v>
      </c>
      <c r="IE15" s="51">
        <f t="shared" si="122"/>
        <v>0</v>
      </c>
      <c r="IF15" s="51">
        <f t="shared" si="122"/>
        <v>0</v>
      </c>
      <c r="IG15" s="54"/>
      <c r="IH15" s="51">
        <f t="shared" si="123"/>
        <v>34.29216</v>
      </c>
      <c r="II15" s="51">
        <f t="shared" si="124"/>
        <v>0</v>
      </c>
      <c r="IJ15" s="51">
        <f t="shared" si="124"/>
        <v>0</v>
      </c>
      <c r="IK15" s="54"/>
      <c r="IL15" s="51">
        <f t="shared" si="125"/>
        <v>34.29216</v>
      </c>
      <c r="IM15" s="51">
        <f t="shared" si="126"/>
        <v>0</v>
      </c>
      <c r="IN15" s="51">
        <f t="shared" si="126"/>
        <v>0</v>
      </c>
      <c r="IO15" s="54"/>
      <c r="IP15" s="51">
        <f t="shared" si="127"/>
        <v>34.29216</v>
      </c>
      <c r="IQ15" s="51">
        <f t="shared" si="128"/>
        <v>0</v>
      </c>
      <c r="IR15" s="51">
        <f t="shared" si="128"/>
        <v>0</v>
      </c>
      <c r="IS15" s="54"/>
      <c r="IT15" s="51">
        <f t="shared" si="129"/>
        <v>34.29216</v>
      </c>
      <c r="IU15" s="51">
        <f t="shared" si="130"/>
        <v>0</v>
      </c>
      <c r="IV15" s="51">
        <f t="shared" si="130"/>
        <v>0</v>
      </c>
      <c r="IW15" s="54"/>
      <c r="IX15" s="51">
        <f t="shared" si="131"/>
        <v>34.29216</v>
      </c>
      <c r="IY15" s="51">
        <f t="shared" si="132"/>
        <v>0</v>
      </c>
      <c r="IZ15" s="51">
        <f t="shared" si="132"/>
        <v>0</v>
      </c>
      <c r="JA15" s="54"/>
      <c r="JB15" s="51" t="e">
        <f t="shared" si="133"/>
        <v>#REF!</v>
      </c>
      <c r="JC15" s="51">
        <f t="shared" si="134"/>
        <v>0</v>
      </c>
      <c r="JD15" s="51">
        <f t="shared" si="134"/>
        <v>0</v>
      </c>
      <c r="JE15" s="54"/>
      <c r="JF15" s="51" t="e">
        <f t="shared" si="135"/>
        <v>#REF!</v>
      </c>
      <c r="JG15" s="51">
        <f t="shared" si="136"/>
        <v>0</v>
      </c>
      <c r="JH15" s="51">
        <f t="shared" si="136"/>
        <v>0</v>
      </c>
      <c r="JI15" s="54"/>
      <c r="JJ15" s="51" t="e">
        <f t="shared" si="137"/>
        <v>#REF!</v>
      </c>
      <c r="JK15" s="51">
        <f t="shared" si="138"/>
        <v>0</v>
      </c>
      <c r="JL15" s="51">
        <f t="shared" si="138"/>
        <v>0</v>
      </c>
      <c r="JM15" s="54"/>
      <c r="JO15" s="80"/>
      <c r="JP15" s="80"/>
      <c r="JQ15" s="80">
        <f t="shared" si="0"/>
        <v>0</v>
      </c>
      <c r="JS15" s="80"/>
      <c r="JT15" s="80"/>
      <c r="JU15" s="80">
        <f t="shared" si="1"/>
        <v>0</v>
      </c>
      <c r="JW15" s="80"/>
      <c r="JX15" s="80"/>
      <c r="JY15" s="80">
        <f t="shared" si="2"/>
        <v>0</v>
      </c>
      <c r="KA15" s="80"/>
      <c r="KB15" s="80"/>
      <c r="KC15" s="80">
        <f t="shared" si="3"/>
        <v>0</v>
      </c>
      <c r="KE15" s="80"/>
      <c r="KF15" s="80"/>
      <c r="KG15" s="80">
        <f t="shared" si="4"/>
        <v>0</v>
      </c>
      <c r="KI15" s="80"/>
      <c r="KJ15" s="80"/>
      <c r="KK15" s="80">
        <f t="shared" si="5"/>
        <v>0</v>
      </c>
      <c r="KM15" s="80"/>
      <c r="KN15" s="80"/>
      <c r="KO15" s="80">
        <f t="shared" si="6"/>
        <v>0</v>
      </c>
    </row>
    <row r="16" ht="18.75" customHeight="1" spans="2:301" x14ac:dyDescent="0.25">
      <c r="B16" s="5" t="str">
        <f>A.IIOPEX!C16</f>
        <v>1g</v>
      </c>
      <c r="C16" s="29"/>
      <c r="D16" s="29">
        <f>A.IIOPEX!E16</f>
        <v>0</v>
      </c>
      <c r="E16" s="30"/>
      <c r="F16" s="51">
        <v>1</v>
      </c>
      <c r="G16" s="51"/>
      <c r="H16" s="51">
        <f>A.IIOPEX!I16</f>
        <v>0</v>
      </c>
      <c r="I16" s="54"/>
      <c r="J16" s="51">
        <f t="shared" si="7"/>
        <v>0.8</v>
      </c>
      <c r="K16" s="51">
        <f t="shared" si="7"/>
        <v>0</v>
      </c>
      <c r="L16" s="51">
        <f t="shared" si="8"/>
        <v>0</v>
      </c>
      <c r="M16" s="54"/>
      <c r="N16" s="51">
        <f t="shared" si="9"/>
        <v>0.8</v>
      </c>
      <c r="O16" s="51">
        <f t="shared" si="9"/>
        <v>0</v>
      </c>
      <c r="P16" s="51">
        <f t="shared" si="10"/>
        <v>0</v>
      </c>
      <c r="Q16" s="54"/>
      <c r="R16" s="51">
        <f t="shared" si="11"/>
        <v>0.8</v>
      </c>
      <c r="S16" s="51">
        <f t="shared" si="11"/>
        <v>0</v>
      </c>
      <c r="T16" s="51">
        <f t="shared" si="12"/>
        <v>0</v>
      </c>
      <c r="U16" s="54"/>
      <c r="V16" s="51">
        <f t="shared" si="13"/>
        <v>0.8</v>
      </c>
      <c r="W16" s="51">
        <f t="shared" si="13"/>
        <v>0</v>
      </c>
      <c r="X16" s="51">
        <f t="shared" si="14"/>
        <v>0</v>
      </c>
      <c r="Y16" s="54"/>
      <c r="Z16" s="51">
        <f t="shared" si="15"/>
        <v>0.8</v>
      </c>
      <c r="AA16" s="51">
        <f t="shared" si="15"/>
        <v>0</v>
      </c>
      <c r="AB16" s="51">
        <f t="shared" si="16"/>
        <v>0</v>
      </c>
      <c r="AC16" s="54"/>
      <c r="AD16" s="51">
        <f t="shared" si="17"/>
        <v>0.8</v>
      </c>
      <c r="AE16" s="51">
        <f t="shared" si="18"/>
        <v>0</v>
      </c>
      <c r="AF16" s="51">
        <f t="shared" si="18"/>
        <v>0</v>
      </c>
      <c r="AG16" s="54"/>
      <c r="AH16" s="51">
        <f t="shared" si="19"/>
        <v>1.08</v>
      </c>
      <c r="AI16" s="51">
        <f t="shared" si="20"/>
        <v>0</v>
      </c>
      <c r="AJ16" s="51">
        <f t="shared" si="20"/>
        <v>0</v>
      </c>
      <c r="AK16" s="54"/>
      <c r="AL16" s="51">
        <f t="shared" si="21"/>
        <v>1.08</v>
      </c>
      <c r="AM16" s="51">
        <f t="shared" si="22"/>
        <v>0</v>
      </c>
      <c r="AN16" s="51">
        <f t="shared" si="22"/>
        <v>0</v>
      </c>
      <c r="AO16" s="54"/>
      <c r="AP16" s="51">
        <f t="shared" si="23"/>
        <v>1.08</v>
      </c>
      <c r="AQ16" s="51">
        <f t="shared" si="24"/>
        <v>0</v>
      </c>
      <c r="AR16" s="51">
        <f t="shared" si="24"/>
        <v>0</v>
      </c>
      <c r="AS16" s="54"/>
      <c r="AT16" s="51">
        <f t="shared" si="25"/>
        <v>1.08</v>
      </c>
      <c r="AU16" s="51">
        <f t="shared" si="26"/>
        <v>0</v>
      </c>
      <c r="AV16" s="51">
        <f t="shared" si="26"/>
        <v>0</v>
      </c>
      <c r="AW16" s="54"/>
      <c r="AX16" s="51">
        <f t="shared" si="27"/>
        <v>1.08</v>
      </c>
      <c r="AY16" s="51">
        <f t="shared" si="28"/>
        <v>0</v>
      </c>
      <c r="AZ16" s="51">
        <f t="shared" si="28"/>
        <v>0</v>
      </c>
      <c r="BA16" s="54"/>
      <c r="BB16" s="51">
        <f t="shared" si="29"/>
        <v>1.08</v>
      </c>
      <c r="BC16" s="51">
        <f t="shared" si="30"/>
        <v>0</v>
      </c>
      <c r="BD16" s="51">
        <f t="shared" si="30"/>
        <v>0</v>
      </c>
      <c r="BE16" s="54"/>
      <c r="BF16" s="51">
        <f t="shared" si="31"/>
        <v>1.08</v>
      </c>
      <c r="BG16" s="51">
        <f t="shared" si="32"/>
        <v>0</v>
      </c>
      <c r="BH16" s="51">
        <f t="shared" si="32"/>
        <v>0</v>
      </c>
      <c r="BI16" s="54"/>
      <c r="BJ16" s="51">
        <f t="shared" si="33"/>
        <v>1.08</v>
      </c>
      <c r="BK16" s="51">
        <f t="shared" si="34"/>
        <v>0</v>
      </c>
      <c r="BL16" s="51">
        <f t="shared" si="34"/>
        <v>0</v>
      </c>
      <c r="BM16" s="54"/>
      <c r="BN16" s="51">
        <f t="shared" si="35"/>
        <v>1.08</v>
      </c>
      <c r="BO16" s="51">
        <f t="shared" si="36"/>
        <v>0</v>
      </c>
      <c r="BP16" s="51">
        <f t="shared" si="36"/>
        <v>0</v>
      </c>
      <c r="BQ16" s="54"/>
      <c r="BR16" s="51">
        <f t="shared" si="37"/>
        <v>1.08</v>
      </c>
      <c r="BS16" s="51">
        <f t="shared" si="38"/>
        <v>0</v>
      </c>
      <c r="BT16" s="51">
        <f t="shared" si="38"/>
        <v>0</v>
      </c>
      <c r="BU16" s="54"/>
      <c r="BV16" s="51">
        <f t="shared" si="39"/>
        <v>1.08</v>
      </c>
      <c r="BW16" s="51">
        <f t="shared" si="40"/>
        <v>0</v>
      </c>
      <c r="BX16" s="51">
        <f t="shared" si="40"/>
        <v>0</v>
      </c>
      <c r="BY16" s="54"/>
      <c r="BZ16" s="51">
        <f t="shared" si="41"/>
        <v>1.08</v>
      </c>
      <c r="CA16" s="51">
        <f t="shared" si="42"/>
        <v>0</v>
      </c>
      <c r="CB16" s="51">
        <f t="shared" si="42"/>
        <v>0</v>
      </c>
      <c r="CC16" s="54"/>
      <c r="CD16" s="51">
        <f t="shared" si="43"/>
        <v>3.7800000000000002</v>
      </c>
      <c r="CE16" s="51">
        <f t="shared" si="44"/>
        <v>0</v>
      </c>
      <c r="CF16" s="51">
        <f t="shared" si="44"/>
        <v>0</v>
      </c>
      <c r="CG16" s="54"/>
      <c r="CH16" s="51">
        <f t="shared" si="45"/>
        <v>3.7800000000000002</v>
      </c>
      <c r="CI16" s="51">
        <f t="shared" si="46"/>
        <v>0</v>
      </c>
      <c r="CJ16" s="51">
        <f t="shared" si="46"/>
        <v>0</v>
      </c>
      <c r="CK16" s="54"/>
      <c r="CL16" s="51">
        <f t="shared" si="47"/>
        <v>3.7800000000000002</v>
      </c>
      <c r="CM16" s="51">
        <f t="shared" si="48"/>
        <v>0</v>
      </c>
      <c r="CN16" s="51">
        <f t="shared" si="48"/>
        <v>0</v>
      </c>
      <c r="CO16" s="54"/>
      <c r="CP16" s="51">
        <f t="shared" si="49"/>
        <v>3.7800000000000002</v>
      </c>
      <c r="CQ16" s="51">
        <f t="shared" si="50"/>
        <v>0</v>
      </c>
      <c r="CR16" s="51">
        <f t="shared" si="50"/>
        <v>0</v>
      </c>
      <c r="CS16" s="54"/>
      <c r="CT16" s="51">
        <f t="shared" si="51"/>
        <v>3.7800000000000002</v>
      </c>
      <c r="CU16" s="51">
        <f t="shared" si="52"/>
        <v>0</v>
      </c>
      <c r="CV16" s="51">
        <f t="shared" si="52"/>
        <v>0</v>
      </c>
      <c r="CW16" s="54"/>
      <c r="CX16" s="51">
        <f t="shared" si="53"/>
        <v>3.7800000000000002</v>
      </c>
      <c r="CY16" s="51">
        <f t="shared" si="54"/>
        <v>0</v>
      </c>
      <c r="CZ16" s="51">
        <f t="shared" si="54"/>
        <v>0</v>
      </c>
      <c r="DA16" s="54"/>
      <c r="DB16" s="51">
        <f t="shared" si="55"/>
        <v>3.7800000000000002</v>
      </c>
      <c r="DC16" s="51">
        <f t="shared" si="56"/>
        <v>0</v>
      </c>
      <c r="DD16" s="51">
        <f t="shared" si="56"/>
        <v>0</v>
      </c>
      <c r="DE16" s="54"/>
      <c r="DF16" s="51">
        <f t="shared" si="57"/>
        <v>3.7800000000000002</v>
      </c>
      <c r="DG16" s="51">
        <f t="shared" si="58"/>
        <v>0</v>
      </c>
      <c r="DH16" s="51">
        <f t="shared" si="58"/>
        <v>0</v>
      </c>
      <c r="DI16" s="54"/>
      <c r="DJ16" s="51">
        <f t="shared" si="59"/>
        <v>3.7800000000000002</v>
      </c>
      <c r="DK16" s="51">
        <f t="shared" si="60"/>
        <v>0</v>
      </c>
      <c r="DL16" s="51">
        <f t="shared" si="60"/>
        <v>0</v>
      </c>
      <c r="DM16" s="54"/>
      <c r="DN16" s="51">
        <f t="shared" si="61"/>
        <v>3.7800000000000002</v>
      </c>
      <c r="DO16" s="51">
        <f t="shared" si="62"/>
        <v>0</v>
      </c>
      <c r="DP16" s="51">
        <f t="shared" si="62"/>
        <v>0</v>
      </c>
      <c r="DQ16" s="54"/>
      <c r="DR16" s="51">
        <f t="shared" si="63"/>
        <v>3.7800000000000002</v>
      </c>
      <c r="DS16" s="51">
        <f t="shared" si="64"/>
        <v>0</v>
      </c>
      <c r="DT16" s="51">
        <f t="shared" si="64"/>
        <v>0</v>
      </c>
      <c r="DU16" s="54"/>
      <c r="DV16" s="51">
        <f t="shared" si="65"/>
        <v>3.7800000000000002</v>
      </c>
      <c r="DW16" s="51">
        <f t="shared" si="66"/>
        <v>0</v>
      </c>
      <c r="DX16" s="51">
        <f t="shared" si="66"/>
        <v>0</v>
      </c>
      <c r="DY16" s="54"/>
      <c r="DZ16" s="51">
        <f t="shared" si="67"/>
        <v>18.144000000000002</v>
      </c>
      <c r="EA16" s="51">
        <f t="shared" si="68"/>
        <v>0</v>
      </c>
      <c r="EB16" s="51">
        <f t="shared" si="68"/>
        <v>0</v>
      </c>
      <c r="EC16" s="54"/>
      <c r="ED16" s="51">
        <f t="shared" si="69"/>
        <v>18.144000000000002</v>
      </c>
      <c r="EE16" s="51">
        <f t="shared" si="70"/>
        <v>0</v>
      </c>
      <c r="EF16" s="51">
        <f t="shared" si="70"/>
        <v>0</v>
      </c>
      <c r="EG16" s="54"/>
      <c r="EH16" s="51">
        <f t="shared" si="71"/>
        <v>18.144000000000002</v>
      </c>
      <c r="EI16" s="51">
        <f t="shared" si="72"/>
        <v>0</v>
      </c>
      <c r="EJ16" s="51">
        <f t="shared" si="72"/>
        <v>0</v>
      </c>
      <c r="EK16" s="54"/>
      <c r="EL16" s="51">
        <f t="shared" si="73"/>
        <v>18.144000000000002</v>
      </c>
      <c r="EM16" s="51">
        <f t="shared" si="74"/>
        <v>0</v>
      </c>
      <c r="EN16" s="51">
        <f t="shared" si="74"/>
        <v>0</v>
      </c>
      <c r="EO16" s="54"/>
      <c r="EP16" s="51">
        <f t="shared" si="75"/>
        <v>18.144000000000002</v>
      </c>
      <c r="EQ16" s="51">
        <f t="shared" si="76"/>
        <v>0</v>
      </c>
      <c r="ER16" s="51">
        <f t="shared" si="76"/>
        <v>0</v>
      </c>
      <c r="ES16" s="54"/>
      <c r="ET16" s="51">
        <f t="shared" si="77"/>
        <v>18.144000000000002</v>
      </c>
      <c r="EU16" s="51">
        <f t="shared" si="78"/>
        <v>0</v>
      </c>
      <c r="EV16" s="51">
        <f t="shared" si="78"/>
        <v>0</v>
      </c>
      <c r="EW16" s="54"/>
      <c r="EX16" s="51">
        <f t="shared" si="79"/>
        <v>18.144000000000002</v>
      </c>
      <c r="EY16" s="51">
        <f t="shared" si="80"/>
        <v>0</v>
      </c>
      <c r="EZ16" s="51">
        <f t="shared" si="80"/>
        <v>0</v>
      </c>
      <c r="FA16" s="54"/>
      <c r="FB16" s="51">
        <f t="shared" si="81"/>
        <v>18.144000000000002</v>
      </c>
      <c r="FC16" s="51">
        <f t="shared" si="82"/>
        <v>0</v>
      </c>
      <c r="FD16" s="51">
        <f t="shared" si="82"/>
        <v>0</v>
      </c>
      <c r="FE16" s="54"/>
      <c r="FF16" s="51">
        <f t="shared" si="83"/>
        <v>18.144000000000002</v>
      </c>
      <c r="FG16" s="51">
        <f t="shared" si="84"/>
        <v>0</v>
      </c>
      <c r="FH16" s="51">
        <f t="shared" si="84"/>
        <v>0</v>
      </c>
      <c r="FI16" s="54"/>
      <c r="FJ16" s="51">
        <f t="shared" si="85"/>
        <v>25.401600000000002</v>
      </c>
      <c r="FK16" s="51">
        <f t="shared" si="86"/>
        <v>0</v>
      </c>
      <c r="FL16" s="51">
        <f t="shared" si="86"/>
        <v>0</v>
      </c>
      <c r="FM16" s="54"/>
      <c r="FN16" s="51">
        <f t="shared" si="87"/>
        <v>25.401600000000002</v>
      </c>
      <c r="FO16" s="51">
        <f t="shared" si="88"/>
        <v>0</v>
      </c>
      <c r="FP16" s="51">
        <f t="shared" si="88"/>
        <v>0</v>
      </c>
      <c r="FQ16" s="54"/>
      <c r="FR16" s="51">
        <f t="shared" si="89"/>
        <v>25.401600000000002</v>
      </c>
      <c r="FS16" s="51">
        <f t="shared" si="90"/>
        <v>0</v>
      </c>
      <c r="FT16" s="51">
        <f t="shared" si="90"/>
        <v>0</v>
      </c>
      <c r="FU16" s="54"/>
      <c r="FV16" s="51">
        <f t="shared" si="91"/>
        <v>25.401600000000002</v>
      </c>
      <c r="FW16" s="51">
        <f t="shared" si="92"/>
        <v>0</v>
      </c>
      <c r="FX16" s="51">
        <f t="shared" si="92"/>
        <v>0</v>
      </c>
      <c r="FY16" s="54"/>
      <c r="FZ16" s="51">
        <f t="shared" si="93"/>
        <v>25.401600000000002</v>
      </c>
      <c r="GA16" s="51">
        <f t="shared" si="94"/>
        <v>0</v>
      </c>
      <c r="GB16" s="51">
        <f t="shared" si="94"/>
        <v>0</v>
      </c>
      <c r="GC16" s="54"/>
      <c r="GD16" s="51">
        <f t="shared" si="95"/>
        <v>25.401600000000002</v>
      </c>
      <c r="GE16" s="51">
        <f t="shared" si="96"/>
        <v>0</v>
      </c>
      <c r="GF16" s="51">
        <f t="shared" si="96"/>
        <v>0</v>
      </c>
      <c r="GG16" s="54"/>
      <c r="GH16" s="51">
        <f t="shared" si="97"/>
        <v>25.401600000000002</v>
      </c>
      <c r="GI16" s="51">
        <f t="shared" si="98"/>
        <v>0</v>
      </c>
      <c r="GJ16" s="51">
        <f t="shared" si="98"/>
        <v>0</v>
      </c>
      <c r="GK16" s="54"/>
      <c r="GL16" s="51">
        <f t="shared" si="99"/>
        <v>25.401600000000002</v>
      </c>
      <c r="GM16" s="51">
        <f t="shared" si="100"/>
        <v>0</v>
      </c>
      <c r="GN16" s="51">
        <f t="shared" si="100"/>
        <v>0</v>
      </c>
      <c r="GO16" s="54"/>
      <c r="GP16" s="51">
        <f t="shared" si="101"/>
        <v>25.401600000000002</v>
      </c>
      <c r="GQ16" s="51">
        <f t="shared" si="102"/>
        <v>0</v>
      </c>
      <c r="GR16" s="51">
        <f t="shared" si="102"/>
        <v>0</v>
      </c>
      <c r="GS16" s="54"/>
      <c r="GT16" s="51">
        <f t="shared" si="103"/>
        <v>25.401600000000002</v>
      </c>
      <c r="GU16" s="51">
        <f t="shared" si="104"/>
        <v>0</v>
      </c>
      <c r="GV16" s="51">
        <f t="shared" si="104"/>
        <v>0</v>
      </c>
      <c r="GW16" s="54"/>
      <c r="GX16" s="51">
        <f t="shared" si="105"/>
        <v>25.401600000000002</v>
      </c>
      <c r="GY16" s="51">
        <f t="shared" si="106"/>
        <v>0</v>
      </c>
      <c r="GZ16" s="51">
        <f t="shared" si="106"/>
        <v>0</v>
      </c>
      <c r="HA16" s="54"/>
      <c r="HB16" s="51">
        <f t="shared" si="107"/>
        <v>25.401600000000002</v>
      </c>
      <c r="HC16" s="51">
        <f t="shared" si="108"/>
        <v>0</v>
      </c>
      <c r="HD16" s="51">
        <f t="shared" si="108"/>
        <v>0</v>
      </c>
      <c r="HE16" s="54"/>
      <c r="HF16" s="51">
        <f t="shared" si="109"/>
        <v>34.29216</v>
      </c>
      <c r="HG16" s="51">
        <f t="shared" si="110"/>
        <v>0</v>
      </c>
      <c r="HH16" s="51">
        <f t="shared" si="110"/>
        <v>0</v>
      </c>
      <c r="HI16" s="54"/>
      <c r="HJ16" s="51">
        <f t="shared" si="111"/>
        <v>34.29216</v>
      </c>
      <c r="HK16" s="51">
        <f t="shared" si="112"/>
        <v>0</v>
      </c>
      <c r="HL16" s="51">
        <f t="shared" si="112"/>
        <v>0</v>
      </c>
      <c r="HM16" s="54"/>
      <c r="HN16" s="51">
        <f t="shared" si="113"/>
        <v>34.29216</v>
      </c>
      <c r="HO16" s="51">
        <f t="shared" si="114"/>
        <v>0</v>
      </c>
      <c r="HP16" s="51">
        <f t="shared" si="114"/>
        <v>0</v>
      </c>
      <c r="HQ16" s="54"/>
      <c r="HR16" s="51">
        <f t="shared" si="115"/>
        <v>34.29216</v>
      </c>
      <c r="HS16" s="51">
        <f t="shared" si="116"/>
        <v>0</v>
      </c>
      <c r="HT16" s="51">
        <f t="shared" si="116"/>
        <v>0</v>
      </c>
      <c r="HU16" s="54"/>
      <c r="HV16" s="51">
        <f t="shared" si="117"/>
        <v>34.29216</v>
      </c>
      <c r="HW16" s="51">
        <f t="shared" si="118"/>
        <v>0</v>
      </c>
      <c r="HX16" s="51">
        <f t="shared" si="118"/>
        <v>0</v>
      </c>
      <c r="HY16" s="54"/>
      <c r="HZ16" s="51">
        <f t="shared" si="119"/>
        <v>34.29216</v>
      </c>
      <c r="IA16" s="51">
        <f t="shared" si="120"/>
        <v>0</v>
      </c>
      <c r="IB16" s="51">
        <f t="shared" si="120"/>
        <v>0</v>
      </c>
      <c r="IC16" s="54"/>
      <c r="ID16" s="51">
        <f t="shared" si="121"/>
        <v>34.29216</v>
      </c>
      <c r="IE16" s="51">
        <f t="shared" si="122"/>
        <v>0</v>
      </c>
      <c r="IF16" s="51">
        <f t="shared" si="122"/>
        <v>0</v>
      </c>
      <c r="IG16" s="54"/>
      <c r="IH16" s="51">
        <f t="shared" si="123"/>
        <v>34.29216</v>
      </c>
      <c r="II16" s="51">
        <f t="shared" si="124"/>
        <v>0</v>
      </c>
      <c r="IJ16" s="51">
        <f t="shared" si="124"/>
        <v>0</v>
      </c>
      <c r="IK16" s="54"/>
      <c r="IL16" s="51">
        <f t="shared" si="125"/>
        <v>34.29216</v>
      </c>
      <c r="IM16" s="51">
        <f t="shared" si="126"/>
        <v>0</v>
      </c>
      <c r="IN16" s="51">
        <f t="shared" si="126"/>
        <v>0</v>
      </c>
      <c r="IO16" s="54"/>
      <c r="IP16" s="51">
        <f t="shared" si="127"/>
        <v>34.29216</v>
      </c>
      <c r="IQ16" s="51">
        <f t="shared" si="128"/>
        <v>0</v>
      </c>
      <c r="IR16" s="51">
        <f t="shared" si="128"/>
        <v>0</v>
      </c>
      <c r="IS16" s="54"/>
      <c r="IT16" s="51">
        <f t="shared" si="129"/>
        <v>34.29216</v>
      </c>
      <c r="IU16" s="51">
        <f t="shared" si="130"/>
        <v>0</v>
      </c>
      <c r="IV16" s="51">
        <f t="shared" si="130"/>
        <v>0</v>
      </c>
      <c r="IW16" s="54"/>
      <c r="IX16" s="51">
        <f t="shared" si="131"/>
        <v>34.29216</v>
      </c>
      <c r="IY16" s="51">
        <f t="shared" si="132"/>
        <v>0</v>
      </c>
      <c r="IZ16" s="51">
        <f t="shared" si="132"/>
        <v>0</v>
      </c>
      <c r="JA16" s="54"/>
      <c r="JB16" s="51" t="e">
        <f t="shared" si="133"/>
        <v>#REF!</v>
      </c>
      <c r="JC16" s="51">
        <f t="shared" si="134"/>
        <v>0</v>
      </c>
      <c r="JD16" s="51">
        <f t="shared" si="134"/>
        <v>0</v>
      </c>
      <c r="JE16" s="54"/>
      <c r="JF16" s="51" t="e">
        <f t="shared" si="135"/>
        <v>#REF!</v>
      </c>
      <c r="JG16" s="51">
        <f t="shared" si="136"/>
        <v>0</v>
      </c>
      <c r="JH16" s="51">
        <f t="shared" si="136"/>
        <v>0</v>
      </c>
      <c r="JI16" s="54"/>
      <c r="JJ16" s="51" t="e">
        <f t="shared" si="137"/>
        <v>#REF!</v>
      </c>
      <c r="JK16" s="51">
        <f t="shared" si="138"/>
        <v>0</v>
      </c>
      <c r="JL16" s="51">
        <f t="shared" si="138"/>
        <v>0</v>
      </c>
      <c r="JM16" s="54"/>
      <c r="JO16" s="80"/>
      <c r="JP16" s="80"/>
      <c r="JQ16" s="80">
        <f t="shared" si="0"/>
        <v>0</v>
      </c>
      <c r="JS16" s="80"/>
      <c r="JT16" s="80"/>
      <c r="JU16" s="80">
        <f t="shared" si="1"/>
        <v>0</v>
      </c>
      <c r="JW16" s="80"/>
      <c r="JX16" s="80"/>
      <c r="JY16" s="80">
        <f t="shared" si="2"/>
        <v>0</v>
      </c>
      <c r="KA16" s="80"/>
      <c r="KB16" s="80"/>
      <c r="KC16" s="80">
        <f t="shared" si="3"/>
        <v>0</v>
      </c>
      <c r="KE16" s="80"/>
      <c r="KF16" s="80"/>
      <c r="KG16" s="80">
        <f t="shared" si="4"/>
        <v>0</v>
      </c>
      <c r="KI16" s="80"/>
      <c r="KJ16" s="80"/>
      <c r="KK16" s="80">
        <f t="shared" si="5"/>
        <v>0</v>
      </c>
      <c r="KM16" s="80"/>
      <c r="KN16" s="80"/>
      <c r="KO16" s="80">
        <f t="shared" si="6"/>
        <v>0</v>
      </c>
    </row>
    <row r="17" ht="18.75" customHeight="1" spans="2:301" s="9" customFormat="1" x14ac:dyDescent="0.25">
      <c r="B17" s="34" t="s">
        <v>58</v>
      </c>
      <c r="C17" s="34"/>
      <c r="D17" s="34"/>
      <c r="E17" s="35"/>
      <c r="F17" s="81">
        <f>SUM(F10:F16)</f>
        <v>7</v>
      </c>
      <c r="G17" s="81"/>
      <c r="H17" s="81">
        <f>SUM(H10:H16)</f>
        <v>333333.3333333333</v>
      </c>
      <c r="I17" s="81"/>
      <c r="J17" s="81">
        <f>SUM(J10:J16)</f>
        <v>5.6</v>
      </c>
      <c r="K17" s="81"/>
      <c r="L17" s="81">
        <f>SUM(L10:L16)</f>
        <v>266666.6666666667</v>
      </c>
      <c r="M17" s="81"/>
      <c r="N17" s="81">
        <f>SUM(N10:N16)</f>
        <v>5.6</v>
      </c>
      <c r="O17" s="81"/>
      <c r="P17" s="81">
        <f>SUM(P10:P16)</f>
        <v>266666.6666666667</v>
      </c>
      <c r="Q17" s="81"/>
      <c r="R17" s="81">
        <f>SUM(R10:R16)</f>
        <v>5.6</v>
      </c>
      <c r="S17" s="81"/>
      <c r="T17" s="81">
        <f>SUM(T10:T16)</f>
        <v>266666.6666666667</v>
      </c>
      <c r="U17" s="81"/>
      <c r="V17" s="81">
        <f>SUM(V10:V16)</f>
        <v>5.6</v>
      </c>
      <c r="W17" s="81"/>
      <c r="X17" s="81">
        <f>SUM(X10:X16)</f>
        <v>266666.6666666667</v>
      </c>
      <c r="Y17" s="81"/>
      <c r="Z17" s="81">
        <f>SUM(Z10:Z16)</f>
        <v>5.6</v>
      </c>
      <c r="AA17" s="81"/>
      <c r="AB17" s="81">
        <f>SUM(AB10:AB16)</f>
        <v>266666.6666666667</v>
      </c>
      <c r="AC17" s="81"/>
      <c r="AD17" s="81">
        <f>SUM(AD10:AD16)</f>
        <v>5.6</v>
      </c>
      <c r="AE17" s="81"/>
      <c r="AF17" s="81">
        <f>SUM(AF10:AF16)</f>
        <v>266666.6666666667</v>
      </c>
      <c r="AG17" s="81"/>
      <c r="AH17" s="81">
        <f>SUM(AH10:AH16)</f>
        <v>7.5600000000000005</v>
      </c>
      <c r="AI17" s="81"/>
      <c r="AJ17" s="81">
        <f>SUM(AJ10:AJ16)</f>
        <v>360000</v>
      </c>
      <c r="AK17" s="81"/>
      <c r="AL17" s="81">
        <f>SUM(AL10:AL16)</f>
        <v>7.5600000000000005</v>
      </c>
      <c r="AM17" s="81"/>
      <c r="AN17" s="81">
        <f>SUM(AN10:AN16)</f>
        <v>360000</v>
      </c>
      <c r="AO17" s="81"/>
      <c r="AP17" s="81">
        <f>SUM(AP10:AP16)</f>
        <v>7.5600000000000005</v>
      </c>
      <c r="AQ17" s="81"/>
      <c r="AR17" s="81">
        <f>SUM(AR10:AR16)</f>
        <v>360000</v>
      </c>
      <c r="AS17" s="81"/>
      <c r="AT17" s="81">
        <f>SUM(AT10:AT16)</f>
        <v>7.5600000000000005</v>
      </c>
      <c r="AU17" s="81"/>
      <c r="AV17" s="81">
        <f>SUM(AV10:AV16)</f>
        <v>360000</v>
      </c>
      <c r="AW17" s="81"/>
      <c r="AX17" s="81">
        <f>SUM(AX10:AX16)</f>
        <v>7.5600000000000005</v>
      </c>
      <c r="AY17" s="81"/>
      <c r="AZ17" s="81">
        <f>SUM(AZ10:AZ16)</f>
        <v>360000</v>
      </c>
      <c r="BA17" s="81"/>
      <c r="BB17" s="81">
        <f>SUM(BB10:BB16)</f>
        <v>7.5600000000000005</v>
      </c>
      <c r="BC17" s="81"/>
      <c r="BD17" s="81">
        <f>SUM(BD10:BD16)</f>
        <v>360000</v>
      </c>
      <c r="BE17" s="81"/>
      <c r="BF17" s="81">
        <f>SUM(BF10:BF16)</f>
        <v>7.5600000000000005</v>
      </c>
      <c r="BG17" s="81"/>
      <c r="BH17" s="81">
        <f>SUM(BH10:BH16)</f>
        <v>360000</v>
      </c>
      <c r="BI17" s="81"/>
      <c r="BJ17" s="81">
        <f>SUM(BJ10:BJ16)</f>
        <v>7.5600000000000005</v>
      </c>
      <c r="BK17" s="81"/>
      <c r="BL17" s="81">
        <f>SUM(BL10:BL16)</f>
        <v>360000</v>
      </c>
      <c r="BM17" s="81"/>
      <c r="BN17" s="81">
        <f>SUM(BN10:BN16)</f>
        <v>7.5600000000000005</v>
      </c>
      <c r="BO17" s="81"/>
      <c r="BP17" s="81">
        <f>SUM(BP10:BP16)</f>
        <v>360000</v>
      </c>
      <c r="BQ17" s="81"/>
      <c r="BR17" s="81">
        <f>SUM(BR10:BR16)</f>
        <v>7.5600000000000005</v>
      </c>
      <c r="BS17" s="81"/>
      <c r="BT17" s="81">
        <f>SUM(BT10:BT16)</f>
        <v>360000</v>
      </c>
      <c r="BU17" s="81"/>
      <c r="BV17" s="81">
        <f>SUM(BV10:BV16)</f>
        <v>7.5600000000000005</v>
      </c>
      <c r="BW17" s="81"/>
      <c r="BX17" s="81">
        <f>SUM(BX10:BX16)</f>
        <v>360000</v>
      </c>
      <c r="BY17" s="81"/>
      <c r="BZ17" s="81">
        <f>SUM(BZ10:BZ16)</f>
        <v>7.5600000000000005</v>
      </c>
      <c r="CA17" s="81"/>
      <c r="CB17" s="81">
        <f>SUM(CB10:CB16)</f>
        <v>360000</v>
      </c>
      <c r="CC17" s="81"/>
      <c r="CD17" s="81">
        <f>SUM(CD10:CD16)</f>
        <v>26.460000000000004</v>
      </c>
      <c r="CE17" s="81"/>
      <c r="CF17" s="81">
        <f>SUM(CF10:CF16)</f>
        <v>1260000</v>
      </c>
      <c r="CG17" s="81"/>
      <c r="CH17" s="81">
        <f>SUM(CH10:CH16)</f>
        <v>26.460000000000004</v>
      </c>
      <c r="CI17" s="81"/>
      <c r="CJ17" s="81">
        <f>SUM(CJ10:CJ16)</f>
        <v>1260000</v>
      </c>
      <c r="CK17" s="81"/>
      <c r="CL17" s="81">
        <f>SUM(CL10:CL16)</f>
        <v>26.460000000000004</v>
      </c>
      <c r="CM17" s="81"/>
      <c r="CN17" s="81">
        <f>SUM(CN10:CN16)</f>
        <v>1260000</v>
      </c>
      <c r="CO17" s="81"/>
      <c r="CP17" s="81">
        <f>SUM(CP10:CP16)</f>
        <v>26.460000000000004</v>
      </c>
      <c r="CQ17" s="81"/>
      <c r="CR17" s="81">
        <f>SUM(CR10:CR16)</f>
        <v>1260000</v>
      </c>
      <c r="CS17" s="81"/>
      <c r="CT17" s="81">
        <f>SUM(CT10:CT16)</f>
        <v>26.460000000000004</v>
      </c>
      <c r="CU17" s="81"/>
      <c r="CV17" s="81">
        <f>SUM(CV10:CV16)</f>
        <v>1260000</v>
      </c>
      <c r="CW17" s="81"/>
      <c r="CX17" s="81">
        <f>SUM(CX10:CX16)</f>
        <v>26.460000000000004</v>
      </c>
      <c r="CY17" s="81"/>
      <c r="CZ17" s="81">
        <f>SUM(CZ10:CZ16)</f>
        <v>1260000</v>
      </c>
      <c r="DA17" s="81"/>
      <c r="DB17" s="81">
        <f>SUM(DB10:DB16)</f>
        <v>26.460000000000004</v>
      </c>
      <c r="DC17" s="81"/>
      <c r="DD17" s="81">
        <f>SUM(DD10:DD16)</f>
        <v>1260000</v>
      </c>
      <c r="DE17" s="81"/>
      <c r="DF17" s="81">
        <f>SUM(DF10:DF16)</f>
        <v>26.460000000000004</v>
      </c>
      <c r="DG17" s="81"/>
      <c r="DH17" s="81">
        <f>SUM(DH10:DH16)</f>
        <v>1260000</v>
      </c>
      <c r="DI17" s="81"/>
      <c r="DJ17" s="81">
        <f>SUM(DJ10:DJ16)</f>
        <v>26.460000000000004</v>
      </c>
      <c r="DK17" s="81"/>
      <c r="DL17" s="81">
        <f>SUM(DL10:DL16)</f>
        <v>1260000</v>
      </c>
      <c r="DM17" s="81"/>
      <c r="DN17" s="81">
        <f>SUM(DN10:DN16)</f>
        <v>26.460000000000004</v>
      </c>
      <c r="DO17" s="81"/>
      <c r="DP17" s="81">
        <f>SUM(DP10:DP16)</f>
        <v>1260000</v>
      </c>
      <c r="DQ17" s="81"/>
      <c r="DR17" s="81">
        <f>SUM(DR10:DR16)</f>
        <v>26.460000000000004</v>
      </c>
      <c r="DS17" s="81"/>
      <c r="DT17" s="81">
        <f>SUM(DT10:DT16)</f>
        <v>1260000</v>
      </c>
      <c r="DU17" s="81"/>
      <c r="DV17" s="81">
        <f>SUM(DV10:DV16)</f>
        <v>26.460000000000004</v>
      </c>
      <c r="DW17" s="81"/>
      <c r="DX17" s="81">
        <f>SUM(DX10:DX16)</f>
        <v>1260000</v>
      </c>
      <c r="DY17" s="81"/>
      <c r="DZ17" s="81">
        <f>SUM(DZ10:DZ16)</f>
        <v>127.00800000000002</v>
      </c>
      <c r="EA17" s="81"/>
      <c r="EB17" s="81">
        <f>SUM(EB10:EB16)</f>
        <v>6048000</v>
      </c>
      <c r="EC17" s="81"/>
      <c r="ED17" s="81">
        <f>SUM(ED10:ED16)</f>
        <v>127.00800000000002</v>
      </c>
      <c r="EE17" s="81"/>
      <c r="EF17" s="81">
        <f>SUM(EF10:EF16)</f>
        <v>6048000</v>
      </c>
      <c r="EG17" s="81"/>
      <c r="EH17" s="81">
        <f>SUM(EH10:EH16)</f>
        <v>127.00800000000002</v>
      </c>
      <c r="EI17" s="81"/>
      <c r="EJ17" s="81">
        <f>SUM(EJ10:EJ16)</f>
        <v>6048000</v>
      </c>
      <c r="EK17" s="81"/>
      <c r="EL17" s="81">
        <f>SUM(EL10:EL16)</f>
        <v>127.00800000000002</v>
      </c>
      <c r="EM17" s="81"/>
      <c r="EN17" s="81">
        <f>SUM(EN10:EN16)</f>
        <v>6048000</v>
      </c>
      <c r="EO17" s="81"/>
      <c r="EP17" s="81">
        <f>SUM(EP10:EP16)</f>
        <v>127.00800000000002</v>
      </c>
      <c r="EQ17" s="81"/>
      <c r="ER17" s="81">
        <f>SUM(ER10:ER16)</f>
        <v>6048000</v>
      </c>
      <c r="ES17" s="81"/>
      <c r="ET17" s="81">
        <f>SUM(ET10:ET16)</f>
        <v>127.00800000000002</v>
      </c>
      <c r="EU17" s="81"/>
      <c r="EV17" s="81">
        <f>SUM(EV10:EV16)</f>
        <v>6048000</v>
      </c>
      <c r="EW17" s="81"/>
      <c r="EX17" s="81">
        <f>SUM(EX10:EX16)</f>
        <v>127.00800000000002</v>
      </c>
      <c r="EY17" s="81"/>
      <c r="EZ17" s="81">
        <f>SUM(EZ10:EZ16)</f>
        <v>6048000</v>
      </c>
      <c r="FA17" s="81"/>
      <c r="FB17" s="81">
        <f>SUM(FB10:FB16)</f>
        <v>127.00800000000002</v>
      </c>
      <c r="FC17" s="81"/>
      <c r="FD17" s="81">
        <f>SUM(FD10:FD16)</f>
        <v>6048000</v>
      </c>
      <c r="FE17" s="81"/>
      <c r="FF17" s="81">
        <f>SUM(FF10:FF16)</f>
        <v>127.00800000000002</v>
      </c>
      <c r="FG17" s="81"/>
      <c r="FH17" s="81">
        <f>SUM(FH10:FH16)</f>
        <v>6048000</v>
      </c>
      <c r="FI17" s="81"/>
      <c r="FJ17" s="81">
        <f>SUM(FJ10:FJ16)</f>
        <v>177.8112</v>
      </c>
      <c r="FK17" s="81"/>
      <c r="FL17" s="81">
        <f>SUM(FL10:FL16)</f>
        <v>6048000</v>
      </c>
      <c r="FM17" s="81"/>
      <c r="FN17" s="81">
        <f>SUM(FN10:FN16)</f>
        <v>177.8112</v>
      </c>
      <c r="FO17" s="81"/>
      <c r="FP17" s="81">
        <f>SUM(FP10:FP16)</f>
        <v>6048000</v>
      </c>
      <c r="FQ17" s="81"/>
      <c r="FR17" s="81">
        <f>SUM(FR10:FR16)</f>
        <v>177.8112</v>
      </c>
      <c r="FS17" s="81"/>
      <c r="FT17" s="81">
        <f>SUM(FT10:FT16)</f>
        <v>6048000</v>
      </c>
      <c r="FU17" s="81"/>
      <c r="FV17" s="81">
        <f>SUM(FV10:FV16)</f>
        <v>177.8112</v>
      </c>
      <c r="FW17" s="81"/>
      <c r="FX17" s="81">
        <f>SUM(FX10:FX16)</f>
        <v>8467200</v>
      </c>
      <c r="FY17" s="81"/>
      <c r="FZ17" s="81">
        <f>SUM(FZ10:FZ16)</f>
        <v>177.8112</v>
      </c>
      <c r="GA17" s="81"/>
      <c r="GB17" s="81">
        <f>SUM(GB10:GB16)</f>
        <v>8467200</v>
      </c>
      <c r="GC17" s="81"/>
      <c r="GD17" s="81">
        <f>SUM(GD10:GD16)</f>
        <v>177.8112</v>
      </c>
      <c r="GE17" s="81"/>
      <c r="GF17" s="81">
        <f>SUM(GF10:GF16)</f>
        <v>8467200</v>
      </c>
      <c r="GG17" s="81"/>
      <c r="GH17" s="81">
        <f>SUM(GH10:GH16)</f>
        <v>177.8112</v>
      </c>
      <c r="GI17" s="81"/>
      <c r="GJ17" s="81">
        <f>SUM(GJ10:GJ16)</f>
        <v>8467200</v>
      </c>
      <c r="GK17" s="81"/>
      <c r="GL17" s="81">
        <f>SUM(GL10:GL16)</f>
        <v>177.8112</v>
      </c>
      <c r="GM17" s="81"/>
      <c r="GN17" s="81">
        <f>SUM(GN10:GN16)</f>
        <v>8467200</v>
      </c>
      <c r="GP17" s="81">
        <f>SUM(GP10:GP16)</f>
        <v>177.8112</v>
      </c>
      <c r="GQ17" s="81"/>
      <c r="GR17" s="81">
        <f>SUM(GR10:GR16)</f>
        <v>8467200</v>
      </c>
      <c r="GS17" s="81"/>
      <c r="GT17" s="81">
        <f>SUM(GT10:GT16)</f>
        <v>177.8112</v>
      </c>
      <c r="GU17" s="81"/>
      <c r="GV17" s="81">
        <f>SUM(GV10:GV16)</f>
        <v>8467200</v>
      </c>
      <c r="GW17" s="81"/>
      <c r="GX17" s="81">
        <f>SUM(GX10:GX16)</f>
        <v>177.8112</v>
      </c>
      <c r="GY17" s="81"/>
      <c r="GZ17" s="81">
        <f>SUM(GZ10:GZ16)</f>
        <v>8467200</v>
      </c>
      <c r="HA17" s="81"/>
      <c r="HB17" s="81">
        <f>SUM(HB10:HB16)</f>
        <v>177.8112</v>
      </c>
      <c r="HC17" s="81"/>
      <c r="HD17" s="81">
        <f>SUM(HD10:HD16)</f>
        <v>8467200</v>
      </c>
      <c r="HE17" s="81"/>
      <c r="HF17" s="81">
        <f>SUM(HF10:HF16)</f>
        <v>240.04512</v>
      </c>
      <c r="HG17" s="81"/>
      <c r="HH17" s="81">
        <f>SUM(HH10:HH16)</f>
        <v>8467200</v>
      </c>
      <c r="HI17" s="81"/>
      <c r="HJ17" s="81">
        <f>SUM(HJ10:HJ16)</f>
        <v>240.04512</v>
      </c>
      <c r="HK17" s="81"/>
      <c r="HL17" s="81">
        <f>SUM(HL10:HL16)</f>
        <v>8467200</v>
      </c>
      <c r="HM17" s="81"/>
      <c r="HN17" s="81">
        <f>SUM(HN10:HN16)</f>
        <v>240.04512</v>
      </c>
      <c r="HO17" s="81"/>
      <c r="HP17" s="81">
        <f>SUM(HP10:HP16)</f>
        <v>8467200</v>
      </c>
      <c r="HQ17" s="81"/>
      <c r="HR17" s="81">
        <f>SUM(HR10:HR16)</f>
        <v>240.04512</v>
      </c>
      <c r="HS17" s="81"/>
      <c r="HT17" s="81">
        <f>SUM(HT10:HT16)</f>
        <v>11430720</v>
      </c>
      <c r="HU17" s="81"/>
      <c r="HV17" s="81">
        <f>SUM(HV10:HV16)</f>
        <v>240.04512</v>
      </c>
      <c r="HW17" s="81"/>
      <c r="HX17" s="81">
        <f>SUM(HX10:HX16)</f>
        <v>11430720</v>
      </c>
      <c r="HY17" s="81"/>
      <c r="HZ17" s="81">
        <f>SUM(HZ10:HZ16)</f>
        <v>240.04512</v>
      </c>
      <c r="IA17" s="81"/>
      <c r="IB17" s="81">
        <f>SUM(IB10:IB16)</f>
        <v>11430720</v>
      </c>
      <c r="IC17" s="81"/>
      <c r="ID17" s="81">
        <f>SUM(ID10:ID16)</f>
        <v>240.04512</v>
      </c>
      <c r="IE17" s="81"/>
      <c r="IF17" s="81">
        <f>SUM(IF10:IF16)</f>
        <v>11430720</v>
      </c>
      <c r="IG17" s="81"/>
      <c r="IH17" s="81">
        <f>SUM(IH10:IH16)</f>
        <v>240.04512</v>
      </c>
      <c r="II17" s="81"/>
      <c r="IJ17" s="81">
        <f>SUM(IJ10:IJ16)</f>
        <v>11430720</v>
      </c>
      <c r="IL17" s="81">
        <f>SUM(IL10:IL16)</f>
        <v>240.04512</v>
      </c>
      <c r="IM17" s="81"/>
      <c r="IN17" s="81">
        <f>SUM(IN10:IN16)</f>
        <v>11430720</v>
      </c>
      <c r="IO17" s="81"/>
      <c r="IP17" s="81">
        <f>SUM(IP10:IP16)</f>
        <v>240.04512</v>
      </c>
      <c r="IQ17" s="81"/>
      <c r="IR17" s="81">
        <f>SUM(IR10:IR16)</f>
        <v>11430720</v>
      </c>
      <c r="IS17" s="81"/>
      <c r="IT17" s="81">
        <f>SUM(IT10:IT16)</f>
        <v>240.04512</v>
      </c>
      <c r="IU17" s="81"/>
      <c r="IV17" s="81">
        <f>SUM(IV10:IV16)</f>
        <v>11430720</v>
      </c>
      <c r="IW17" s="81"/>
      <c r="IX17" s="81">
        <f>SUM(IX10:IX16)</f>
        <v>240.04512</v>
      </c>
      <c r="IY17" s="81"/>
      <c r="IZ17" s="81">
        <f>SUM(IZ10:IZ16)</f>
        <v>11430720</v>
      </c>
      <c r="JA17" s="81"/>
      <c r="JB17" s="81" t="e">
        <f>SUM(JB10:JB16)</f>
        <v>#REF!</v>
      </c>
      <c r="JC17" s="81"/>
      <c r="JD17" s="81">
        <f>SUM(JD10:JD16)</f>
        <v>11430720</v>
      </c>
      <c r="JE17" s="81"/>
      <c r="JF17" s="81" t="e">
        <f>SUM(JF10:JF16)</f>
        <v>#REF!</v>
      </c>
      <c r="JG17" s="81"/>
      <c r="JH17" s="81">
        <f>SUM(JH10:JH16)</f>
        <v>11430720</v>
      </c>
      <c r="JI17" s="81"/>
      <c r="JJ17" s="81" t="e">
        <f>SUM(JJ10:JJ16)</f>
        <v>#REF!</v>
      </c>
      <c r="JK17" s="81"/>
      <c r="JL17" s="81">
        <f>SUM(JL10:JL16)</f>
        <v>11430720</v>
      </c>
      <c r="JM17" s="81"/>
      <c r="JO17" s="81"/>
      <c r="JP17" s="81"/>
      <c r="JQ17" s="80">
        <f t="shared" si="0"/>
        <v>2653333.333333334</v>
      </c>
      <c r="JS17" s="81"/>
      <c r="JT17" s="81"/>
      <c r="JU17" s="80">
        <f t="shared" si="1"/>
        <v>3600000</v>
      </c>
      <c r="JW17" s="81"/>
      <c r="JX17" s="81"/>
      <c r="JY17" s="80">
        <f t="shared" si="2"/>
        <v>15120000</v>
      </c>
      <c r="KA17" s="81"/>
      <c r="KB17" s="81"/>
      <c r="KC17" s="80">
        <f t="shared" si="3"/>
        <v>72576000</v>
      </c>
      <c r="KE17" s="81"/>
      <c r="KF17" s="81"/>
      <c r="KG17" s="80">
        <f t="shared" si="4"/>
        <v>101606400</v>
      </c>
      <c r="KI17" s="81"/>
      <c r="KJ17" s="81"/>
      <c r="KK17" s="80">
        <f t="shared" si="5"/>
        <v>137168640</v>
      </c>
      <c r="KM17" s="81"/>
      <c r="KN17" s="81"/>
      <c r="KO17" s="80">
        <f t="shared" si="6"/>
        <v>137168640</v>
      </c>
    </row>
    <row r="18" ht="9.75" customHeight="1" spans="2:301" x14ac:dyDescent="0.25">
      <c r="B18" s="9"/>
      <c r="C18" s="30"/>
      <c r="D18" s="30"/>
      <c r="E18" s="30"/>
      <c r="F18" s="54"/>
      <c r="G18" s="54"/>
      <c r="H18" s="54"/>
      <c r="I18" s="54"/>
      <c r="J18" s="54"/>
      <c r="K18" s="54"/>
      <c r="L18" s="54"/>
      <c r="M18" s="54"/>
      <c r="N18" s="54"/>
      <c r="O18" s="54"/>
      <c r="P18" s="54"/>
      <c r="Q18" s="54"/>
      <c r="R18" s="54"/>
      <c r="S18" s="54"/>
      <c r="T18" s="54"/>
      <c r="U18" s="54"/>
      <c r="V18" s="54"/>
      <c r="W18" s="54"/>
      <c r="X18" s="54"/>
      <c r="Y18" s="54"/>
      <c r="Z18" s="54"/>
      <c r="AA18" s="54"/>
      <c r="AB18" s="54"/>
      <c r="AC18" s="54"/>
      <c r="AD18" s="54"/>
      <c r="AE18" s="54"/>
      <c r="AF18" s="54"/>
      <c r="AG18" s="54"/>
      <c r="AH18" s="54"/>
      <c r="AI18" s="54"/>
      <c r="AJ18" s="54"/>
      <c r="AK18" s="54"/>
      <c r="AL18" s="54"/>
      <c r="AM18" s="54"/>
      <c r="AN18" s="54"/>
      <c r="AO18" s="54"/>
      <c r="AP18" s="54"/>
      <c r="AQ18" s="54"/>
      <c r="AR18" s="54"/>
      <c r="AS18" s="54"/>
      <c r="AT18" s="54"/>
      <c r="AU18" s="54"/>
      <c r="AV18" s="54"/>
      <c r="AW18" s="54"/>
      <c r="AX18" s="54"/>
      <c r="AY18" s="54"/>
      <c r="AZ18" s="54"/>
      <c r="BA18" s="54"/>
      <c r="BB18" s="54"/>
      <c r="BC18" s="54"/>
      <c r="BD18" s="54"/>
      <c r="BE18" s="54"/>
      <c r="BF18" s="54"/>
      <c r="BG18" s="54"/>
      <c r="BH18" s="54"/>
      <c r="BI18" s="54"/>
      <c r="BJ18" s="54"/>
      <c r="BK18" s="54"/>
      <c r="BL18" s="54"/>
      <c r="BM18" s="54"/>
      <c r="BN18" s="54"/>
      <c r="BO18" s="54"/>
      <c r="BP18" s="54"/>
      <c r="BQ18" s="54"/>
      <c r="BR18" s="54"/>
      <c r="BS18" s="54"/>
      <c r="BT18" s="54"/>
      <c r="BU18" s="54"/>
      <c r="BV18" s="54"/>
      <c r="BW18" s="54"/>
      <c r="BX18" s="54"/>
      <c r="BY18" s="54"/>
      <c r="BZ18" s="54"/>
      <c r="CA18" s="54"/>
      <c r="CB18" s="54"/>
      <c r="CC18" s="54"/>
      <c r="CD18" s="54"/>
      <c r="CE18" s="54"/>
      <c r="CF18" s="54"/>
      <c r="CG18" s="54"/>
      <c r="CH18" s="54"/>
      <c r="CI18" s="54"/>
      <c r="CJ18" s="54"/>
      <c r="CK18" s="54"/>
      <c r="CL18" s="54"/>
      <c r="CM18" s="54"/>
      <c r="CN18" s="54"/>
      <c r="CO18" s="54"/>
      <c r="CP18" s="54"/>
      <c r="CQ18" s="54"/>
      <c r="CR18" s="54"/>
      <c r="CS18" s="54"/>
      <c r="CT18" s="54"/>
      <c r="CU18" s="54"/>
      <c r="CV18" s="54"/>
      <c r="CW18" s="54"/>
      <c r="CX18" s="54"/>
      <c r="CY18" s="54"/>
      <c r="CZ18" s="54"/>
      <c r="DA18" s="54"/>
      <c r="DB18" s="54"/>
      <c r="DC18" s="54"/>
      <c r="DD18" s="54"/>
      <c r="DE18" s="54"/>
      <c r="DF18" s="54"/>
      <c r="DG18" s="54"/>
      <c r="DH18" s="54"/>
      <c r="DI18" s="54"/>
      <c r="DJ18" s="54"/>
      <c r="DK18" s="54"/>
      <c r="DL18" s="54"/>
      <c r="DM18" s="54"/>
      <c r="DN18" s="54"/>
      <c r="DO18" s="54"/>
      <c r="DP18" s="54"/>
      <c r="DQ18" s="54"/>
      <c r="DR18" s="54"/>
      <c r="DS18" s="54"/>
      <c r="DT18" s="54"/>
      <c r="DU18" s="54"/>
      <c r="DV18" s="54"/>
      <c r="DW18" s="54"/>
      <c r="DX18" s="54"/>
      <c r="DY18" s="54"/>
      <c r="DZ18" s="54"/>
      <c r="EA18" s="54"/>
      <c r="EB18" s="54"/>
      <c r="EC18" s="54"/>
      <c r="ED18" s="54"/>
      <c r="EE18" s="54"/>
      <c r="EF18" s="54"/>
      <c r="EG18" s="54"/>
      <c r="EH18" s="54"/>
      <c r="EI18" s="54"/>
      <c r="EJ18" s="54"/>
      <c r="EK18" s="54"/>
      <c r="EL18" s="54"/>
      <c r="EM18" s="54"/>
      <c r="EN18" s="54"/>
      <c r="EO18" s="54"/>
      <c r="EP18" s="54"/>
      <c r="EQ18" s="54"/>
      <c r="ER18" s="54"/>
      <c r="ES18" s="54"/>
      <c r="ET18" s="54"/>
      <c r="EU18" s="54"/>
      <c r="EV18" s="54"/>
      <c r="EW18" s="54"/>
      <c r="EX18" s="54"/>
      <c r="EY18" s="54"/>
      <c r="EZ18" s="54"/>
      <c r="FA18" s="54"/>
      <c r="FB18" s="54"/>
      <c r="FC18" s="54"/>
      <c r="FD18" s="54"/>
      <c r="FE18" s="54"/>
      <c r="FF18" s="54"/>
      <c r="FG18" s="54"/>
      <c r="FH18" s="54"/>
      <c r="FI18" s="54"/>
      <c r="FJ18" s="54"/>
      <c r="FK18" s="54"/>
      <c r="FL18" s="54"/>
      <c r="FM18" s="54"/>
      <c r="FN18" s="54"/>
      <c r="FO18" s="54"/>
      <c r="FP18" s="54"/>
      <c r="FQ18" s="54"/>
      <c r="FR18" s="54"/>
      <c r="FS18" s="54"/>
      <c r="FT18" s="54"/>
      <c r="FU18" s="54"/>
      <c r="FV18" s="54"/>
      <c r="FW18" s="54"/>
      <c r="FX18" s="54"/>
      <c r="FY18" s="54"/>
      <c r="FZ18" s="54"/>
      <c r="GA18" s="54"/>
      <c r="GB18" s="54"/>
      <c r="GC18" s="54"/>
      <c r="GD18" s="54"/>
      <c r="GE18" s="54"/>
      <c r="GF18" s="54"/>
      <c r="GG18" s="54"/>
      <c r="GH18" s="54"/>
      <c r="GI18" s="54"/>
      <c r="GJ18" s="54"/>
      <c r="GK18" s="54"/>
      <c r="GL18" s="54"/>
      <c r="GM18" s="54"/>
      <c r="GN18" s="54"/>
      <c r="GP18" s="54"/>
      <c r="GQ18" s="54"/>
      <c r="GR18" s="54"/>
      <c r="GS18" s="54"/>
      <c r="GT18" s="54"/>
      <c r="GU18" s="54"/>
      <c r="GV18" s="54"/>
      <c r="GW18" s="54"/>
      <c r="GX18" s="54"/>
      <c r="GY18" s="54"/>
      <c r="GZ18" s="54"/>
      <c r="HA18" s="54"/>
      <c r="HB18" s="54"/>
      <c r="HC18" s="54"/>
      <c r="HD18" s="54"/>
      <c r="HE18" s="54"/>
      <c r="HF18" s="54"/>
      <c r="HG18" s="54"/>
      <c r="HH18" s="54"/>
      <c r="HI18" s="54"/>
      <c r="HJ18" s="54"/>
      <c r="HK18" s="54"/>
      <c r="HL18" s="54"/>
      <c r="HM18" s="54"/>
      <c r="HN18" s="54"/>
      <c r="HO18" s="54"/>
      <c r="HP18" s="54"/>
      <c r="HQ18" s="54"/>
      <c r="HR18" s="54"/>
      <c r="HS18" s="54"/>
      <c r="HT18" s="54"/>
      <c r="HU18" s="54"/>
      <c r="HV18" s="54"/>
      <c r="HW18" s="54"/>
      <c r="HX18" s="54"/>
      <c r="HY18" s="54"/>
      <c r="HZ18" s="54"/>
      <c r="IA18" s="54"/>
      <c r="IB18" s="54"/>
      <c r="IC18" s="54"/>
      <c r="ID18" s="54"/>
      <c r="IE18" s="54"/>
      <c r="IF18" s="54"/>
      <c r="IG18" s="54"/>
      <c r="IH18" s="54"/>
      <c r="II18" s="54"/>
      <c r="IJ18" s="54"/>
      <c r="IL18" s="54"/>
      <c r="IM18" s="54"/>
      <c r="IN18" s="54"/>
      <c r="IO18" s="54"/>
      <c r="IP18" s="54"/>
      <c r="IQ18" s="54"/>
      <c r="IR18" s="54"/>
      <c r="IS18" s="54"/>
      <c r="IT18" s="54"/>
      <c r="IU18" s="54"/>
      <c r="IV18" s="54"/>
      <c r="IW18" s="54"/>
      <c r="IX18" s="54"/>
      <c r="IY18" s="54"/>
      <c r="IZ18" s="54"/>
      <c r="JA18" s="54"/>
      <c r="JB18" s="54"/>
      <c r="JC18" s="54"/>
      <c r="JD18" s="54"/>
      <c r="JE18" s="54"/>
      <c r="JF18" s="54"/>
      <c r="JG18" s="54"/>
      <c r="JH18" s="54"/>
      <c r="JI18" s="54"/>
      <c r="JJ18" s="54"/>
      <c r="JK18" s="54"/>
      <c r="JL18" s="54"/>
      <c r="JM18" s="54"/>
      <c r="JO18" s="54"/>
      <c r="JP18" s="54"/>
      <c r="JQ18" s="54"/>
      <c r="JS18" s="54"/>
      <c r="JT18" s="54"/>
      <c r="JU18" s="54"/>
      <c r="JW18" s="54"/>
      <c r="JX18" s="54"/>
      <c r="JY18" s="54"/>
      <c r="KA18" s="54"/>
      <c r="KB18" s="54"/>
      <c r="KC18" s="54"/>
      <c r="KE18" s="54"/>
      <c r="KF18" s="54"/>
      <c r="KG18" s="54"/>
      <c r="KI18" s="54"/>
      <c r="KJ18" s="54"/>
      <c r="KK18" s="54"/>
      <c r="KM18" s="54"/>
      <c r="KN18" s="54"/>
      <c r="KO18" s="54"/>
    </row>
    <row r="19" ht="12" customHeight="1" spans="2:301" s="101" customFormat="1" x14ac:dyDescent="0.25">
      <c r="B19" s="102"/>
      <c r="C19" s="104"/>
      <c r="G19" s="103"/>
      <c r="H19" s="103"/>
      <c r="I19" s="103"/>
      <c r="J19" s="78">
        <f>A.IIOPEX!K21+100%</f>
        <v>0.92</v>
      </c>
      <c r="K19" s="78">
        <f>$K$8</f>
        <v>1</v>
      </c>
      <c r="L19" s="78">
        <f>A.IIOPEX!K21+100%</f>
        <v>0.92</v>
      </c>
      <c r="M19" s="103"/>
      <c r="N19" s="78">
        <v>1</v>
      </c>
      <c r="O19" s="78">
        <v>1</v>
      </c>
      <c r="P19" s="78">
        <v>1</v>
      </c>
      <c r="Q19" s="103"/>
      <c r="R19" s="78">
        <f>N19</f>
        <v>1</v>
      </c>
      <c r="S19" s="78">
        <v>1</v>
      </c>
      <c r="T19" s="78">
        <f>P19</f>
        <v>1</v>
      </c>
      <c r="U19" s="103"/>
      <c r="V19" s="78">
        <f>R19</f>
        <v>1</v>
      </c>
      <c r="W19" s="78">
        <v>1</v>
      </c>
      <c r="X19" s="78">
        <f>T19</f>
        <v>1</v>
      </c>
      <c r="Y19" s="103"/>
      <c r="Z19" s="78">
        <v>1</v>
      </c>
      <c r="AA19" s="78">
        <v>1</v>
      </c>
      <c r="AB19" s="78">
        <f>X19</f>
        <v>1</v>
      </c>
      <c r="AC19" s="103"/>
      <c r="AD19" s="78">
        <f>Z19</f>
        <v>1</v>
      </c>
      <c r="AE19" s="78">
        <v>1</v>
      </c>
      <c r="AF19" s="78">
        <f>AB19</f>
        <v>1</v>
      </c>
      <c r="AG19" s="103"/>
      <c r="AH19" s="78">
        <f>A.IIOPEX!M21+100%</f>
        <v>1.02</v>
      </c>
      <c r="AI19" s="78">
        <v>1</v>
      </c>
      <c r="AJ19" s="78">
        <f>A.IIOPEX!M21+100%</f>
        <v>1.02</v>
      </c>
      <c r="AK19" s="103"/>
      <c r="AL19" s="78">
        <v>1</v>
      </c>
      <c r="AM19" s="78">
        <v>1</v>
      </c>
      <c r="AN19" s="78">
        <v>1</v>
      </c>
      <c r="AO19" s="103"/>
      <c r="AP19" s="78">
        <f>AL19</f>
        <v>1</v>
      </c>
      <c r="AQ19" s="78">
        <v>1</v>
      </c>
      <c r="AR19" s="78">
        <f>AN19</f>
        <v>1</v>
      </c>
      <c r="AS19" s="103"/>
      <c r="AT19" s="78">
        <f>AP19</f>
        <v>1</v>
      </c>
      <c r="AU19" s="78">
        <v>1</v>
      </c>
      <c r="AV19" s="78">
        <f>AR19</f>
        <v>1</v>
      </c>
      <c r="AW19" s="103"/>
      <c r="AX19" s="78">
        <f>AT19</f>
        <v>1</v>
      </c>
      <c r="AY19" s="78">
        <v>1</v>
      </c>
      <c r="AZ19" s="78">
        <f>AV19</f>
        <v>1</v>
      </c>
      <c r="BA19" s="103"/>
      <c r="BB19" s="78">
        <f>AX19</f>
        <v>1</v>
      </c>
      <c r="BC19" s="78">
        <v>1</v>
      </c>
      <c r="BD19" s="78">
        <f>AZ19</f>
        <v>1</v>
      </c>
      <c r="BE19" s="103"/>
      <c r="BF19" s="78">
        <f>BB19</f>
        <v>1</v>
      </c>
      <c r="BG19" s="78">
        <v>1</v>
      </c>
      <c r="BH19" s="78">
        <f>BD19</f>
        <v>1</v>
      </c>
      <c r="BI19" s="103"/>
      <c r="BJ19" s="78">
        <f>BF19</f>
        <v>1</v>
      </c>
      <c r="BK19" s="78">
        <v>1</v>
      </c>
      <c r="BL19" s="78">
        <f>BH19</f>
        <v>1</v>
      </c>
      <c r="BM19" s="103"/>
      <c r="BN19" s="79">
        <f>BJ19</f>
        <v>1</v>
      </c>
      <c r="BO19" s="79">
        <v>1</v>
      </c>
      <c r="BP19" s="78">
        <f>BL19</f>
        <v>1</v>
      </c>
      <c r="BQ19" s="103"/>
      <c r="BR19" s="78">
        <f>BN19</f>
        <v>1</v>
      </c>
      <c r="BS19" s="78">
        <v>1</v>
      </c>
      <c r="BT19" s="78">
        <f>BP19</f>
        <v>1</v>
      </c>
      <c r="BU19" s="103"/>
      <c r="BV19" s="78">
        <v>1</v>
      </c>
      <c r="BW19" s="78">
        <v>1</v>
      </c>
      <c r="BX19" s="78">
        <f>BT19</f>
        <v>1</v>
      </c>
      <c r="BY19" s="103"/>
      <c r="BZ19" s="78">
        <f>BV19</f>
        <v>1</v>
      </c>
      <c r="CA19" s="78">
        <v>1</v>
      </c>
      <c r="CB19" s="78">
        <f>BX19</f>
        <v>1</v>
      </c>
      <c r="CC19" s="103"/>
      <c r="CD19" s="78">
        <f>A.IIOPEX!O21+100%</f>
        <v>1.15</v>
      </c>
      <c r="CE19" s="78">
        <v>1</v>
      </c>
      <c r="CF19" s="78">
        <f>A.IIOPEX!O21+100%</f>
        <v>1.15</v>
      </c>
      <c r="CG19" s="103"/>
      <c r="CH19" s="78">
        <v>1</v>
      </c>
      <c r="CI19" s="78">
        <v>1</v>
      </c>
      <c r="CJ19" s="78">
        <v>1</v>
      </c>
      <c r="CK19" s="103"/>
      <c r="CL19" s="78">
        <f>CH19</f>
        <v>1</v>
      </c>
      <c r="CM19" s="78">
        <v>1</v>
      </c>
      <c r="CN19" s="78">
        <f>CJ19</f>
        <v>1</v>
      </c>
      <c r="CO19" s="103"/>
      <c r="CP19" s="78">
        <f>CL19</f>
        <v>1</v>
      </c>
      <c r="CQ19" s="78">
        <v>1</v>
      </c>
      <c r="CR19" s="78">
        <f>CN19</f>
        <v>1</v>
      </c>
      <c r="CS19" s="103"/>
      <c r="CT19" s="78">
        <f>CP19</f>
        <v>1</v>
      </c>
      <c r="CU19" s="78">
        <v>1</v>
      </c>
      <c r="CV19" s="78">
        <f>CR19</f>
        <v>1</v>
      </c>
      <c r="CW19" s="103"/>
      <c r="CX19" s="78">
        <f>CT19</f>
        <v>1</v>
      </c>
      <c r="CY19" s="78">
        <v>1</v>
      </c>
      <c r="CZ19" s="78">
        <f>CV19</f>
        <v>1</v>
      </c>
      <c r="DA19" s="103"/>
      <c r="DB19" s="78">
        <f>CX19</f>
        <v>1</v>
      </c>
      <c r="DC19" s="78">
        <v>1</v>
      </c>
      <c r="DD19" s="78">
        <f>CZ19</f>
        <v>1</v>
      </c>
      <c r="DE19" s="103"/>
      <c r="DF19" s="78">
        <f>DB19</f>
        <v>1</v>
      </c>
      <c r="DG19" s="78">
        <v>1</v>
      </c>
      <c r="DH19" s="78">
        <f>DD19</f>
        <v>1</v>
      </c>
      <c r="DI19" s="103"/>
      <c r="DJ19" s="79">
        <f>DF19</f>
        <v>1</v>
      </c>
      <c r="DK19" s="79">
        <v>1</v>
      </c>
      <c r="DL19" s="78">
        <f>DH19</f>
        <v>1</v>
      </c>
      <c r="DM19" s="103"/>
      <c r="DN19" s="78">
        <f>DJ19</f>
        <v>1</v>
      </c>
      <c r="DO19" s="78">
        <v>1</v>
      </c>
      <c r="DP19" s="78">
        <f>DL19</f>
        <v>1</v>
      </c>
      <c r="DQ19" s="103"/>
      <c r="DR19" s="78">
        <v>1</v>
      </c>
      <c r="DS19" s="78">
        <v>1</v>
      </c>
      <c r="DT19" s="78">
        <f>DP19</f>
        <v>1</v>
      </c>
      <c r="DU19" s="103"/>
      <c r="DV19" s="78">
        <f>DR19</f>
        <v>1</v>
      </c>
      <c r="DW19" s="78">
        <v>1</v>
      </c>
      <c r="DX19" s="78">
        <f>DT19</f>
        <v>1</v>
      </c>
      <c r="DY19" s="103"/>
      <c r="DZ19" s="78">
        <f>A.IIOPEX!Q21+100%</f>
        <v>1.4</v>
      </c>
      <c r="EA19" s="78">
        <v>1</v>
      </c>
      <c r="EB19" s="78">
        <f>A.IIOPEX!Q21+100%</f>
        <v>1.4</v>
      </c>
      <c r="EC19" s="103"/>
      <c r="ED19" s="78">
        <v>1</v>
      </c>
      <c r="EE19" s="78">
        <v>1</v>
      </c>
      <c r="EF19" s="78">
        <v>1</v>
      </c>
      <c r="EG19" s="103"/>
      <c r="EH19" s="78">
        <f>ED19</f>
        <v>1</v>
      </c>
      <c r="EI19" s="78">
        <v>1</v>
      </c>
      <c r="EJ19" s="78">
        <f>EF19</f>
        <v>1</v>
      </c>
      <c r="EK19" s="103"/>
      <c r="EL19" s="78">
        <f>EH19</f>
        <v>1</v>
      </c>
      <c r="EM19" s="78">
        <v>1</v>
      </c>
      <c r="EN19" s="78">
        <f>EJ19</f>
        <v>1</v>
      </c>
      <c r="EO19" s="103"/>
      <c r="EP19" s="78">
        <f>EL19</f>
        <v>1</v>
      </c>
      <c r="EQ19" s="78">
        <v>1</v>
      </c>
      <c r="ER19" s="78">
        <f>EN19</f>
        <v>1</v>
      </c>
      <c r="ES19" s="103"/>
      <c r="ET19" s="78">
        <f>EP19</f>
        <v>1</v>
      </c>
      <c r="EU19" s="78">
        <v>1</v>
      </c>
      <c r="EV19" s="78">
        <f>ER19</f>
        <v>1</v>
      </c>
      <c r="EW19" s="103"/>
      <c r="EX19" s="78">
        <f>ET19</f>
        <v>1</v>
      </c>
      <c r="EY19" s="78">
        <v>1</v>
      </c>
      <c r="EZ19" s="78">
        <f>EV19</f>
        <v>1</v>
      </c>
      <c r="FA19" s="103"/>
      <c r="FB19" s="78">
        <f>EX19</f>
        <v>1</v>
      </c>
      <c r="FC19" s="78">
        <v>1</v>
      </c>
      <c r="FD19" s="78">
        <f>EZ19</f>
        <v>1</v>
      </c>
      <c r="FE19" s="103"/>
      <c r="FF19" s="79">
        <f>FB19</f>
        <v>1</v>
      </c>
      <c r="FG19" s="79">
        <v>1</v>
      </c>
      <c r="FH19" s="78">
        <f>FD19</f>
        <v>1</v>
      </c>
      <c r="FI19" s="103"/>
      <c r="FJ19" s="78">
        <f>A.IIOPEX!S21+100%</f>
        <v>1.15</v>
      </c>
      <c r="FK19" s="78">
        <v>1</v>
      </c>
      <c r="FL19" s="78">
        <f>FH19</f>
        <v>1</v>
      </c>
      <c r="FM19" s="103"/>
      <c r="FN19" s="78">
        <v>1</v>
      </c>
      <c r="FO19" s="78">
        <v>1</v>
      </c>
      <c r="FP19" s="78">
        <f>FL19</f>
        <v>1</v>
      </c>
      <c r="FQ19" s="103"/>
      <c r="FR19" s="78">
        <f>FN19</f>
        <v>1</v>
      </c>
      <c r="FS19" s="78">
        <v>1</v>
      </c>
      <c r="FT19" s="78">
        <f>FP19</f>
        <v>1</v>
      </c>
      <c r="FU19" s="103"/>
      <c r="FV19" s="78">
        <f>FR19</f>
        <v>1</v>
      </c>
      <c r="FW19" s="78">
        <v>1</v>
      </c>
      <c r="FX19" s="78">
        <f>A.IIOPEX!S21+100%</f>
        <v>1.15</v>
      </c>
      <c r="FY19" s="103"/>
      <c r="FZ19" s="78">
        <f>FV19</f>
        <v>1</v>
      </c>
      <c r="GA19" s="78">
        <v>1</v>
      </c>
      <c r="GB19" s="78">
        <v>1</v>
      </c>
      <c r="GC19" s="103"/>
      <c r="GD19" s="78">
        <f>FZ19</f>
        <v>1</v>
      </c>
      <c r="GE19" s="78">
        <v>1</v>
      </c>
      <c r="GF19" s="78">
        <f>GB19</f>
        <v>1</v>
      </c>
      <c r="GG19" s="103"/>
      <c r="GH19" s="78">
        <f>GD19</f>
        <v>1</v>
      </c>
      <c r="GI19" s="78">
        <v>1</v>
      </c>
      <c r="GJ19" s="78">
        <f>GF19</f>
        <v>1</v>
      </c>
      <c r="GK19" s="103"/>
      <c r="GL19" s="78">
        <f>GH19</f>
        <v>1</v>
      </c>
      <c r="GM19" s="78">
        <v>1</v>
      </c>
      <c r="GN19" s="78">
        <f>GJ19</f>
        <v>1</v>
      </c>
      <c r="GO19" s="103"/>
      <c r="GP19" s="78">
        <f>GL19</f>
        <v>1</v>
      </c>
      <c r="GQ19" s="78">
        <v>1</v>
      </c>
      <c r="GR19" s="78">
        <f>GN19</f>
        <v>1</v>
      </c>
      <c r="GS19" s="103"/>
      <c r="GT19" s="78">
        <f>GP19</f>
        <v>1</v>
      </c>
      <c r="GU19" s="78">
        <v>1</v>
      </c>
      <c r="GV19" s="78">
        <f>GR19</f>
        <v>1</v>
      </c>
      <c r="GW19" s="103"/>
      <c r="GX19" s="78">
        <f>GT19</f>
        <v>1</v>
      </c>
      <c r="GY19" s="78">
        <v>1</v>
      </c>
      <c r="GZ19" s="78">
        <f>GV19</f>
        <v>1</v>
      </c>
      <c r="HA19" s="103"/>
      <c r="HB19" s="79">
        <f>GX19</f>
        <v>1</v>
      </c>
      <c r="HC19" s="79">
        <v>1</v>
      </c>
      <c r="HD19" s="78">
        <f>GZ19</f>
        <v>1</v>
      </c>
      <c r="HE19" s="103"/>
      <c r="HF19" s="78">
        <f>A.IIOPEX!U21+100%</f>
        <v>1.18</v>
      </c>
      <c r="HG19" s="78">
        <v>1</v>
      </c>
      <c r="HH19" s="78">
        <f>HD19</f>
        <v>1</v>
      </c>
      <c r="HI19" s="103"/>
      <c r="HJ19" s="78">
        <v>1</v>
      </c>
      <c r="HK19" s="78">
        <v>1</v>
      </c>
      <c r="HL19" s="78">
        <f>HH19</f>
        <v>1</v>
      </c>
      <c r="HM19" s="103"/>
      <c r="HN19" s="78">
        <f>HJ19</f>
        <v>1</v>
      </c>
      <c r="HO19" s="78">
        <v>1</v>
      </c>
      <c r="HP19" s="78">
        <f>HL19</f>
        <v>1</v>
      </c>
      <c r="HQ19" s="103"/>
      <c r="HR19" s="78">
        <f>HN19</f>
        <v>1</v>
      </c>
      <c r="HS19" s="78">
        <v>1</v>
      </c>
      <c r="HT19" s="78">
        <f>A.IIOPEX!U21+100%</f>
        <v>1.18</v>
      </c>
      <c r="HU19" s="103"/>
      <c r="HV19" s="78">
        <f>HR19</f>
        <v>1</v>
      </c>
      <c r="HW19" s="78">
        <v>1</v>
      </c>
      <c r="HX19" s="78">
        <v>1</v>
      </c>
      <c r="HY19" s="103"/>
      <c r="HZ19" s="78">
        <f>HV19</f>
        <v>1</v>
      </c>
      <c r="IA19" s="78">
        <v>1</v>
      </c>
      <c r="IB19" s="78">
        <f>HX19</f>
        <v>1</v>
      </c>
      <c r="IC19" s="103"/>
      <c r="ID19" s="78">
        <f>HZ19</f>
        <v>1</v>
      </c>
      <c r="IE19" s="78">
        <v>1</v>
      </c>
      <c r="IF19" s="78">
        <f>IB19</f>
        <v>1</v>
      </c>
      <c r="IG19" s="103"/>
      <c r="IH19" s="78">
        <f>ID19</f>
        <v>1</v>
      </c>
      <c r="II19" s="78">
        <v>1</v>
      </c>
      <c r="IJ19" s="78">
        <f>IF19</f>
        <v>1</v>
      </c>
      <c r="IK19" s="103"/>
      <c r="IL19" s="78">
        <f>IH19</f>
        <v>1</v>
      </c>
      <c r="IM19" s="78">
        <v>1</v>
      </c>
      <c r="IN19" s="78">
        <f>IJ19</f>
        <v>1</v>
      </c>
      <c r="IO19" s="103"/>
      <c r="IP19" s="78">
        <f>IL19</f>
        <v>1</v>
      </c>
      <c r="IQ19" s="78">
        <v>1</v>
      </c>
      <c r="IR19" s="78">
        <f>IN19</f>
        <v>1</v>
      </c>
      <c r="IS19" s="103"/>
      <c r="IT19" s="78">
        <f>IP19</f>
        <v>1</v>
      </c>
      <c r="IU19" s="78">
        <v>1</v>
      </c>
      <c r="IV19" s="78">
        <f>IR19</f>
        <v>1</v>
      </c>
      <c r="IW19" s="103"/>
      <c r="IX19" s="79">
        <f>IT19</f>
        <v>1</v>
      </c>
      <c r="IY19" s="79">
        <v>1</v>
      </c>
      <c r="IZ19" s="78">
        <f>IV19</f>
        <v>1</v>
      </c>
      <c r="JA19" s="103"/>
      <c r="JB19" s="78" t="e">
        <f>A.IIOPEX!#REF!+100%</f>
        <v>#REF!</v>
      </c>
      <c r="JC19" s="78">
        <v>1</v>
      </c>
      <c r="JD19" s="78">
        <f>IZ19</f>
        <v>1</v>
      </c>
      <c r="JE19" s="103"/>
      <c r="JF19" s="78">
        <v>1</v>
      </c>
      <c r="JG19" s="78">
        <v>1</v>
      </c>
      <c r="JH19" s="78">
        <f>JD19</f>
        <v>1</v>
      </c>
      <c r="JI19" s="103"/>
      <c r="JJ19" s="79">
        <f>JF19</f>
        <v>1</v>
      </c>
      <c r="JK19" s="79">
        <v>1</v>
      </c>
      <c r="JL19" s="78">
        <f>JH19</f>
        <v>1</v>
      </c>
      <c r="JM19" s="103"/>
      <c r="JO19" s="78">
        <f>'A.I Revenue Streams - P2'!DU19+100%</f>
        <v>1</v>
      </c>
      <c r="JP19" s="78">
        <v>1</v>
      </c>
      <c r="JQ19" s="103"/>
      <c r="JS19" s="78">
        <f>'A.I Revenue Streams - P2'!DY19+100%</f>
        <v>1</v>
      </c>
      <c r="JT19" s="78">
        <v>1</v>
      </c>
      <c r="JU19" s="103"/>
      <c r="JW19" s="78">
        <f>'A.I Revenue Streams - P2'!EC19+100%</f>
        <v>1</v>
      </c>
      <c r="JX19" s="78">
        <v>1</v>
      </c>
      <c r="JY19" s="103"/>
      <c r="KA19" s="78">
        <f>'A.I Revenue Streams - P2'!EG19+100%</f>
        <v>1</v>
      </c>
      <c r="KB19" s="78">
        <v>1</v>
      </c>
      <c r="KC19" s="103"/>
      <c r="KE19" s="78">
        <f>'A.I Revenue Streams - P2'!EK19+100%</f>
        <v>1</v>
      </c>
      <c r="KF19" s="78">
        <v>1</v>
      </c>
      <c r="KG19" s="103"/>
      <c r="KI19" s="78">
        <f>'A.I Revenue Streams - P2'!EO19+100%</f>
        <v>1</v>
      </c>
      <c r="KJ19" s="78">
        <v>1</v>
      </c>
      <c r="KK19" s="103"/>
      <c r="KM19" s="78">
        <f>'A.I Revenue Streams - P2'!ES19+100%</f>
        <v>1</v>
      </c>
      <c r="KN19" s="78">
        <v>1</v>
      </c>
      <c r="KO19" s="103"/>
    </row>
    <row r="20" ht="18.75" customHeight="1" spans="2:301" x14ac:dyDescent="0.25">
      <c r="B20" s="5">
        <v>2</v>
      </c>
      <c r="C20" s="29" t="str">
        <f>A.IIOPEX!D20</f>
        <v>Legal, Compliance &amp; Professional Charges</v>
      </c>
      <c r="D20" s="27"/>
      <c r="E20" s="28"/>
      <c r="F20" s="51"/>
      <c r="G20" s="51"/>
      <c r="H20" s="51"/>
      <c r="I20" s="54"/>
      <c r="J20" s="51"/>
      <c r="K20" s="51"/>
      <c r="L20" s="51"/>
      <c r="M20" s="54"/>
      <c r="N20" s="51"/>
      <c r="O20" s="51"/>
      <c r="P20" s="51"/>
      <c r="Q20" s="54"/>
      <c r="R20" s="51"/>
      <c r="S20" s="51"/>
      <c r="T20" s="51"/>
      <c r="U20" s="54"/>
      <c r="V20" s="51"/>
      <c r="W20" s="51"/>
      <c r="X20" s="51"/>
      <c r="Y20" s="54"/>
      <c r="Z20" s="51"/>
      <c r="AA20" s="51"/>
      <c r="AB20" s="51"/>
      <c r="AC20" s="54"/>
      <c r="AD20" s="51"/>
      <c r="AE20" s="51"/>
      <c r="AF20" s="51"/>
      <c r="AG20" s="54"/>
      <c r="AH20" s="51"/>
      <c r="AI20" s="51"/>
      <c r="AJ20" s="51"/>
      <c r="AK20" s="54"/>
      <c r="AL20" s="51"/>
      <c r="AM20" s="51"/>
      <c r="AN20" s="51"/>
      <c r="AO20" s="54"/>
      <c r="AP20" s="51"/>
      <c r="AQ20" s="51"/>
      <c r="AR20" s="51"/>
      <c r="AS20" s="54"/>
      <c r="AT20" s="51"/>
      <c r="AU20" s="51"/>
      <c r="AV20" s="51"/>
      <c r="AW20" s="54"/>
      <c r="AX20" s="51"/>
      <c r="AY20" s="51"/>
      <c r="AZ20" s="51"/>
      <c r="BA20" s="54"/>
      <c r="BB20" s="51"/>
      <c r="BC20" s="51"/>
      <c r="BD20" s="51"/>
      <c r="BE20" s="54"/>
      <c r="BF20" s="51"/>
      <c r="BG20" s="51"/>
      <c r="BH20" s="51"/>
      <c r="BI20" s="54"/>
      <c r="BJ20" s="51"/>
      <c r="BK20" s="51"/>
      <c r="BL20" s="51"/>
      <c r="BM20" s="54"/>
      <c r="BN20" s="51"/>
      <c r="BO20" s="51"/>
      <c r="BP20" s="51"/>
      <c r="BQ20" s="54"/>
      <c r="BR20" s="51"/>
      <c r="BS20" s="51"/>
      <c r="BT20" s="51"/>
      <c r="BU20" s="54"/>
      <c r="BV20" s="51"/>
      <c r="BW20" s="51"/>
      <c r="BX20" s="51"/>
      <c r="BY20" s="54"/>
      <c r="BZ20" s="51"/>
      <c r="CA20" s="51"/>
      <c r="CB20" s="51"/>
      <c r="CC20" s="54"/>
      <c r="CD20" s="51"/>
      <c r="CE20" s="51"/>
      <c r="CF20" s="51"/>
      <c r="CG20" s="54"/>
      <c r="CH20" s="51"/>
      <c r="CI20" s="51"/>
      <c r="CJ20" s="51"/>
      <c r="CK20" s="54"/>
      <c r="CL20" s="51"/>
      <c r="CM20" s="51"/>
      <c r="CN20" s="51"/>
      <c r="CO20" s="54"/>
      <c r="CP20" s="51"/>
      <c r="CQ20" s="51"/>
      <c r="CR20" s="51"/>
      <c r="CS20" s="54"/>
      <c r="CT20" s="51"/>
      <c r="CU20" s="51"/>
      <c r="CV20" s="51"/>
      <c r="CW20" s="54"/>
      <c r="CX20" s="51"/>
      <c r="CY20" s="51"/>
      <c r="CZ20" s="51"/>
      <c r="DA20" s="54"/>
      <c r="DB20" s="51"/>
      <c r="DC20" s="51"/>
      <c r="DD20" s="51"/>
      <c r="DE20" s="54"/>
      <c r="DF20" s="51"/>
      <c r="DG20" s="51"/>
      <c r="DH20" s="51"/>
      <c r="DI20" s="54"/>
      <c r="DJ20" s="51"/>
      <c r="DK20" s="51"/>
      <c r="DL20" s="51"/>
      <c r="DM20" s="54"/>
      <c r="DN20" s="51"/>
      <c r="DO20" s="51"/>
      <c r="DP20" s="51"/>
      <c r="DQ20" s="54"/>
      <c r="DR20" s="51"/>
      <c r="DS20" s="51"/>
      <c r="DT20" s="51"/>
      <c r="DU20" s="54"/>
      <c r="DV20" s="51"/>
      <c r="DW20" s="51"/>
      <c r="DX20" s="51"/>
      <c r="DY20" s="54"/>
      <c r="DZ20" s="51"/>
      <c r="EA20" s="51"/>
      <c r="EB20" s="51"/>
      <c r="EC20" s="54"/>
      <c r="ED20" s="51"/>
      <c r="EE20" s="51"/>
      <c r="EF20" s="51"/>
      <c r="EG20" s="54"/>
      <c r="EH20" s="51"/>
      <c r="EI20" s="51"/>
      <c r="EJ20" s="51"/>
      <c r="EK20" s="54"/>
      <c r="EL20" s="51"/>
      <c r="EM20" s="51"/>
      <c r="EN20" s="51"/>
      <c r="EO20" s="54"/>
      <c r="EP20" s="51"/>
      <c r="EQ20" s="51"/>
      <c r="ER20" s="51"/>
      <c r="ES20" s="54"/>
      <c r="ET20" s="51"/>
      <c r="EU20" s="51"/>
      <c r="EV20" s="51"/>
      <c r="EW20" s="54"/>
      <c r="EX20" s="51"/>
      <c r="EY20" s="51"/>
      <c r="EZ20" s="51"/>
      <c r="FA20" s="54"/>
      <c r="FB20" s="51"/>
      <c r="FC20" s="51"/>
      <c r="FD20" s="51"/>
      <c r="FE20" s="54"/>
      <c r="FF20" s="51"/>
      <c r="FG20" s="51"/>
      <c r="FH20" s="51"/>
      <c r="FI20" s="54"/>
      <c r="FJ20" s="51"/>
      <c r="FK20" s="51"/>
      <c r="FL20" s="51"/>
      <c r="FM20" s="54"/>
      <c r="FN20" s="51"/>
      <c r="FO20" s="51"/>
      <c r="FP20" s="51"/>
      <c r="FQ20" s="54"/>
      <c r="FR20" s="51"/>
      <c r="FS20" s="51"/>
      <c r="FT20" s="51"/>
      <c r="FU20" s="54"/>
      <c r="FV20" s="51"/>
      <c r="FW20" s="51"/>
      <c r="FX20" s="51"/>
      <c r="FY20" s="54"/>
      <c r="FZ20" s="51"/>
      <c r="GA20" s="51"/>
      <c r="GB20" s="51"/>
      <c r="GC20" s="54"/>
      <c r="GD20" s="51"/>
      <c r="GE20" s="51"/>
      <c r="GF20" s="51"/>
      <c r="GG20" s="54"/>
      <c r="GH20" s="51"/>
      <c r="GI20" s="51"/>
      <c r="GJ20" s="51"/>
      <c r="GK20" s="54"/>
      <c r="GL20" s="51"/>
      <c r="GM20" s="51"/>
      <c r="GN20" s="51"/>
      <c r="GP20" s="51"/>
      <c r="GQ20" s="51"/>
      <c r="GR20" s="51"/>
      <c r="GS20" s="54"/>
      <c r="GT20" s="51"/>
      <c r="GU20" s="51"/>
      <c r="GV20" s="51"/>
      <c r="GW20" s="54"/>
      <c r="GX20" s="51"/>
      <c r="GY20" s="51"/>
      <c r="GZ20" s="51"/>
      <c r="HA20" s="54"/>
      <c r="HB20" s="51"/>
      <c r="HC20" s="51"/>
      <c r="HD20" s="51"/>
      <c r="HE20" s="54"/>
      <c r="HF20" s="51"/>
      <c r="HG20" s="51"/>
      <c r="HH20" s="51"/>
      <c r="HI20" s="54"/>
      <c r="HJ20" s="51"/>
      <c r="HK20" s="51"/>
      <c r="HL20" s="51"/>
      <c r="HM20" s="54"/>
      <c r="HN20" s="51"/>
      <c r="HO20" s="51"/>
      <c r="HP20" s="51"/>
      <c r="HQ20" s="54"/>
      <c r="HR20" s="51"/>
      <c r="HS20" s="51"/>
      <c r="HT20" s="51"/>
      <c r="HU20" s="54"/>
      <c r="HV20" s="51"/>
      <c r="HW20" s="51"/>
      <c r="HX20" s="51"/>
      <c r="HY20" s="54"/>
      <c r="HZ20" s="51"/>
      <c r="IA20" s="51"/>
      <c r="IB20" s="51"/>
      <c r="IC20" s="54"/>
      <c r="ID20" s="51"/>
      <c r="IE20" s="51"/>
      <c r="IF20" s="51"/>
      <c r="IG20" s="54"/>
      <c r="IH20" s="51"/>
      <c r="II20" s="51"/>
      <c r="IJ20" s="51"/>
      <c r="IL20" s="51"/>
      <c r="IM20" s="51"/>
      <c r="IN20" s="51"/>
      <c r="IO20" s="54"/>
      <c r="IP20" s="51"/>
      <c r="IQ20" s="51"/>
      <c r="IR20" s="51"/>
      <c r="IS20" s="54"/>
      <c r="IT20" s="51"/>
      <c r="IU20" s="51"/>
      <c r="IV20" s="51"/>
      <c r="IW20" s="54"/>
      <c r="IX20" s="51"/>
      <c r="IY20" s="51"/>
      <c r="IZ20" s="51"/>
      <c r="JA20" s="54"/>
      <c r="JB20" s="51"/>
      <c r="JC20" s="51"/>
      <c r="JD20" s="51"/>
      <c r="JE20" s="54"/>
      <c r="JF20" s="51"/>
      <c r="JG20" s="51"/>
      <c r="JH20" s="51"/>
      <c r="JI20" s="54"/>
      <c r="JJ20" s="51"/>
      <c r="JK20" s="51"/>
      <c r="JL20" s="51"/>
      <c r="JM20" s="54"/>
      <c r="JO20" s="80"/>
      <c r="JP20" s="80"/>
      <c r="JQ20" s="80"/>
      <c r="JS20" s="80"/>
      <c r="JT20" s="80"/>
      <c r="JU20" s="80"/>
      <c r="JW20" s="80"/>
      <c r="JX20" s="80"/>
      <c r="JY20" s="80"/>
      <c r="KA20" s="80"/>
      <c r="KB20" s="80"/>
      <c r="KC20" s="80"/>
      <c r="KE20" s="80"/>
      <c r="KF20" s="80"/>
      <c r="KG20" s="80"/>
      <c r="KI20" s="80"/>
      <c r="KJ20" s="80"/>
      <c r="KK20" s="80"/>
      <c r="KM20" s="80"/>
      <c r="KN20" s="80"/>
      <c r="KO20" s="80"/>
    </row>
    <row r="21" ht="18.75" customHeight="1" spans="2:301" x14ac:dyDescent="0.25">
      <c r="B21" s="5" t="str">
        <f>A.IIOPEX!C21</f>
        <v>2a</v>
      </c>
      <c r="C21" s="29"/>
      <c r="D21" s="29" t="str">
        <f>A.IIOPEX!E21</f>
        <v>Professional Charges</v>
      </c>
      <c r="E21" s="30"/>
      <c r="F21" s="51">
        <v>1</v>
      </c>
      <c r="G21" s="51"/>
      <c r="H21" s="51">
        <f>A.IIOPEX!I21</f>
        <v>50000</v>
      </c>
      <c r="I21" s="54"/>
      <c r="J21" s="51">
        <f>F21*J$19</f>
        <v>0.92</v>
      </c>
      <c r="K21" s="51">
        <f>G21*K$19</f>
        <v>0</v>
      </c>
      <c r="L21" s="51">
        <f>H21*L$19</f>
        <v>46000</v>
      </c>
      <c r="M21" s="54"/>
      <c r="N21" s="51">
        <f>J21*N$19</f>
        <v>0.92</v>
      </c>
      <c r="O21" s="51">
        <f>K21*O$19</f>
        <v>0</v>
      </c>
      <c r="P21" s="51">
        <f>L21*P$19</f>
        <v>46000</v>
      </c>
      <c r="Q21" s="54"/>
      <c r="R21" s="51">
        <f>N21*R$19</f>
        <v>0.92</v>
      </c>
      <c r="S21" s="51">
        <f>O21*S$19</f>
        <v>0</v>
      </c>
      <c r="T21" s="51">
        <f>P21*T$19</f>
        <v>46000</v>
      </c>
      <c r="U21" s="54"/>
      <c r="V21" s="51">
        <f t="shared" ref="V21:V27" si="139">R21*$V$19</f>
        <v>0.92</v>
      </c>
      <c r="W21" s="51"/>
      <c r="X21" s="51">
        <f>T21*X$19</f>
        <v>46000</v>
      </c>
      <c r="Y21" s="54"/>
      <c r="Z21" s="51">
        <f t="shared" ref="Z21:Z27" si="140">V21*$Z$19</f>
        <v>0.92</v>
      </c>
      <c r="AA21" s="51"/>
      <c r="AB21" s="51">
        <f>X21*AB$19</f>
        <v>46000</v>
      </c>
      <c r="AC21" s="54"/>
      <c r="AD21" s="51">
        <f>Z21*$AD$19</f>
        <v>0.92</v>
      </c>
      <c r="AE21" s="51"/>
      <c r="AF21" s="51">
        <f>AB21*AF$19</f>
        <v>46000</v>
      </c>
      <c r="AG21" s="54"/>
      <c r="AH21" s="51">
        <f>AD21*$AH$19</f>
        <v>0.9384</v>
      </c>
      <c r="AI21" s="51"/>
      <c r="AJ21" s="51">
        <f>AF21*AJ$19</f>
        <v>46920</v>
      </c>
      <c r="AK21" s="54"/>
      <c r="AL21" s="51">
        <f>AH21*$AL$19</f>
        <v>0.9384</v>
      </c>
      <c r="AM21" s="51"/>
      <c r="AN21" s="51">
        <f>AJ21*AN$19</f>
        <v>46920</v>
      </c>
      <c r="AO21" s="54"/>
      <c r="AP21" s="51">
        <f>AL21*$AP$19</f>
        <v>0.9384</v>
      </c>
      <c r="AQ21" s="51"/>
      <c r="AR21" s="51">
        <f>AN21*AR$19</f>
        <v>46920</v>
      </c>
      <c r="AS21" s="54"/>
      <c r="AT21" s="51">
        <f>AP21*$AT$19</f>
        <v>0.9384</v>
      </c>
      <c r="AU21" s="51"/>
      <c r="AV21" s="51">
        <f>AR21*AV$19</f>
        <v>46920</v>
      </c>
      <c r="AW21" s="54"/>
      <c r="AX21" s="51">
        <f>AT21*$AX$19</f>
        <v>0.9384</v>
      </c>
      <c r="AY21" s="51"/>
      <c r="AZ21" s="51">
        <f>AV21*AZ$19</f>
        <v>46920</v>
      </c>
      <c r="BA21" s="54"/>
      <c r="BB21" s="51">
        <f t="shared" ref="BB21:BB27" si="141">AX21*$BB$19</f>
        <v>0.9384</v>
      </c>
      <c r="BC21" s="51"/>
      <c r="BD21" s="51">
        <f>AZ21*BD$19</f>
        <v>46920</v>
      </c>
      <c r="BE21" s="54"/>
      <c r="BF21" s="51">
        <f>BB21*$BF$19</f>
        <v>0.9384</v>
      </c>
      <c r="BG21" s="51"/>
      <c r="BH21" s="51">
        <f>BD21*BH$19</f>
        <v>46920</v>
      </c>
      <c r="BI21" s="54"/>
      <c r="BJ21" s="51">
        <f>BF21*$BJ$19</f>
        <v>0.9384</v>
      </c>
      <c r="BK21" s="51">
        <f>BG21*$BK$19</f>
        <v>0</v>
      </c>
      <c r="BL21" s="51">
        <f>BH21*BL$19</f>
        <v>46920</v>
      </c>
      <c r="BM21" s="54"/>
      <c r="BN21" s="51">
        <f>BJ21*$BN$19</f>
        <v>0.9384</v>
      </c>
      <c r="BO21" s="51">
        <f>BK21*$BO$19</f>
        <v>0</v>
      </c>
      <c r="BP21" s="51">
        <f>BL21*BP$19</f>
        <v>46920</v>
      </c>
      <c r="BQ21" s="54"/>
      <c r="BR21" s="51">
        <f>BN21*$BR$19</f>
        <v>0.9384</v>
      </c>
      <c r="BS21" s="51">
        <f>BO21*$BS$19</f>
        <v>0</v>
      </c>
      <c r="BT21" s="51">
        <f>BP21*BT$19</f>
        <v>46920</v>
      </c>
      <c r="BU21" s="54"/>
      <c r="BV21" s="51">
        <f>BR21*$BV$19</f>
        <v>0.9384</v>
      </c>
      <c r="BW21" s="51">
        <f>BS21*$BW$19</f>
        <v>0</v>
      </c>
      <c r="BX21" s="51">
        <f>BT21*BX$19</f>
        <v>46920</v>
      </c>
      <c r="BY21" s="54"/>
      <c r="BZ21" s="51">
        <f>BV21*$BZ$19</f>
        <v>0.9384</v>
      </c>
      <c r="CA21" s="51">
        <f>BW21*$CA$19</f>
        <v>0</v>
      </c>
      <c r="CB21" s="51">
        <f>BX21*CB$19</f>
        <v>46920</v>
      </c>
      <c r="CC21" s="54"/>
      <c r="CD21" s="51">
        <f>BZ21*$CD$19</f>
        <v>1.07916</v>
      </c>
      <c r="CE21" s="51">
        <f>CA21*$CE$19</f>
        <v>0</v>
      </c>
      <c r="CF21" s="51">
        <f>CB21*CF$19</f>
        <v>53957.99999999999</v>
      </c>
      <c r="CG21" s="54"/>
      <c r="CH21" s="51">
        <f>CD21*$CH$19</f>
        <v>1.07916</v>
      </c>
      <c r="CI21" s="51">
        <f>CE21*$CI$19</f>
        <v>0</v>
      </c>
      <c r="CJ21" s="51">
        <f>CF21*CJ$19</f>
        <v>53957.99999999999</v>
      </c>
      <c r="CK21" s="54"/>
      <c r="CL21" s="51">
        <f>CH21*$CL$19</f>
        <v>1.07916</v>
      </c>
      <c r="CM21" s="51">
        <f>CI21*$CM$19</f>
        <v>0</v>
      </c>
      <c r="CN21" s="51">
        <f>CJ21*CN$19</f>
        <v>53957.99999999999</v>
      </c>
      <c r="CO21" s="54"/>
      <c r="CP21" s="51">
        <f>CL21*$CP$19</f>
        <v>1.07916</v>
      </c>
      <c r="CQ21" s="51">
        <f>CM21*$CQ$19</f>
        <v>0</v>
      </c>
      <c r="CR21" s="51">
        <f>CN21*CR$19</f>
        <v>53957.99999999999</v>
      </c>
      <c r="CS21" s="54"/>
      <c r="CT21" s="51">
        <f>CP21*$CT$19</f>
        <v>1.07916</v>
      </c>
      <c r="CU21" s="51">
        <f>CQ21*$CU$19</f>
        <v>0</v>
      </c>
      <c r="CV21" s="51">
        <f>CR21*CV$19</f>
        <v>53957.99999999999</v>
      </c>
      <c r="CW21" s="54"/>
      <c r="CX21" s="51">
        <f t="shared" ref="CX21:CX27" si="142">CT21*$CX$19</f>
        <v>1.07916</v>
      </c>
      <c r="CY21" s="51">
        <f t="shared" ref="CY21:CY27" si="143">CU21*$CY$19</f>
        <v>0</v>
      </c>
      <c r="CZ21" s="51">
        <f>CV21*CZ$19</f>
        <v>53957.99999999999</v>
      </c>
      <c r="DA21" s="54"/>
      <c r="DB21" s="51">
        <f>CX21*$DB$19</f>
        <v>1.07916</v>
      </c>
      <c r="DC21" s="51">
        <f>CY21*$DC$19</f>
        <v>0</v>
      </c>
      <c r="DD21" s="51">
        <f>CZ21*DD$19</f>
        <v>53957.99999999999</v>
      </c>
      <c r="DE21" s="54"/>
      <c r="DF21" s="51">
        <f>DB21*$DF$19</f>
        <v>1.07916</v>
      </c>
      <c r="DG21" s="51">
        <f>DC21*$DG$19</f>
        <v>0</v>
      </c>
      <c r="DH21" s="51">
        <f>DD21*DH$19</f>
        <v>53957.99999999999</v>
      </c>
      <c r="DI21" s="54"/>
      <c r="DJ21" s="51">
        <f>DF21*$DJ$19</f>
        <v>1.07916</v>
      </c>
      <c r="DK21" s="51">
        <f>DG21*$DK$19</f>
        <v>0</v>
      </c>
      <c r="DL21" s="51">
        <f>DH21*DL$19</f>
        <v>53957.99999999999</v>
      </c>
      <c r="DM21" s="54"/>
      <c r="DN21" s="51">
        <f>DJ21*$DN$19</f>
        <v>1.07916</v>
      </c>
      <c r="DO21" s="51">
        <f>DK21*$DO$19</f>
        <v>0</v>
      </c>
      <c r="DP21" s="51">
        <f>DL21*DP$19</f>
        <v>53957.99999999999</v>
      </c>
      <c r="DQ21" s="54"/>
      <c r="DR21" s="51">
        <f>DN21*$DR$19</f>
        <v>1.07916</v>
      </c>
      <c r="DS21" s="51">
        <f>DO21*$DS$19</f>
        <v>0</v>
      </c>
      <c r="DT21" s="51">
        <f>DP21*DT$19</f>
        <v>53957.99999999999</v>
      </c>
      <c r="DU21" s="54"/>
      <c r="DV21" s="51">
        <f>DR21*$DV$19</f>
        <v>1.07916</v>
      </c>
      <c r="DW21" s="51">
        <f>DS21*$DW$19</f>
        <v>0</v>
      </c>
      <c r="DX21" s="51">
        <f>DT21*DX$19</f>
        <v>53957.99999999999</v>
      </c>
      <c r="DY21" s="54"/>
      <c r="DZ21" s="51">
        <f>DV21*$DZ$19</f>
        <v>1.5108239999999997</v>
      </c>
      <c r="EA21" s="51">
        <f>DW21*$EA$19</f>
        <v>0</v>
      </c>
      <c r="EB21" s="51">
        <f>DX21*EB$19</f>
        <v>75541.19999999998</v>
      </c>
      <c r="EC21" s="54"/>
      <c r="ED21" s="51">
        <f>DZ21*$ED$19</f>
        <v>1.5108239999999997</v>
      </c>
      <c r="EE21" s="51">
        <f>EA21*$EE$19</f>
        <v>0</v>
      </c>
      <c r="EF21" s="51">
        <f>EB21*EF$19</f>
        <v>75541.19999999998</v>
      </c>
      <c r="EG21" s="54"/>
      <c r="EH21" s="51">
        <f>ED21*$EH$19</f>
        <v>1.5108239999999997</v>
      </c>
      <c r="EI21" s="51">
        <f>EE21*$EI$19</f>
        <v>0</v>
      </c>
      <c r="EJ21" s="51">
        <f>EF21*EJ$19</f>
        <v>75541.19999999998</v>
      </c>
      <c r="EK21" s="54"/>
      <c r="EL21" s="51">
        <f>EH21*$EL$19</f>
        <v>1.5108239999999997</v>
      </c>
      <c r="EM21" s="51">
        <f>EI21*$EM$19</f>
        <v>0</v>
      </c>
      <c r="EN21" s="51">
        <f>EJ21*EN$19</f>
        <v>75541.19999999998</v>
      </c>
      <c r="EO21" s="54"/>
      <c r="EP21" s="51">
        <f>EL21*$EP$19</f>
        <v>1.5108239999999997</v>
      </c>
      <c r="EQ21" s="51">
        <f>EM21*$EQ$19</f>
        <v>0</v>
      </c>
      <c r="ER21" s="51">
        <f>EN21*ER$19</f>
        <v>75541.19999999998</v>
      </c>
      <c r="ES21" s="54"/>
      <c r="ET21" s="51">
        <f t="shared" ref="ET21:ET27" si="144">EP21*$ET$19</f>
        <v>1.5108239999999997</v>
      </c>
      <c r="EU21" s="51">
        <f t="shared" ref="EU21:EU27" si="145">EQ21*$EU$19</f>
        <v>0</v>
      </c>
      <c r="EV21" s="51">
        <f>ER21*EV$19</f>
        <v>75541.19999999998</v>
      </c>
      <c r="EW21" s="54"/>
      <c r="EX21" s="51">
        <f>ET21*$EX$19</f>
        <v>1.5108239999999997</v>
      </c>
      <c r="EY21" s="51">
        <f>EU21*$EY$19</f>
        <v>0</v>
      </c>
      <c r="EZ21" s="51">
        <f>EV21*EZ$19</f>
        <v>75541.19999999998</v>
      </c>
      <c r="FA21" s="54"/>
      <c r="FB21" s="51">
        <f>EX21*$FB$19</f>
        <v>1.5108239999999997</v>
      </c>
      <c r="FC21" s="51">
        <f>EY21*$FC$19</f>
        <v>0</v>
      </c>
      <c r="FD21" s="51">
        <f>EZ21*FD$19</f>
        <v>75541.19999999998</v>
      </c>
      <c r="FE21" s="54"/>
      <c r="FF21" s="51">
        <f>FB21*$FF$19</f>
        <v>1.5108239999999997</v>
      </c>
      <c r="FG21" s="51">
        <f>FC21*$FG$19</f>
        <v>0</v>
      </c>
      <c r="FH21" s="51">
        <f>FD21*FH$19</f>
        <v>75541.19999999998</v>
      </c>
      <c r="FI21" s="54"/>
      <c r="FJ21" s="51">
        <f>FF21*$FJ$19</f>
        <v>1.7374475999999996</v>
      </c>
      <c r="FK21" s="51">
        <f>FG21*$FK$19</f>
        <v>0</v>
      </c>
      <c r="FL21" s="51">
        <f>FH21*FL$19</f>
        <v>75541.19999999998</v>
      </c>
      <c r="FM21" s="54"/>
      <c r="FN21" s="51">
        <f>FJ21*$FN$19</f>
        <v>1.7374475999999996</v>
      </c>
      <c r="FO21" s="51">
        <f>FK21*$FO$19</f>
        <v>0</v>
      </c>
      <c r="FP21" s="51">
        <f>FL21*FP$19</f>
        <v>75541.19999999998</v>
      </c>
      <c r="FQ21" s="54"/>
      <c r="FR21" s="51">
        <f>FN21*$FR$19</f>
        <v>1.7374475999999996</v>
      </c>
      <c r="FS21" s="51">
        <f>FO21*$FS$19</f>
        <v>0</v>
      </c>
      <c r="FT21" s="51">
        <f>FP21*FT$19</f>
        <v>75541.19999999998</v>
      </c>
      <c r="FU21" s="54"/>
      <c r="FV21" s="51">
        <f>FR21*$FV$19</f>
        <v>1.7374475999999996</v>
      </c>
      <c r="FW21" s="51">
        <f>FS21*$FW$19</f>
        <v>0</v>
      </c>
      <c r="FX21" s="51">
        <f>FT21*FX$19</f>
        <v>86872.37999999998</v>
      </c>
      <c r="FY21" s="54"/>
      <c r="FZ21" s="51">
        <f>FV21*$FZ$19</f>
        <v>1.7374475999999996</v>
      </c>
      <c r="GA21" s="51">
        <f>FW21*$GA$19</f>
        <v>0</v>
      </c>
      <c r="GB21" s="51">
        <f>FX21*GB$19</f>
        <v>86872.37999999998</v>
      </c>
      <c r="GC21" s="54"/>
      <c r="GD21" s="51">
        <f>FZ21*$GD$19</f>
        <v>1.7374475999999996</v>
      </c>
      <c r="GE21" s="51">
        <f>GA21*$GE$19</f>
        <v>0</v>
      </c>
      <c r="GF21" s="51">
        <f>GB21*GF$19</f>
        <v>86872.37999999998</v>
      </c>
      <c r="GG21" s="54"/>
      <c r="GH21" s="51">
        <f>GD21*$GH$19</f>
        <v>1.7374475999999996</v>
      </c>
      <c r="GI21" s="51">
        <f>GE21*$GI$19</f>
        <v>0</v>
      </c>
      <c r="GJ21" s="51">
        <f>GF21*GJ$19</f>
        <v>86872.37999999998</v>
      </c>
      <c r="GK21" s="54"/>
      <c r="GL21" s="51">
        <f>GH21*$GL$19</f>
        <v>1.7374475999999996</v>
      </c>
      <c r="GM21" s="51">
        <f>GI21*$GM$19</f>
        <v>0</v>
      </c>
      <c r="GN21" s="51">
        <f>GJ21*GN$19</f>
        <v>86872.37999999998</v>
      </c>
      <c r="GP21" s="51">
        <f t="shared" ref="GP21:GP27" si="146">GL21*$GP$19</f>
        <v>1.7374475999999996</v>
      </c>
      <c r="GQ21" s="51">
        <f t="shared" ref="GQ21:GQ27" si="147">GM21*$GQ$19</f>
        <v>0</v>
      </c>
      <c r="GR21" s="51">
        <f>GN21*GR$19</f>
        <v>86872.37999999998</v>
      </c>
      <c r="GS21" s="54"/>
      <c r="GT21" s="51">
        <f>GP21*$GT$19</f>
        <v>1.7374475999999996</v>
      </c>
      <c r="GU21" s="51">
        <f>GQ21*$GU$19</f>
        <v>0</v>
      </c>
      <c r="GV21" s="51">
        <f>GR21*GV$19</f>
        <v>86872.37999999998</v>
      </c>
      <c r="GW21" s="54"/>
      <c r="GX21" s="51">
        <f>GT21*$GX$19</f>
        <v>1.7374475999999996</v>
      </c>
      <c r="GY21" s="51">
        <f>GU21*$GY$19</f>
        <v>0</v>
      </c>
      <c r="GZ21" s="51">
        <f>GV21*GZ$19</f>
        <v>86872.37999999998</v>
      </c>
      <c r="HA21" s="54"/>
      <c r="HB21" s="51">
        <f>GX21*$HB$19</f>
        <v>1.7374475999999996</v>
      </c>
      <c r="HC21" s="51">
        <f>GY21*$HC$19</f>
        <v>0</v>
      </c>
      <c r="HD21" s="51">
        <f>GZ21*HD$19</f>
        <v>86872.37999999998</v>
      </c>
      <c r="HE21" s="54"/>
      <c r="HF21" s="51">
        <f>HB21*$HF$19</f>
        <v>2.0501881679999996</v>
      </c>
      <c r="HG21" s="51">
        <f>HC21*$HG$19</f>
        <v>0</v>
      </c>
      <c r="HH21" s="51">
        <f>HD21*HH$19</f>
        <v>86872.37999999998</v>
      </c>
      <c r="HI21" s="54"/>
      <c r="HJ21" s="51">
        <f>HF21*$HJ$19</f>
        <v>2.0501881679999996</v>
      </c>
      <c r="HK21" s="51">
        <f>HG21*$HK$19</f>
        <v>0</v>
      </c>
      <c r="HL21" s="51">
        <f>HH21*HL$19</f>
        <v>86872.37999999998</v>
      </c>
      <c r="HM21" s="54"/>
      <c r="HN21" s="51">
        <f>HJ21*$HN$19</f>
        <v>2.0501881679999996</v>
      </c>
      <c r="HO21" s="51">
        <f>HK21*$HO$19</f>
        <v>0</v>
      </c>
      <c r="HP21" s="51">
        <f>HL21*HP$19</f>
        <v>86872.37999999998</v>
      </c>
      <c r="HQ21" s="54"/>
      <c r="HR21" s="51">
        <f>HN21*$HR$19</f>
        <v>2.0501881679999996</v>
      </c>
      <c r="HS21" s="51">
        <f>HO21*$HS$19</f>
        <v>0</v>
      </c>
      <c r="HT21" s="51">
        <f>HP21*HT$19</f>
        <v>102509.40839999997</v>
      </c>
      <c r="HU21" s="54"/>
      <c r="HV21" s="51">
        <f>HR21*$HV$19</f>
        <v>2.0501881679999996</v>
      </c>
      <c r="HW21" s="51">
        <f>HS21*$HW$19</f>
        <v>0</v>
      </c>
      <c r="HX21" s="51">
        <f>HT21*HX$19</f>
        <v>102509.40839999997</v>
      </c>
      <c r="HY21" s="54"/>
      <c r="HZ21" s="51">
        <f>HV21*$HZ$19</f>
        <v>2.0501881679999996</v>
      </c>
      <c r="IA21" s="51">
        <f>HW21*$IA$19</f>
        <v>0</v>
      </c>
      <c r="IB21" s="51">
        <f>HX21*IB$19</f>
        <v>102509.40839999997</v>
      </c>
      <c r="IC21" s="54"/>
      <c r="ID21" s="51">
        <f>HZ21*$ID$19</f>
        <v>2.0501881679999996</v>
      </c>
      <c r="IE21" s="51">
        <f>IA21*$IE$19</f>
        <v>0</v>
      </c>
      <c r="IF21" s="51">
        <f>IB21*IF$19</f>
        <v>102509.40839999997</v>
      </c>
      <c r="IG21" s="54"/>
      <c r="IH21" s="51">
        <f>ID21*$IH$19</f>
        <v>2.0501881679999996</v>
      </c>
      <c r="II21" s="51">
        <f>IE21*$II$19</f>
        <v>0</v>
      </c>
      <c r="IJ21" s="51">
        <f>IF21*IJ$19</f>
        <v>102509.40839999997</v>
      </c>
      <c r="IL21" s="51">
        <f t="shared" ref="IL21:IL27" si="148">IH21*$IL$19</f>
        <v>2.0501881679999996</v>
      </c>
      <c r="IM21" s="51">
        <f t="shared" ref="IM21:IM27" si="149">II21*$IM$19</f>
        <v>0</v>
      </c>
      <c r="IN21" s="51">
        <f>IJ21*IN$19</f>
        <v>102509.40839999997</v>
      </c>
      <c r="IO21" s="54"/>
      <c r="IP21" s="51">
        <f>IL21*$IP$19</f>
        <v>2.0501881679999996</v>
      </c>
      <c r="IQ21" s="51">
        <f>IM21*$IQ$19</f>
        <v>0</v>
      </c>
      <c r="IR21" s="51">
        <f>IN21*IR$19</f>
        <v>102509.40839999997</v>
      </c>
      <c r="IS21" s="54"/>
      <c r="IT21" s="51">
        <f>IP21*$IT$19</f>
        <v>2.0501881679999996</v>
      </c>
      <c r="IU21" s="51">
        <f>IQ21*$IU$19</f>
        <v>0</v>
      </c>
      <c r="IV21" s="51">
        <f>IR21*IV$19</f>
        <v>102509.40839999997</v>
      </c>
      <c r="IW21" s="54"/>
      <c r="IX21" s="51">
        <f>IT21*$IX$19</f>
        <v>2.0501881679999996</v>
      </c>
      <c r="IY21" s="51">
        <f>IU21*$IY$19</f>
        <v>0</v>
      </c>
      <c r="IZ21" s="51">
        <f>IV21*IZ$19</f>
        <v>102509.40839999997</v>
      </c>
      <c r="JA21" s="54"/>
      <c r="JB21" s="51" t="e">
        <f>IX21*$JB$19</f>
        <v>#REF!</v>
      </c>
      <c r="JC21" s="51">
        <f>IY21*$JC$19</f>
        <v>0</v>
      </c>
      <c r="JD21" s="51">
        <f>IZ21*JD$19</f>
        <v>102509.40839999997</v>
      </c>
      <c r="JE21" s="54"/>
      <c r="JF21" s="51" t="e">
        <f>JB21*$JF$19</f>
        <v>#REF!</v>
      </c>
      <c r="JG21" s="51">
        <f>JC21*$JG$19</f>
        <v>0</v>
      </c>
      <c r="JH21" s="51">
        <f>JD21*JH$19</f>
        <v>102509.40839999997</v>
      </c>
      <c r="JI21" s="54"/>
      <c r="JJ21" s="51" t="e">
        <f>JF21*$JJ$19</f>
        <v>#REF!</v>
      </c>
      <c r="JK21" s="51">
        <f>JG21*$JK$19</f>
        <v>0</v>
      </c>
      <c r="JL21" s="51">
        <f>JH21*JL$19</f>
        <v>102509.40839999997</v>
      </c>
      <c r="JM21" s="54"/>
      <c r="JO21" s="80"/>
      <c r="JP21" s="80"/>
      <c r="JQ21" s="80">
        <f t="shared" ref="JQ21:JQ28" si="150">SUMIFS($F21:$JM21,$F$3:$JM$3,JO$5,$F$6:$JM$6,JQ$6)</f>
        <v>419840</v>
      </c>
      <c r="JS21" s="80"/>
      <c r="JT21" s="80"/>
      <c r="JU21" s="80">
        <f t="shared" ref="JU21:JU28" si="151">SUMIFS($F21:$JM21,$F$3:$JM$3,JS$5,$F$6:$JM$6,JU$6)</f>
        <v>469200</v>
      </c>
      <c r="JW21" s="80"/>
      <c r="JX21" s="80"/>
      <c r="JY21" s="80">
        <f t="shared" ref="JY21:JY28" si="152">SUMIFS($F21:$JM21,$F$3:$JM$3,JW$5,$F$6:$JM$6,JY$6)</f>
        <v>647495.9999999999</v>
      </c>
      <c r="KA21" s="80"/>
      <c r="KB21" s="80"/>
      <c r="KC21" s="80">
        <f t="shared" ref="KC21:KC28" si="153">SUMIFS($F21:$JM21,$F$3:$JM$3,KA$5,$F$6:$JM$6,KC$6)</f>
        <v>906494.3999999996</v>
      </c>
      <c r="KE21" s="80"/>
      <c r="KF21" s="80"/>
      <c r="KG21" s="80">
        <f t="shared" ref="KG21:KG28" si="154">SUMIFS($F21:$JM21,$F$3:$JM$3,KE$5,$F$6:$JM$6,KG$6)</f>
        <v>1042468.5599999999</v>
      </c>
      <c r="KI21" s="80"/>
      <c r="KJ21" s="80"/>
      <c r="KK21" s="80">
        <f t="shared" ref="KK21:KK28" si="155">SUMIFS($F21:$JM21,$F$3:$JM$3,KI$5,$F$6:$JM$6,KK$6)</f>
        <v>1230112.9007999997</v>
      </c>
      <c r="KM21" s="80"/>
      <c r="KN21" s="80"/>
      <c r="KO21" s="80">
        <f t="shared" ref="KO21:KO28" si="156">SUMIFS($F21:$JM21,$F$3:$JM$3,KM$5,$F$6:$JM$6,KO$6)</f>
        <v>1230112.9007999997</v>
      </c>
    </row>
    <row r="22" ht="18.75" customHeight="1" spans="2:301" x14ac:dyDescent="0.25">
      <c r="B22" s="5" t="str">
        <f>A.IIOPEX!C22</f>
        <v>2b</v>
      </c>
      <c r="C22" s="29"/>
      <c r="D22" s="29">
        <f>A.IIOPEX!E22</f>
        <v>0</v>
      </c>
      <c r="E22" s="30"/>
      <c r="F22" s="51">
        <v>1</v>
      </c>
      <c r="G22" s="51"/>
      <c r="H22" s="51">
        <f>A.IIOPEX!I22</f>
        <v>0</v>
      </c>
      <c r="I22" s="54"/>
      <c r="J22" s="51">
        <f t="shared" ref="J22:J27" si="157">F22*$J$19</f>
        <v>0.92</v>
      </c>
      <c r="K22" s="51"/>
      <c r="L22" s="51">
        <f t="shared" ref="L22:L27" si="158">H22*L$19</f>
        <v>0</v>
      </c>
      <c r="M22" s="54"/>
      <c r="N22" s="51">
        <f t="shared" ref="N22:N27" si="159">J22*$N$19</f>
        <v>0.92</v>
      </c>
      <c r="O22" s="51"/>
      <c r="P22" s="51">
        <f t="shared" ref="P22:P27" si="160">L22*P$19</f>
        <v>0</v>
      </c>
      <c r="Q22" s="54"/>
      <c r="R22" s="51">
        <f t="shared" ref="R22:R27" si="161">N22*$R$19</f>
        <v>0.92</v>
      </c>
      <c r="S22" s="51"/>
      <c r="T22" s="51">
        <f t="shared" ref="T22:T27" si="162">P22*T$19</f>
        <v>0</v>
      </c>
      <c r="U22" s="54"/>
      <c r="V22" s="51">
        <f t="shared" si="139"/>
        <v>0.92</v>
      </c>
      <c r="W22" s="51"/>
      <c r="X22" s="51">
        <f t="shared" ref="X22:X27" si="163">T22*X$19</f>
        <v>0</v>
      </c>
      <c r="Y22" s="54"/>
      <c r="Z22" s="51">
        <f t="shared" si="140"/>
        <v>0.92</v>
      </c>
      <c r="AA22" s="51"/>
      <c r="AB22" s="51">
        <f t="shared" ref="AB22:AB27" si="164">X22*AB$19</f>
        <v>0</v>
      </c>
      <c r="AC22" s="54"/>
      <c r="AD22" s="51">
        <f>Z22*$AD$19</f>
        <v>0.92</v>
      </c>
      <c r="AE22" s="51"/>
      <c r="AF22" s="51">
        <f t="shared" ref="AF22:AF27" si="165">AB22*AF$19</f>
        <v>0</v>
      </c>
      <c r="AG22" s="54"/>
      <c r="AH22" s="51">
        <f>AD22*$AH$19</f>
        <v>0.9384</v>
      </c>
      <c r="AI22" s="51"/>
      <c r="AJ22" s="51">
        <f t="shared" ref="AJ22:AJ27" si="166">AF22*AJ$19</f>
        <v>0</v>
      </c>
      <c r="AK22" s="54"/>
      <c r="AL22" s="51">
        <f>AH22*$AL$19</f>
        <v>0.9384</v>
      </c>
      <c r="AM22" s="51"/>
      <c r="AN22" s="51">
        <f t="shared" ref="AN22:AN27" si="167">AJ22*AN$19</f>
        <v>0</v>
      </c>
      <c r="AO22" s="54"/>
      <c r="AP22" s="51">
        <f>AL22*$AP$19</f>
        <v>0.9384</v>
      </c>
      <c r="AQ22" s="51"/>
      <c r="AR22" s="51">
        <f t="shared" ref="AR22:AR27" si="168">AN22*AR$19</f>
        <v>0</v>
      </c>
      <c r="AS22" s="54"/>
      <c r="AT22" s="51">
        <f>AP22*$AT$19</f>
        <v>0.9384</v>
      </c>
      <c r="AU22" s="51"/>
      <c r="AV22" s="51">
        <f t="shared" ref="AV22:AV27" si="169">AR22*AV$19</f>
        <v>0</v>
      </c>
      <c r="AW22" s="54"/>
      <c r="AX22" s="51">
        <f>AT22*$AX$19</f>
        <v>0.9384</v>
      </c>
      <c r="AY22" s="51"/>
      <c r="AZ22" s="51">
        <f t="shared" ref="AZ22:AZ27" si="170">AV22*AZ$19</f>
        <v>0</v>
      </c>
      <c r="BA22" s="54"/>
      <c r="BB22" s="51">
        <f t="shared" si="141"/>
        <v>0.9384</v>
      </c>
      <c r="BC22" s="51"/>
      <c r="BD22" s="51">
        <f t="shared" ref="BD22:BD27" si="171">AZ22*BD$19</f>
        <v>0</v>
      </c>
      <c r="BE22" s="54"/>
      <c r="BF22" s="51">
        <f>BB22*$BF$19</f>
        <v>0.9384</v>
      </c>
      <c r="BG22" s="51"/>
      <c r="BH22" s="51">
        <f t="shared" ref="BH22:BH27" si="172">BD22*BH$19</f>
        <v>0</v>
      </c>
      <c r="BI22" s="54"/>
      <c r="BJ22" s="51">
        <f t="shared" ref="BJ22:BJ25" si="173">BF22*$BJ$19</f>
        <v>0.9384</v>
      </c>
      <c r="BK22" s="51">
        <f t="shared" ref="BK22:BK25" si="174">BG22*$BK$19</f>
        <v>0</v>
      </c>
      <c r="BL22" s="51">
        <f t="shared" ref="BL22:BL27" si="175">BH22*BL$19</f>
        <v>0</v>
      </c>
      <c r="BM22" s="54"/>
      <c r="BN22" s="51">
        <f t="shared" ref="BN22:BN25" si="176">BJ22*$BN$19</f>
        <v>0.9384</v>
      </c>
      <c r="BO22" s="51">
        <f t="shared" ref="BO22:BO25" si="177">BK22*$BO$19</f>
        <v>0</v>
      </c>
      <c r="BP22" s="51">
        <f t="shared" ref="BP22:BP27" si="178">BL22*BP$19</f>
        <v>0</v>
      </c>
      <c r="BQ22" s="54"/>
      <c r="BR22" s="51">
        <f t="shared" ref="BR22:BR25" si="179">BN22*$BR$19</f>
        <v>0.9384</v>
      </c>
      <c r="BS22" s="51">
        <f t="shared" ref="BS22:BS25" si="180">BO22*$BS$19</f>
        <v>0</v>
      </c>
      <c r="BT22" s="51">
        <f t="shared" ref="BT22:BT27" si="181">BP22*BT$19</f>
        <v>0</v>
      </c>
      <c r="BU22" s="54"/>
      <c r="BV22" s="51">
        <f t="shared" ref="BV22:BV25" si="182">BR22*$BV$19</f>
        <v>0.9384</v>
      </c>
      <c r="BW22" s="51">
        <f t="shared" ref="BW22:BW25" si="183">BS22*$BW$19</f>
        <v>0</v>
      </c>
      <c r="BX22" s="51">
        <f t="shared" ref="BX22:BX27" si="184">BT22*BX$19</f>
        <v>0</v>
      </c>
      <c r="BY22" s="54"/>
      <c r="BZ22" s="51">
        <f t="shared" ref="BZ22:BZ25" si="185">BV22*$BZ$19</f>
        <v>0.9384</v>
      </c>
      <c r="CA22" s="51">
        <f t="shared" ref="CA22:CA25" si="186">BW22*$CA$19</f>
        <v>0</v>
      </c>
      <c r="CB22" s="51">
        <f t="shared" ref="CB22:CB27" si="187">BX22*CB$19</f>
        <v>0</v>
      </c>
      <c r="CC22" s="54"/>
      <c r="CD22" s="51">
        <f t="shared" ref="CD22:CD25" si="188">BZ22*$CD$19</f>
        <v>1.07916</v>
      </c>
      <c r="CE22" s="51">
        <f t="shared" ref="CE22:CE25" si="189">CA22*$CE$19</f>
        <v>0</v>
      </c>
      <c r="CF22" s="51">
        <f t="shared" ref="CF22:CF27" si="190">CB22*CF$19</f>
        <v>0</v>
      </c>
      <c r="CG22" s="54"/>
      <c r="CH22" s="51">
        <f t="shared" ref="CH22:CH25" si="191">CD22*$CH$19</f>
        <v>1.07916</v>
      </c>
      <c r="CI22" s="51">
        <f t="shared" ref="CI22:CI25" si="192">CE22*$CI$19</f>
        <v>0</v>
      </c>
      <c r="CJ22" s="51">
        <f t="shared" ref="CJ22:CJ27" si="193">CF22*CJ$19</f>
        <v>0</v>
      </c>
      <c r="CK22" s="54"/>
      <c r="CL22" s="51">
        <f t="shared" ref="CL22:CL25" si="194">CH22*$CL$19</f>
        <v>1.07916</v>
      </c>
      <c r="CM22" s="51">
        <f t="shared" ref="CM22:CM25" si="195">CI22*$CM$19</f>
        <v>0</v>
      </c>
      <c r="CN22" s="51">
        <f t="shared" ref="CN22:CN27" si="196">CJ22*CN$19</f>
        <v>0</v>
      </c>
      <c r="CO22" s="54"/>
      <c r="CP22" s="51">
        <f t="shared" ref="CP22:CP25" si="197">CL22*$CP$19</f>
        <v>1.07916</v>
      </c>
      <c r="CQ22" s="51">
        <f t="shared" ref="CQ22:CQ25" si="198">CM22*$CQ$19</f>
        <v>0</v>
      </c>
      <c r="CR22" s="51">
        <f t="shared" ref="CR22:CR27" si="199">CN22*CR$19</f>
        <v>0</v>
      </c>
      <c r="CS22" s="54"/>
      <c r="CT22" s="51">
        <f t="shared" ref="CT22:CT25" si="200">CP22*$CT$19</f>
        <v>1.07916</v>
      </c>
      <c r="CU22" s="51">
        <f t="shared" ref="CU22:CU25" si="201">CQ22*$CU$19</f>
        <v>0</v>
      </c>
      <c r="CV22" s="51">
        <f t="shared" ref="CV22:CV27" si="202">CR22*CV$19</f>
        <v>0</v>
      </c>
      <c r="CW22" s="54"/>
      <c r="CX22" s="51">
        <f t="shared" si="142"/>
        <v>1.07916</v>
      </c>
      <c r="CY22" s="51">
        <f t="shared" si="143"/>
        <v>0</v>
      </c>
      <c r="CZ22" s="51">
        <f t="shared" ref="CZ22:CZ27" si="203">CV22*CZ$19</f>
        <v>0</v>
      </c>
      <c r="DA22" s="54"/>
      <c r="DB22" s="51">
        <f t="shared" ref="DB22:DB25" si="204">CX22*$DB$19</f>
        <v>1.07916</v>
      </c>
      <c r="DC22" s="51">
        <f t="shared" ref="DC22:DC25" si="205">CY22*$DC$19</f>
        <v>0</v>
      </c>
      <c r="DD22" s="51">
        <f t="shared" ref="DD22:DD27" si="206">CZ22*DD$19</f>
        <v>0</v>
      </c>
      <c r="DE22" s="54"/>
      <c r="DF22" s="51">
        <f t="shared" ref="DF22:DF25" si="207">DB22*$DF$19</f>
        <v>1.07916</v>
      </c>
      <c r="DG22" s="51">
        <f t="shared" ref="DG22:DG25" si="208">DC22*$DG$19</f>
        <v>0</v>
      </c>
      <c r="DH22" s="51">
        <f t="shared" ref="DH22:DH27" si="209">DD22*DH$19</f>
        <v>0</v>
      </c>
      <c r="DI22" s="54"/>
      <c r="DJ22" s="51">
        <f t="shared" ref="DJ22:DJ25" si="210">DF22*$DJ$19</f>
        <v>1.07916</v>
      </c>
      <c r="DK22" s="51">
        <f t="shared" ref="DK22:DK25" si="211">DG22*$DK$19</f>
        <v>0</v>
      </c>
      <c r="DL22" s="51">
        <f t="shared" ref="DL22:DL27" si="212">DH22*DL$19</f>
        <v>0</v>
      </c>
      <c r="DM22" s="54"/>
      <c r="DN22" s="51">
        <f t="shared" ref="DN22:DN25" si="213">DJ22*$DN$19</f>
        <v>1.07916</v>
      </c>
      <c r="DO22" s="51">
        <f t="shared" ref="DO22:DO25" si="214">DK22*$DO$19</f>
        <v>0</v>
      </c>
      <c r="DP22" s="51">
        <f t="shared" ref="DP22:DP27" si="215">DL22*DP$19</f>
        <v>0</v>
      </c>
      <c r="DQ22" s="54"/>
      <c r="DR22" s="51">
        <f t="shared" ref="DR22:DR25" si="216">DN22*$DR$19</f>
        <v>1.07916</v>
      </c>
      <c r="DS22" s="51">
        <f t="shared" ref="DS22:DS25" si="217">DO22*$DS$19</f>
        <v>0</v>
      </c>
      <c r="DT22" s="51">
        <f t="shared" ref="DT22:DT27" si="218">DP22*DT$19</f>
        <v>0</v>
      </c>
      <c r="DU22" s="54"/>
      <c r="DV22" s="51">
        <f t="shared" ref="DV22:DV25" si="219">DR22*$DV$19</f>
        <v>1.07916</v>
      </c>
      <c r="DW22" s="51">
        <f t="shared" ref="DW22:DW25" si="220">DS22*$DW$19</f>
        <v>0</v>
      </c>
      <c r="DX22" s="51">
        <f t="shared" ref="DX22:DX27" si="221">DT22*DX$19</f>
        <v>0</v>
      </c>
      <c r="DY22" s="54"/>
      <c r="DZ22" s="51">
        <f t="shared" ref="DZ22:DZ25" si="222">DV22*$DZ$19</f>
        <v>1.5108239999999997</v>
      </c>
      <c r="EA22" s="51">
        <f>DW22*$EA$19</f>
        <v>0</v>
      </c>
      <c r="EB22" s="51">
        <f t="shared" ref="EB22:EB27" si="223">DX22*EB$19</f>
        <v>0</v>
      </c>
      <c r="EC22" s="54"/>
      <c r="ED22" s="51">
        <f t="shared" ref="ED22:ED25" si="224">DZ22*$ED$19</f>
        <v>1.5108239999999997</v>
      </c>
      <c r="EE22" s="51">
        <f t="shared" ref="EE22:EE25" si="225">EA22*$EE$19</f>
        <v>0</v>
      </c>
      <c r="EF22" s="51">
        <f t="shared" ref="EF22:EF27" si="226">EB22*EF$19</f>
        <v>0</v>
      </c>
      <c r="EG22" s="54"/>
      <c r="EH22" s="51">
        <f t="shared" ref="EH22:EH25" si="227">ED22*$EH$19</f>
        <v>1.5108239999999997</v>
      </c>
      <c r="EI22" s="51">
        <f t="shared" ref="EI22:EI25" si="228">EE22*$EI$19</f>
        <v>0</v>
      </c>
      <c r="EJ22" s="51">
        <f t="shared" ref="EJ22:EJ27" si="229">EF22*EJ$19</f>
        <v>0</v>
      </c>
      <c r="EK22" s="54"/>
      <c r="EL22" s="51">
        <f t="shared" ref="EL22:EL25" si="230">EH22*$EL$19</f>
        <v>1.5108239999999997</v>
      </c>
      <c r="EM22" s="51">
        <f t="shared" ref="EM22:EM25" si="231">EI22*$EM$19</f>
        <v>0</v>
      </c>
      <c r="EN22" s="51">
        <f t="shared" ref="EN22:EN27" si="232">EJ22*EN$19</f>
        <v>0</v>
      </c>
      <c r="EO22" s="54"/>
      <c r="EP22" s="51">
        <f t="shared" ref="EP22:EP25" si="233">EL22*$EP$19</f>
        <v>1.5108239999999997</v>
      </c>
      <c r="EQ22" s="51">
        <f t="shared" ref="EQ22:EQ25" si="234">EM22*$EQ$19</f>
        <v>0</v>
      </c>
      <c r="ER22" s="51">
        <f t="shared" ref="ER22:ER27" si="235">EN22*ER$19</f>
        <v>0</v>
      </c>
      <c r="ES22" s="54"/>
      <c r="ET22" s="51">
        <f t="shared" si="144"/>
        <v>1.5108239999999997</v>
      </c>
      <c r="EU22" s="51">
        <f t="shared" si="145"/>
        <v>0</v>
      </c>
      <c r="EV22" s="51">
        <f t="shared" ref="EV22:EV27" si="236">ER22*EV$19</f>
        <v>0</v>
      </c>
      <c r="EW22" s="54"/>
      <c r="EX22" s="51">
        <f t="shared" ref="EX22:EX25" si="237">ET22*$EX$19</f>
        <v>1.5108239999999997</v>
      </c>
      <c r="EY22" s="51">
        <f t="shared" ref="EY22:EY25" si="238">EU22*$EY$19</f>
        <v>0</v>
      </c>
      <c r="EZ22" s="51">
        <f t="shared" ref="EZ22:EZ27" si="239">EV22*EZ$19</f>
        <v>0</v>
      </c>
      <c r="FA22" s="54"/>
      <c r="FB22" s="51">
        <f t="shared" ref="FB22:FB25" si="240">EX22*$FB$19</f>
        <v>1.5108239999999997</v>
      </c>
      <c r="FC22" s="51">
        <f t="shared" ref="FC22:FC25" si="241">EY22*$FC$19</f>
        <v>0</v>
      </c>
      <c r="FD22" s="51">
        <f t="shared" ref="FD22:FD27" si="242">EZ22*FD$19</f>
        <v>0</v>
      </c>
      <c r="FE22" s="54"/>
      <c r="FF22" s="51">
        <f t="shared" ref="FF22:FF25" si="243">FB22*$FF$19</f>
        <v>1.5108239999999997</v>
      </c>
      <c r="FG22" s="51">
        <f>FC22*$FG$19</f>
        <v>0</v>
      </c>
      <c r="FH22" s="51">
        <f t="shared" ref="FH22:FH27" si="244">FD22*FH$19</f>
        <v>0</v>
      </c>
      <c r="FI22" s="54"/>
      <c r="FJ22" s="51">
        <f t="shared" ref="FJ22:FJ25" si="245">FF22*$FJ$19</f>
        <v>1.7374475999999996</v>
      </c>
      <c r="FK22" s="51">
        <f t="shared" ref="FK22:FK25" si="246">FG22*$FK$19</f>
        <v>0</v>
      </c>
      <c r="FL22" s="51">
        <f t="shared" ref="FL22:FL27" si="247">FH22*FL$19</f>
        <v>0</v>
      </c>
      <c r="FM22" s="54"/>
      <c r="FN22" s="51">
        <f t="shared" ref="FN22:FN25" si="248">FJ22*$FN$19</f>
        <v>1.7374475999999996</v>
      </c>
      <c r="FO22" s="51">
        <f t="shared" ref="FO22:FO25" si="249">FK22*$FO$19</f>
        <v>0</v>
      </c>
      <c r="FP22" s="51">
        <f t="shared" ref="FP22:FP27" si="250">FL22*FP$19</f>
        <v>0</v>
      </c>
      <c r="FQ22" s="54"/>
      <c r="FR22" s="51">
        <f t="shared" ref="FR22:FR25" si="251">FN22*$FR$19</f>
        <v>1.7374475999999996</v>
      </c>
      <c r="FS22" s="51">
        <f t="shared" ref="FS22:FS25" si="252">FO22*$FS$19</f>
        <v>0</v>
      </c>
      <c r="FT22" s="51">
        <f t="shared" ref="FT22:FT27" si="253">FP22*FT$19</f>
        <v>0</v>
      </c>
      <c r="FU22" s="54"/>
      <c r="FV22" s="51">
        <f t="shared" ref="FV22:FV25" si="254">FR22*$FV$19</f>
        <v>1.7374475999999996</v>
      </c>
      <c r="FW22" s="51">
        <f t="shared" ref="FW22:FW25" si="255">FS22*$FW$19</f>
        <v>0</v>
      </c>
      <c r="FX22" s="51">
        <f t="shared" ref="FX22:FX27" si="256">FT22*FX$19</f>
        <v>0</v>
      </c>
      <c r="FY22" s="54"/>
      <c r="FZ22" s="51">
        <f t="shared" ref="FZ22:FZ25" si="257">FV22*$FZ$19</f>
        <v>1.7374475999999996</v>
      </c>
      <c r="GA22" s="51">
        <f t="shared" ref="GA22:GA25" si="258">FW22*$GA$19</f>
        <v>0</v>
      </c>
      <c r="GB22" s="51">
        <f t="shared" ref="GB22:GB27" si="259">FX22*GB$19</f>
        <v>0</v>
      </c>
      <c r="GC22" s="54"/>
      <c r="GD22" s="51">
        <f t="shared" ref="GD22" si="260">FZ22*$GD$19</f>
        <v>1.7374475999999996</v>
      </c>
      <c r="GE22" s="51">
        <f t="shared" ref="GE22" si="261">GA22*$GE$19</f>
        <v>0</v>
      </c>
      <c r="GF22" s="51">
        <f t="shared" ref="GF22:GF27" si="262">GB22*GF$19</f>
        <v>0</v>
      </c>
      <c r="GG22" s="54"/>
      <c r="GH22" s="51">
        <f t="shared" ref="GH22:GH25" si="263">GD22*$GH$19</f>
        <v>1.7374475999999996</v>
      </c>
      <c r="GI22" s="51">
        <f t="shared" ref="GI22:GI25" si="264">GE22*$GI$19</f>
        <v>0</v>
      </c>
      <c r="GJ22" s="51">
        <f t="shared" ref="GJ22:GJ27" si="265">GF22*GJ$19</f>
        <v>0</v>
      </c>
      <c r="GK22" s="54"/>
      <c r="GL22" s="51">
        <f t="shared" ref="GL22:GL23" si="266">GH22*$GL$19</f>
        <v>1.7374475999999996</v>
      </c>
      <c r="GM22" s="51">
        <f t="shared" ref="GM22:GM23" si="267">GI22*$GM$19</f>
        <v>0</v>
      </c>
      <c r="GN22" s="51">
        <f t="shared" ref="GN22:GN27" si="268">GJ22*GN$19</f>
        <v>0</v>
      </c>
      <c r="GP22" s="51">
        <f t="shared" si="146"/>
        <v>1.7374475999999996</v>
      </c>
      <c r="GQ22" s="51">
        <f t="shared" si="147"/>
        <v>0</v>
      </c>
      <c r="GR22" s="51">
        <f t="shared" ref="GR22:GR27" si="269">GN22*GR$19</f>
        <v>0</v>
      </c>
      <c r="GS22" s="54"/>
      <c r="GT22" s="51">
        <f t="shared" ref="GT22:GT23" si="270">GP22*$GT$19</f>
        <v>1.7374475999999996</v>
      </c>
      <c r="GU22" s="51">
        <f t="shared" ref="GU22:GU23" si="271">GQ22*$GU$19</f>
        <v>0</v>
      </c>
      <c r="GV22" s="51">
        <f t="shared" ref="GV22:GV27" si="272">GR22*GV$19</f>
        <v>0</v>
      </c>
      <c r="GW22" s="54"/>
      <c r="GX22" s="51">
        <f t="shared" ref="GX22:GX23" si="273">GT22*$GX$19</f>
        <v>1.7374475999999996</v>
      </c>
      <c r="GY22" s="51">
        <f t="shared" ref="GY22:GY25" si="274">GU22*$GY$19</f>
        <v>0</v>
      </c>
      <c r="GZ22" s="51">
        <f t="shared" ref="GZ22:GZ27" si="275">GV22*GZ$19</f>
        <v>0</v>
      </c>
      <c r="HA22" s="54"/>
      <c r="HB22" s="51">
        <f t="shared" ref="HB22:HB23" si="276">GX22*$HB$19</f>
        <v>1.7374475999999996</v>
      </c>
      <c r="HC22" s="51">
        <f t="shared" ref="HC22:HC23" si="277">GY22*$HC$19</f>
        <v>0</v>
      </c>
      <c r="HD22" s="51">
        <f t="shared" ref="HD22:HD27" si="278">GZ22*HD$19</f>
        <v>0</v>
      </c>
      <c r="HE22" s="54"/>
      <c r="HF22" s="51">
        <f t="shared" ref="HF22:HF25" si="279">HB22*$HF$19</f>
        <v>2.0501881679999996</v>
      </c>
      <c r="HG22" s="51">
        <f t="shared" ref="HG22:HG25" si="280">HC22*$HG$19</f>
        <v>0</v>
      </c>
      <c r="HH22" s="51">
        <f t="shared" ref="HH22:HH27" si="281">HD22*HH$19</f>
        <v>0</v>
      </c>
      <c r="HI22" s="54"/>
      <c r="HJ22" s="51">
        <f t="shared" ref="HJ22:HJ25" si="282">HF22*$HJ$19</f>
        <v>2.0501881679999996</v>
      </c>
      <c r="HK22" s="51">
        <f t="shared" ref="HK22:HK25" si="283">HG22*$HK$19</f>
        <v>0</v>
      </c>
      <c r="HL22" s="51">
        <f t="shared" ref="HL22:HL27" si="284">HH22*HL$19</f>
        <v>0</v>
      </c>
      <c r="HM22" s="54"/>
      <c r="HN22" s="51">
        <f t="shared" ref="HN22:HN25" si="285">HJ22*$HN$19</f>
        <v>2.0501881679999996</v>
      </c>
      <c r="HO22" s="51">
        <f t="shared" ref="HO22:HO25" si="286">HK22*$HO$19</f>
        <v>0</v>
      </c>
      <c r="HP22" s="51">
        <f t="shared" ref="HP22:HP27" si="287">HL22*HP$19</f>
        <v>0</v>
      </c>
      <c r="HQ22" s="54"/>
      <c r="HR22" s="51">
        <f t="shared" ref="HR22:HR25" si="288">HN22*$HR$19</f>
        <v>2.0501881679999996</v>
      </c>
      <c r="HS22" s="51">
        <f t="shared" ref="HS22:HS25" si="289">HO22*$HS$19</f>
        <v>0</v>
      </c>
      <c r="HT22" s="51">
        <f t="shared" ref="HT22:HT27" si="290">HP22*HT$19</f>
        <v>0</v>
      </c>
      <c r="HU22" s="54"/>
      <c r="HV22" s="51">
        <f t="shared" ref="HV22:HV25" si="291">HR22*$HV$19</f>
        <v>2.0501881679999996</v>
      </c>
      <c r="HW22" s="51">
        <f t="shared" ref="HW22:HW25" si="292">HS22*$HW$19</f>
        <v>0</v>
      </c>
      <c r="HX22" s="51">
        <f t="shared" ref="HX22:HX27" si="293">HT22*HX$19</f>
        <v>0</v>
      </c>
      <c r="HY22" s="54"/>
      <c r="HZ22" s="51">
        <f t="shared" ref="HZ22:HZ25" si="294">HV22*$HZ$19</f>
        <v>2.0501881679999996</v>
      </c>
      <c r="IA22" s="51">
        <f t="shared" ref="IA22:IA25" si="295">HW22*$IA$19</f>
        <v>0</v>
      </c>
      <c r="IB22" s="51">
        <f t="shared" ref="IB22:IB27" si="296">HX22*IB$19</f>
        <v>0</v>
      </c>
      <c r="IC22" s="54"/>
      <c r="ID22" s="51">
        <f t="shared" ref="ID22:ID25" si="297">HZ22*$ID$19</f>
        <v>2.0501881679999996</v>
      </c>
      <c r="IE22" s="51">
        <f t="shared" ref="IE22:IE25" si="298">IA22*$IE$19</f>
        <v>0</v>
      </c>
      <c r="IF22" s="51">
        <f t="shared" ref="IF22:IF27" si="299">IB22*IF$19</f>
        <v>0</v>
      </c>
      <c r="IG22" s="54"/>
      <c r="IH22" s="51">
        <f t="shared" ref="IH22:IH25" si="300">ID22*$IH$19</f>
        <v>2.0501881679999996</v>
      </c>
      <c r="II22" s="51">
        <f t="shared" ref="II22:II25" si="301">IE22*$II$19</f>
        <v>0</v>
      </c>
      <c r="IJ22" s="51">
        <f t="shared" ref="IJ22:IJ27" si="302">IF22*IJ$19</f>
        <v>0</v>
      </c>
      <c r="IL22" s="51">
        <f t="shared" si="148"/>
        <v>2.0501881679999996</v>
      </c>
      <c r="IM22" s="51">
        <f t="shared" si="149"/>
        <v>0</v>
      </c>
      <c r="IN22" s="51">
        <f t="shared" ref="IN22:IN27" si="303">IJ22*IN$19</f>
        <v>0</v>
      </c>
      <c r="IO22" s="54"/>
      <c r="IP22" s="51">
        <f t="shared" ref="IP22:IP25" si="304">IL22*$IP$19</f>
        <v>2.0501881679999996</v>
      </c>
      <c r="IQ22" s="51">
        <f t="shared" ref="IQ22:IQ25" si="305">IM22*$IQ$19</f>
        <v>0</v>
      </c>
      <c r="IR22" s="51">
        <f t="shared" ref="IR22:IR27" si="306">IN22*IR$19</f>
        <v>0</v>
      </c>
      <c r="IS22" s="54"/>
      <c r="IT22" s="51">
        <f t="shared" ref="IT22:IT25" si="307">IP22*$IT$19</f>
        <v>2.0501881679999996</v>
      </c>
      <c r="IU22" s="51">
        <f t="shared" ref="IU22:IU25" si="308">IQ22*$IU$19</f>
        <v>0</v>
      </c>
      <c r="IV22" s="51">
        <f t="shared" ref="IV22:IV27" si="309">IR22*IV$19</f>
        <v>0</v>
      </c>
      <c r="IW22" s="54"/>
      <c r="IX22" s="51">
        <f t="shared" ref="IX22:IX25" si="310">IT22*$IX$19</f>
        <v>2.0501881679999996</v>
      </c>
      <c r="IY22" s="51">
        <f t="shared" ref="IY22:IY25" si="311">IU22*$IY$19</f>
        <v>0</v>
      </c>
      <c r="IZ22" s="51">
        <f t="shared" ref="IZ22:IZ27" si="312">IV22*IZ$19</f>
        <v>0</v>
      </c>
      <c r="JA22" s="54"/>
      <c r="JB22" s="51" t="e">
        <f t="shared" ref="JB22:JB25" si="313">IX22*$JB$19</f>
        <v>#REF!</v>
      </c>
      <c r="JC22" s="51">
        <f t="shared" ref="JC22:JC25" si="314">IY22*$JC$19</f>
        <v>0</v>
      </c>
      <c r="JD22" s="51">
        <f t="shared" ref="JD22:JD27" si="315">IZ22*JD$19</f>
        <v>0</v>
      </c>
      <c r="JE22" s="54"/>
      <c r="JF22" s="51" t="e">
        <f t="shared" ref="JF22:JF25" si="316">JB22*$JF$19</f>
        <v>#REF!</v>
      </c>
      <c r="JG22" s="51">
        <f t="shared" ref="JG22:JG25" si="317">JC22*$JG$19</f>
        <v>0</v>
      </c>
      <c r="JH22" s="51">
        <f t="shared" ref="JH22:JH27" si="318">JD22*JH$19</f>
        <v>0</v>
      </c>
      <c r="JI22" s="54"/>
      <c r="JJ22" s="51" t="e">
        <f t="shared" ref="JJ22:JJ25" si="319">JF22*$JJ$19</f>
        <v>#REF!</v>
      </c>
      <c r="JK22" s="51">
        <f t="shared" ref="JK22:JK25" si="320">JG22*$JK$19</f>
        <v>0</v>
      </c>
      <c r="JL22" s="51">
        <f t="shared" ref="JL22:JL27" si="321">JH22*JL$19</f>
        <v>0</v>
      </c>
      <c r="JM22" s="54"/>
      <c r="JO22" s="80"/>
      <c r="JP22" s="80"/>
      <c r="JQ22" s="80">
        <f t="shared" si="150"/>
        <v>0</v>
      </c>
      <c r="JS22" s="80"/>
      <c r="JT22" s="80"/>
      <c r="JU22" s="80">
        <f t="shared" si="151"/>
        <v>0</v>
      </c>
      <c r="JW22" s="80"/>
      <c r="JX22" s="80"/>
      <c r="JY22" s="80">
        <f t="shared" si="152"/>
        <v>0</v>
      </c>
      <c r="KA22" s="80"/>
      <c r="KB22" s="80"/>
      <c r="KC22" s="80">
        <f t="shared" si="153"/>
        <v>0</v>
      </c>
      <c r="KE22" s="80"/>
      <c r="KF22" s="80"/>
      <c r="KG22" s="80">
        <f t="shared" si="154"/>
        <v>0</v>
      </c>
      <c r="KI22" s="80"/>
      <c r="KJ22" s="80"/>
      <c r="KK22" s="80">
        <f t="shared" si="155"/>
        <v>0</v>
      </c>
      <c r="KM22" s="80"/>
      <c r="KN22" s="80"/>
      <c r="KO22" s="80">
        <f t="shared" si="156"/>
        <v>0</v>
      </c>
    </row>
    <row r="23" ht="18.75" customHeight="1" spans="2:301" x14ac:dyDescent="0.25">
      <c r="B23" s="5" t="str">
        <f>A.IIOPEX!C23</f>
        <v>2c</v>
      </c>
      <c r="C23" s="29"/>
      <c r="D23" s="29">
        <f>A.IIOPEX!E23</f>
        <v>0</v>
      </c>
      <c r="E23" s="30"/>
      <c r="F23" s="51">
        <v>1</v>
      </c>
      <c r="G23" s="51"/>
      <c r="H23" s="51">
        <f>A.IIOPEX!I23</f>
        <v>0</v>
      </c>
      <c r="I23" s="54"/>
      <c r="J23" s="51">
        <f t="shared" si="157"/>
        <v>0.92</v>
      </c>
      <c r="K23" s="51"/>
      <c r="L23" s="51">
        <f t="shared" si="158"/>
        <v>0</v>
      </c>
      <c r="M23" s="54"/>
      <c r="N23" s="51">
        <f t="shared" si="159"/>
        <v>0.92</v>
      </c>
      <c r="O23" s="51"/>
      <c r="P23" s="51">
        <f t="shared" si="160"/>
        <v>0</v>
      </c>
      <c r="Q23" s="54"/>
      <c r="R23" s="51">
        <f t="shared" si="161"/>
        <v>0.92</v>
      </c>
      <c r="S23" s="51"/>
      <c r="T23" s="51">
        <f t="shared" si="162"/>
        <v>0</v>
      </c>
      <c r="U23" s="54"/>
      <c r="V23" s="51">
        <f t="shared" si="139"/>
        <v>0.92</v>
      </c>
      <c r="W23" s="51"/>
      <c r="X23" s="51">
        <f t="shared" si="163"/>
        <v>0</v>
      </c>
      <c r="Y23" s="54"/>
      <c r="Z23" s="51">
        <f t="shared" si="140"/>
        <v>0.92</v>
      </c>
      <c r="AA23" s="51"/>
      <c r="AB23" s="51">
        <f t="shared" si="164"/>
        <v>0</v>
      </c>
      <c r="AC23" s="54"/>
      <c r="AD23" s="51">
        <f>Z23*$AD$19</f>
        <v>0.92</v>
      </c>
      <c r="AE23" s="51"/>
      <c r="AF23" s="51">
        <f t="shared" si="165"/>
        <v>0</v>
      </c>
      <c r="AG23" s="54"/>
      <c r="AH23" s="51">
        <f>AD23*$AH$19</f>
        <v>0.9384</v>
      </c>
      <c r="AI23" s="51"/>
      <c r="AJ23" s="51">
        <f t="shared" si="166"/>
        <v>0</v>
      </c>
      <c r="AK23" s="54"/>
      <c r="AL23" s="51">
        <f>AH23*$AL$19</f>
        <v>0.9384</v>
      </c>
      <c r="AM23" s="51"/>
      <c r="AN23" s="51">
        <f t="shared" si="167"/>
        <v>0</v>
      </c>
      <c r="AO23" s="54"/>
      <c r="AP23" s="51">
        <f>AL23*$AP$19</f>
        <v>0.9384</v>
      </c>
      <c r="AQ23" s="51"/>
      <c r="AR23" s="51">
        <f t="shared" si="168"/>
        <v>0</v>
      </c>
      <c r="AS23" s="54"/>
      <c r="AT23" s="51">
        <f>AP23*$AT$19</f>
        <v>0.9384</v>
      </c>
      <c r="AU23" s="51"/>
      <c r="AV23" s="51">
        <f t="shared" si="169"/>
        <v>0</v>
      </c>
      <c r="AW23" s="54"/>
      <c r="AX23" s="51">
        <f>AT23*$AX$19</f>
        <v>0.9384</v>
      </c>
      <c r="AY23" s="51"/>
      <c r="AZ23" s="51">
        <f t="shared" si="170"/>
        <v>0</v>
      </c>
      <c r="BA23" s="54"/>
      <c r="BB23" s="51">
        <f t="shared" si="141"/>
        <v>0.9384</v>
      </c>
      <c r="BC23" s="51"/>
      <c r="BD23" s="51">
        <f t="shared" si="171"/>
        <v>0</v>
      </c>
      <c r="BE23" s="54"/>
      <c r="BF23" s="51">
        <f t="shared" ref="BF23:BF25" si="322">BB23*$BF$19</f>
        <v>0.9384</v>
      </c>
      <c r="BG23" s="51"/>
      <c r="BH23" s="51">
        <f t="shared" si="172"/>
        <v>0</v>
      </c>
      <c r="BI23" s="54"/>
      <c r="BJ23" s="51">
        <f t="shared" si="173"/>
        <v>0.9384</v>
      </c>
      <c r="BK23" s="51">
        <f t="shared" si="174"/>
        <v>0</v>
      </c>
      <c r="BL23" s="51">
        <f t="shared" si="175"/>
        <v>0</v>
      </c>
      <c r="BM23" s="54"/>
      <c r="BN23" s="51">
        <f t="shared" si="176"/>
        <v>0.9384</v>
      </c>
      <c r="BO23" s="51">
        <f t="shared" si="177"/>
        <v>0</v>
      </c>
      <c r="BP23" s="51">
        <f t="shared" si="178"/>
        <v>0</v>
      </c>
      <c r="BQ23" s="54"/>
      <c r="BR23" s="51">
        <f t="shared" si="179"/>
        <v>0.9384</v>
      </c>
      <c r="BS23" s="51">
        <f t="shared" si="180"/>
        <v>0</v>
      </c>
      <c r="BT23" s="51">
        <f t="shared" si="181"/>
        <v>0</v>
      </c>
      <c r="BU23" s="54"/>
      <c r="BV23" s="51">
        <f t="shared" si="182"/>
        <v>0.9384</v>
      </c>
      <c r="BW23" s="51">
        <f t="shared" si="183"/>
        <v>0</v>
      </c>
      <c r="BX23" s="51">
        <f t="shared" si="184"/>
        <v>0</v>
      </c>
      <c r="BY23" s="54"/>
      <c r="BZ23" s="51">
        <f t="shared" si="185"/>
        <v>0.9384</v>
      </c>
      <c r="CA23" s="51">
        <f t="shared" si="186"/>
        <v>0</v>
      </c>
      <c r="CB23" s="51">
        <f t="shared" si="187"/>
        <v>0</v>
      </c>
      <c r="CC23" s="54"/>
      <c r="CD23" s="51">
        <f t="shared" si="188"/>
        <v>1.07916</v>
      </c>
      <c r="CE23" s="51">
        <f t="shared" si="189"/>
        <v>0</v>
      </c>
      <c r="CF23" s="51">
        <f t="shared" si="190"/>
        <v>0</v>
      </c>
      <c r="CG23" s="54"/>
      <c r="CH23" s="51">
        <f t="shared" si="191"/>
        <v>1.07916</v>
      </c>
      <c r="CI23" s="51">
        <f t="shared" si="192"/>
        <v>0</v>
      </c>
      <c r="CJ23" s="51">
        <f t="shared" si="193"/>
        <v>0</v>
      </c>
      <c r="CK23" s="54"/>
      <c r="CL23" s="51">
        <f t="shared" si="194"/>
        <v>1.07916</v>
      </c>
      <c r="CM23" s="51">
        <f t="shared" si="195"/>
        <v>0</v>
      </c>
      <c r="CN23" s="51">
        <f t="shared" si="196"/>
        <v>0</v>
      </c>
      <c r="CO23" s="54"/>
      <c r="CP23" s="51">
        <f t="shared" si="197"/>
        <v>1.07916</v>
      </c>
      <c r="CQ23" s="51">
        <f t="shared" si="198"/>
        <v>0</v>
      </c>
      <c r="CR23" s="51">
        <f t="shared" si="199"/>
        <v>0</v>
      </c>
      <c r="CS23" s="54"/>
      <c r="CT23" s="51">
        <f t="shared" si="200"/>
        <v>1.07916</v>
      </c>
      <c r="CU23" s="51">
        <f t="shared" si="201"/>
        <v>0</v>
      </c>
      <c r="CV23" s="51">
        <f t="shared" si="202"/>
        <v>0</v>
      </c>
      <c r="CW23" s="54"/>
      <c r="CX23" s="51">
        <f t="shared" si="142"/>
        <v>1.07916</v>
      </c>
      <c r="CY23" s="51">
        <f t="shared" si="143"/>
        <v>0</v>
      </c>
      <c r="CZ23" s="51">
        <f t="shared" si="203"/>
        <v>0</v>
      </c>
      <c r="DA23" s="54"/>
      <c r="DB23" s="51">
        <f t="shared" si="204"/>
        <v>1.07916</v>
      </c>
      <c r="DC23" s="51">
        <f t="shared" si="205"/>
        <v>0</v>
      </c>
      <c r="DD23" s="51">
        <f t="shared" si="206"/>
        <v>0</v>
      </c>
      <c r="DE23" s="54"/>
      <c r="DF23" s="51">
        <f t="shared" si="207"/>
        <v>1.07916</v>
      </c>
      <c r="DG23" s="51">
        <f t="shared" si="208"/>
        <v>0</v>
      </c>
      <c r="DH23" s="51">
        <f t="shared" si="209"/>
        <v>0</v>
      </c>
      <c r="DI23" s="54"/>
      <c r="DJ23" s="51">
        <f t="shared" si="210"/>
        <v>1.07916</v>
      </c>
      <c r="DK23" s="51">
        <f t="shared" si="211"/>
        <v>0</v>
      </c>
      <c r="DL23" s="51">
        <f t="shared" si="212"/>
        <v>0</v>
      </c>
      <c r="DM23" s="54"/>
      <c r="DN23" s="51">
        <f t="shared" si="213"/>
        <v>1.07916</v>
      </c>
      <c r="DO23" s="51">
        <f t="shared" si="214"/>
        <v>0</v>
      </c>
      <c r="DP23" s="51">
        <f t="shared" si="215"/>
        <v>0</v>
      </c>
      <c r="DQ23" s="54"/>
      <c r="DR23" s="51">
        <f t="shared" si="216"/>
        <v>1.07916</v>
      </c>
      <c r="DS23" s="51">
        <f t="shared" si="217"/>
        <v>0</v>
      </c>
      <c r="DT23" s="51">
        <f t="shared" si="218"/>
        <v>0</v>
      </c>
      <c r="DU23" s="54"/>
      <c r="DV23" s="51">
        <f t="shared" si="219"/>
        <v>1.07916</v>
      </c>
      <c r="DW23" s="51">
        <f t="shared" si="220"/>
        <v>0</v>
      </c>
      <c r="DX23" s="51">
        <f t="shared" si="221"/>
        <v>0</v>
      </c>
      <c r="DY23" s="54"/>
      <c r="DZ23" s="51">
        <f t="shared" si="222"/>
        <v>1.5108239999999997</v>
      </c>
      <c r="EA23" s="51">
        <f t="shared" ref="EA23:EA25" si="323">DW23*$EA$19</f>
        <v>0</v>
      </c>
      <c r="EB23" s="51">
        <f t="shared" si="223"/>
        <v>0</v>
      </c>
      <c r="EC23" s="54"/>
      <c r="ED23" s="51">
        <f t="shared" si="224"/>
        <v>1.5108239999999997</v>
      </c>
      <c r="EE23" s="51">
        <f t="shared" si="225"/>
        <v>0</v>
      </c>
      <c r="EF23" s="51">
        <f t="shared" si="226"/>
        <v>0</v>
      </c>
      <c r="EG23" s="54"/>
      <c r="EH23" s="51">
        <f t="shared" si="227"/>
        <v>1.5108239999999997</v>
      </c>
      <c r="EI23" s="51">
        <f t="shared" si="228"/>
        <v>0</v>
      </c>
      <c r="EJ23" s="51">
        <f t="shared" si="229"/>
        <v>0</v>
      </c>
      <c r="EK23" s="54"/>
      <c r="EL23" s="51">
        <f t="shared" si="230"/>
        <v>1.5108239999999997</v>
      </c>
      <c r="EM23" s="51">
        <f t="shared" si="231"/>
        <v>0</v>
      </c>
      <c r="EN23" s="51">
        <f t="shared" si="232"/>
        <v>0</v>
      </c>
      <c r="EO23" s="54"/>
      <c r="EP23" s="51">
        <f t="shared" si="233"/>
        <v>1.5108239999999997</v>
      </c>
      <c r="EQ23" s="51">
        <f t="shared" si="234"/>
        <v>0</v>
      </c>
      <c r="ER23" s="51">
        <f t="shared" si="235"/>
        <v>0</v>
      </c>
      <c r="ES23" s="54"/>
      <c r="ET23" s="51">
        <f t="shared" si="144"/>
        <v>1.5108239999999997</v>
      </c>
      <c r="EU23" s="51">
        <f t="shared" si="145"/>
        <v>0</v>
      </c>
      <c r="EV23" s="51">
        <f t="shared" si="236"/>
        <v>0</v>
      </c>
      <c r="EW23" s="54"/>
      <c r="EX23" s="51">
        <f t="shared" si="237"/>
        <v>1.5108239999999997</v>
      </c>
      <c r="EY23" s="51">
        <f t="shared" si="238"/>
        <v>0</v>
      </c>
      <c r="EZ23" s="51">
        <f t="shared" si="239"/>
        <v>0</v>
      </c>
      <c r="FA23" s="54"/>
      <c r="FB23" s="51">
        <f t="shared" si="240"/>
        <v>1.5108239999999997</v>
      </c>
      <c r="FC23" s="51">
        <f t="shared" si="241"/>
        <v>0</v>
      </c>
      <c r="FD23" s="51">
        <f t="shared" si="242"/>
        <v>0</v>
      </c>
      <c r="FE23" s="54"/>
      <c r="FF23" s="51">
        <f>FB23*$FF$19</f>
        <v>1.5108239999999997</v>
      </c>
      <c r="FG23" s="51">
        <f t="shared" ref="FG23:FG25" si="324">FC23*$FG$19</f>
        <v>0</v>
      </c>
      <c r="FH23" s="51">
        <f t="shared" si="244"/>
        <v>0</v>
      </c>
      <c r="FI23" s="54"/>
      <c r="FJ23" s="51">
        <f t="shared" si="245"/>
        <v>1.7374475999999996</v>
      </c>
      <c r="FK23" s="51">
        <f t="shared" si="246"/>
        <v>0</v>
      </c>
      <c r="FL23" s="51">
        <f t="shared" si="247"/>
        <v>0</v>
      </c>
      <c r="FM23" s="54"/>
      <c r="FN23" s="51">
        <f t="shared" si="248"/>
        <v>1.7374475999999996</v>
      </c>
      <c r="FO23" s="51">
        <f t="shared" si="249"/>
        <v>0</v>
      </c>
      <c r="FP23" s="51">
        <f t="shared" si="250"/>
        <v>0</v>
      </c>
      <c r="FQ23" s="54"/>
      <c r="FR23" s="51">
        <f t="shared" si="251"/>
        <v>1.7374475999999996</v>
      </c>
      <c r="FS23" s="51">
        <f t="shared" si="252"/>
        <v>0</v>
      </c>
      <c r="FT23" s="51">
        <f t="shared" si="253"/>
        <v>0</v>
      </c>
      <c r="FU23" s="54"/>
      <c r="FV23" s="51">
        <f t="shared" si="254"/>
        <v>1.7374475999999996</v>
      </c>
      <c r="FW23" s="51">
        <f t="shared" si="255"/>
        <v>0</v>
      </c>
      <c r="FX23" s="51">
        <f t="shared" si="256"/>
        <v>0</v>
      </c>
      <c r="FY23" s="54"/>
      <c r="FZ23" s="51">
        <f t="shared" si="257"/>
        <v>1.7374475999999996</v>
      </c>
      <c r="GA23" s="51">
        <f t="shared" si="258"/>
        <v>0</v>
      </c>
      <c r="GB23" s="51">
        <f t="shared" si="259"/>
        <v>0</v>
      </c>
      <c r="GC23" s="54"/>
      <c r="GD23" s="51">
        <f>FZ23*$GD$19</f>
        <v>1.7374475999999996</v>
      </c>
      <c r="GE23" s="51">
        <f>GA23*$GE$19</f>
        <v>0</v>
      </c>
      <c r="GF23" s="51">
        <f t="shared" si="262"/>
        <v>0</v>
      </c>
      <c r="GG23" s="54"/>
      <c r="GH23" s="51">
        <f t="shared" si="263"/>
        <v>1.7374475999999996</v>
      </c>
      <c r="GI23" s="51">
        <f t="shared" si="264"/>
        <v>0</v>
      </c>
      <c r="GJ23" s="51">
        <f t="shared" si="265"/>
        <v>0</v>
      </c>
      <c r="GK23" s="54"/>
      <c r="GL23" s="51">
        <f t="shared" si="266"/>
        <v>1.7374475999999996</v>
      </c>
      <c r="GM23" s="51">
        <f t="shared" si="267"/>
        <v>0</v>
      </c>
      <c r="GN23" s="51">
        <f t="shared" si="268"/>
        <v>0</v>
      </c>
      <c r="GP23" s="51">
        <f t="shared" si="146"/>
        <v>1.7374475999999996</v>
      </c>
      <c r="GQ23" s="51">
        <f t="shared" si="147"/>
        <v>0</v>
      </c>
      <c r="GR23" s="51">
        <f t="shared" si="269"/>
        <v>0</v>
      </c>
      <c r="GS23" s="54"/>
      <c r="GT23" s="51">
        <f t="shared" si="270"/>
        <v>1.7374475999999996</v>
      </c>
      <c r="GU23" s="51">
        <f t="shared" si="271"/>
        <v>0</v>
      </c>
      <c r="GV23" s="51">
        <f t="shared" si="272"/>
        <v>0</v>
      </c>
      <c r="GW23" s="54"/>
      <c r="GX23" s="51">
        <f t="shared" si="273"/>
        <v>1.7374475999999996</v>
      </c>
      <c r="GY23" s="51">
        <f t="shared" si="274"/>
        <v>0</v>
      </c>
      <c r="GZ23" s="51">
        <f t="shared" si="275"/>
        <v>0</v>
      </c>
      <c r="HA23" s="54"/>
      <c r="HB23" s="51">
        <f t="shared" si="276"/>
        <v>1.7374475999999996</v>
      </c>
      <c r="HC23" s="51">
        <f t="shared" si="277"/>
        <v>0</v>
      </c>
      <c r="HD23" s="51">
        <f t="shared" si="278"/>
        <v>0</v>
      </c>
      <c r="HE23" s="54"/>
      <c r="HF23" s="51">
        <f t="shared" si="279"/>
        <v>2.0501881679999996</v>
      </c>
      <c r="HG23" s="51">
        <f t="shared" si="280"/>
        <v>0</v>
      </c>
      <c r="HH23" s="51">
        <f t="shared" si="281"/>
        <v>0</v>
      </c>
      <c r="HI23" s="54"/>
      <c r="HJ23" s="51">
        <f t="shared" si="282"/>
        <v>2.0501881679999996</v>
      </c>
      <c r="HK23" s="51">
        <f t="shared" si="283"/>
        <v>0</v>
      </c>
      <c r="HL23" s="51">
        <f t="shared" si="284"/>
        <v>0</v>
      </c>
      <c r="HM23" s="54"/>
      <c r="HN23" s="51">
        <f t="shared" si="285"/>
        <v>2.0501881679999996</v>
      </c>
      <c r="HO23" s="51">
        <f t="shared" si="286"/>
        <v>0</v>
      </c>
      <c r="HP23" s="51">
        <f t="shared" si="287"/>
        <v>0</v>
      </c>
      <c r="HQ23" s="54"/>
      <c r="HR23" s="51">
        <f t="shared" si="288"/>
        <v>2.0501881679999996</v>
      </c>
      <c r="HS23" s="51">
        <f t="shared" si="289"/>
        <v>0</v>
      </c>
      <c r="HT23" s="51">
        <f t="shared" si="290"/>
        <v>0</v>
      </c>
      <c r="HU23" s="54"/>
      <c r="HV23" s="51">
        <f t="shared" si="291"/>
        <v>2.0501881679999996</v>
      </c>
      <c r="HW23" s="51">
        <f t="shared" si="292"/>
        <v>0</v>
      </c>
      <c r="HX23" s="51">
        <f t="shared" si="293"/>
        <v>0</v>
      </c>
      <c r="HY23" s="54"/>
      <c r="HZ23" s="51">
        <f t="shared" si="294"/>
        <v>2.0501881679999996</v>
      </c>
      <c r="IA23" s="51">
        <f t="shared" si="295"/>
        <v>0</v>
      </c>
      <c r="IB23" s="51">
        <f t="shared" si="296"/>
        <v>0</v>
      </c>
      <c r="IC23" s="54"/>
      <c r="ID23" s="51">
        <f t="shared" si="297"/>
        <v>2.0501881679999996</v>
      </c>
      <c r="IE23" s="51">
        <f t="shared" si="298"/>
        <v>0</v>
      </c>
      <c r="IF23" s="51">
        <f t="shared" si="299"/>
        <v>0</v>
      </c>
      <c r="IG23" s="54"/>
      <c r="IH23" s="51">
        <f t="shared" si="300"/>
        <v>2.0501881679999996</v>
      </c>
      <c r="II23" s="51">
        <f t="shared" si="301"/>
        <v>0</v>
      </c>
      <c r="IJ23" s="51">
        <f t="shared" si="302"/>
        <v>0</v>
      </c>
      <c r="IL23" s="51">
        <f t="shared" si="148"/>
        <v>2.0501881679999996</v>
      </c>
      <c r="IM23" s="51">
        <f t="shared" si="149"/>
        <v>0</v>
      </c>
      <c r="IN23" s="51">
        <f t="shared" si="303"/>
        <v>0</v>
      </c>
      <c r="IO23" s="54"/>
      <c r="IP23" s="51">
        <f t="shared" si="304"/>
        <v>2.0501881679999996</v>
      </c>
      <c r="IQ23" s="51">
        <f t="shared" si="305"/>
        <v>0</v>
      </c>
      <c r="IR23" s="51">
        <f t="shared" si="306"/>
        <v>0</v>
      </c>
      <c r="IS23" s="54"/>
      <c r="IT23" s="51">
        <f t="shared" si="307"/>
        <v>2.0501881679999996</v>
      </c>
      <c r="IU23" s="51">
        <f t="shared" si="308"/>
        <v>0</v>
      </c>
      <c r="IV23" s="51">
        <f t="shared" si="309"/>
        <v>0</v>
      </c>
      <c r="IW23" s="54"/>
      <c r="IX23" s="51">
        <f t="shared" si="310"/>
        <v>2.0501881679999996</v>
      </c>
      <c r="IY23" s="51">
        <f t="shared" si="311"/>
        <v>0</v>
      </c>
      <c r="IZ23" s="51">
        <f t="shared" si="312"/>
        <v>0</v>
      </c>
      <c r="JA23" s="54"/>
      <c r="JB23" s="51" t="e">
        <f t="shared" si="313"/>
        <v>#REF!</v>
      </c>
      <c r="JC23" s="51">
        <f t="shared" si="314"/>
        <v>0</v>
      </c>
      <c r="JD23" s="51">
        <f t="shared" si="315"/>
        <v>0</v>
      </c>
      <c r="JE23" s="54"/>
      <c r="JF23" s="51" t="e">
        <f t="shared" si="316"/>
        <v>#REF!</v>
      </c>
      <c r="JG23" s="51">
        <f t="shared" si="317"/>
        <v>0</v>
      </c>
      <c r="JH23" s="51">
        <f t="shared" si="318"/>
        <v>0</v>
      </c>
      <c r="JI23" s="54"/>
      <c r="JJ23" s="51" t="e">
        <f t="shared" si="319"/>
        <v>#REF!</v>
      </c>
      <c r="JK23" s="51">
        <f t="shared" si="320"/>
        <v>0</v>
      </c>
      <c r="JL23" s="51">
        <f t="shared" si="321"/>
        <v>0</v>
      </c>
      <c r="JM23" s="54"/>
      <c r="JO23" s="80"/>
      <c r="JP23" s="80"/>
      <c r="JQ23" s="80">
        <f t="shared" si="150"/>
        <v>0</v>
      </c>
      <c r="JS23" s="80"/>
      <c r="JT23" s="80"/>
      <c r="JU23" s="80">
        <f t="shared" si="151"/>
        <v>0</v>
      </c>
      <c r="JW23" s="80"/>
      <c r="JX23" s="80"/>
      <c r="JY23" s="80">
        <f t="shared" si="152"/>
        <v>0</v>
      </c>
      <c r="KA23" s="80"/>
      <c r="KB23" s="80"/>
      <c r="KC23" s="80">
        <f t="shared" si="153"/>
        <v>0</v>
      </c>
      <c r="KE23" s="80"/>
      <c r="KF23" s="80"/>
      <c r="KG23" s="80">
        <f t="shared" si="154"/>
        <v>0</v>
      </c>
      <c r="KI23" s="80"/>
      <c r="KJ23" s="80"/>
      <c r="KK23" s="80">
        <f t="shared" si="155"/>
        <v>0</v>
      </c>
      <c r="KM23" s="80"/>
      <c r="KN23" s="80"/>
      <c r="KO23" s="80">
        <f t="shared" si="156"/>
        <v>0</v>
      </c>
    </row>
    <row r="24" ht="18.75" customHeight="1" spans="2:301" x14ac:dyDescent="0.25">
      <c r="B24" s="5" t="str">
        <f>A.IIOPEX!C24</f>
        <v>2d</v>
      </c>
      <c r="C24" s="29"/>
      <c r="D24" s="29">
        <f>A.IIOPEX!E24</f>
        <v>0</v>
      </c>
      <c r="E24" s="30"/>
      <c r="F24" s="51">
        <v>1</v>
      </c>
      <c r="G24" s="51"/>
      <c r="H24" s="51">
        <f>A.IIOPEX!I24</f>
        <v>0</v>
      </c>
      <c r="I24" s="54"/>
      <c r="J24" s="51">
        <f t="shared" si="157"/>
        <v>0.92</v>
      </c>
      <c r="K24" s="51"/>
      <c r="L24" s="51">
        <f t="shared" si="158"/>
        <v>0</v>
      </c>
      <c r="M24" s="54"/>
      <c r="N24" s="51">
        <f t="shared" si="159"/>
        <v>0.92</v>
      </c>
      <c r="O24" s="51"/>
      <c r="P24" s="51">
        <f t="shared" si="160"/>
        <v>0</v>
      </c>
      <c r="Q24" s="54"/>
      <c r="R24" s="51">
        <f t="shared" si="161"/>
        <v>0.92</v>
      </c>
      <c r="S24" s="51"/>
      <c r="T24" s="51">
        <f t="shared" si="162"/>
        <v>0</v>
      </c>
      <c r="U24" s="54"/>
      <c r="V24" s="51">
        <f t="shared" si="139"/>
        <v>0.92</v>
      </c>
      <c r="W24" s="51"/>
      <c r="X24" s="51">
        <f t="shared" si="163"/>
        <v>0</v>
      </c>
      <c r="Y24" s="54"/>
      <c r="Z24" s="51">
        <f t="shared" si="140"/>
        <v>0.92</v>
      </c>
      <c r="AA24" s="51"/>
      <c r="AB24" s="51">
        <f t="shared" si="164"/>
        <v>0</v>
      </c>
      <c r="AC24" s="54"/>
      <c r="AD24" s="51">
        <f>Z24*$AD$19</f>
        <v>0.92</v>
      </c>
      <c r="AE24" s="51"/>
      <c r="AF24" s="51">
        <f t="shared" si="165"/>
        <v>0</v>
      </c>
      <c r="AG24" s="54"/>
      <c r="AH24" s="51">
        <f>AD24*$AH$19</f>
        <v>0.9384</v>
      </c>
      <c r="AI24" s="51"/>
      <c r="AJ24" s="51">
        <f t="shared" si="166"/>
        <v>0</v>
      </c>
      <c r="AK24" s="54"/>
      <c r="AL24" s="51">
        <f>AH24*$AL$19</f>
        <v>0.9384</v>
      </c>
      <c r="AM24" s="51"/>
      <c r="AN24" s="51">
        <f t="shared" si="167"/>
        <v>0</v>
      </c>
      <c r="AO24" s="54"/>
      <c r="AP24" s="51">
        <f>AL24*$AP$19</f>
        <v>0.9384</v>
      </c>
      <c r="AQ24" s="51"/>
      <c r="AR24" s="51">
        <f t="shared" si="168"/>
        <v>0</v>
      </c>
      <c r="AS24" s="54"/>
      <c r="AT24" s="51">
        <f>AP24*$AT$19</f>
        <v>0.9384</v>
      </c>
      <c r="AU24" s="51"/>
      <c r="AV24" s="51">
        <f t="shared" si="169"/>
        <v>0</v>
      </c>
      <c r="AW24" s="54"/>
      <c r="AX24" s="51">
        <f>AT24*$AX$19</f>
        <v>0.9384</v>
      </c>
      <c r="AY24" s="51"/>
      <c r="AZ24" s="51">
        <f t="shared" si="170"/>
        <v>0</v>
      </c>
      <c r="BA24" s="54"/>
      <c r="BB24" s="51">
        <f t="shared" si="141"/>
        <v>0.9384</v>
      </c>
      <c r="BC24" s="51"/>
      <c r="BD24" s="51">
        <f t="shared" si="171"/>
        <v>0</v>
      </c>
      <c r="BE24" s="54"/>
      <c r="BF24" s="51">
        <f t="shared" si="322"/>
        <v>0.9384</v>
      </c>
      <c r="BG24" s="51"/>
      <c r="BH24" s="51">
        <f t="shared" si="172"/>
        <v>0</v>
      </c>
      <c r="BI24" s="54"/>
      <c r="BJ24" s="51">
        <f t="shared" si="173"/>
        <v>0.9384</v>
      </c>
      <c r="BK24" s="51">
        <f t="shared" si="174"/>
        <v>0</v>
      </c>
      <c r="BL24" s="51">
        <f t="shared" si="175"/>
        <v>0</v>
      </c>
      <c r="BM24" s="54"/>
      <c r="BN24" s="51">
        <f t="shared" si="176"/>
        <v>0.9384</v>
      </c>
      <c r="BO24" s="51">
        <f t="shared" si="177"/>
        <v>0</v>
      </c>
      <c r="BP24" s="51">
        <f t="shared" si="178"/>
        <v>0</v>
      </c>
      <c r="BQ24" s="54"/>
      <c r="BR24" s="51">
        <f t="shared" si="179"/>
        <v>0.9384</v>
      </c>
      <c r="BS24" s="51">
        <f t="shared" si="180"/>
        <v>0</v>
      </c>
      <c r="BT24" s="51">
        <f t="shared" si="181"/>
        <v>0</v>
      </c>
      <c r="BU24" s="54"/>
      <c r="BV24" s="51">
        <f t="shared" si="182"/>
        <v>0.9384</v>
      </c>
      <c r="BW24" s="51">
        <f t="shared" si="183"/>
        <v>0</v>
      </c>
      <c r="BX24" s="51">
        <f t="shared" si="184"/>
        <v>0</v>
      </c>
      <c r="BY24" s="54"/>
      <c r="BZ24" s="51">
        <f t="shared" si="185"/>
        <v>0.9384</v>
      </c>
      <c r="CA24" s="51">
        <f t="shared" si="186"/>
        <v>0</v>
      </c>
      <c r="CB24" s="51">
        <f t="shared" si="187"/>
        <v>0</v>
      </c>
      <c r="CC24" s="54"/>
      <c r="CD24" s="51">
        <f t="shared" si="188"/>
        <v>1.07916</v>
      </c>
      <c r="CE24" s="51">
        <f t="shared" si="189"/>
        <v>0</v>
      </c>
      <c r="CF24" s="51">
        <f t="shared" si="190"/>
        <v>0</v>
      </c>
      <c r="CG24" s="54"/>
      <c r="CH24" s="51">
        <f t="shared" si="191"/>
        <v>1.07916</v>
      </c>
      <c r="CI24" s="51">
        <f t="shared" si="192"/>
        <v>0</v>
      </c>
      <c r="CJ24" s="51">
        <f t="shared" si="193"/>
        <v>0</v>
      </c>
      <c r="CK24" s="54"/>
      <c r="CL24" s="51">
        <f t="shared" si="194"/>
        <v>1.07916</v>
      </c>
      <c r="CM24" s="51">
        <f t="shared" si="195"/>
        <v>0</v>
      </c>
      <c r="CN24" s="51">
        <f t="shared" si="196"/>
        <v>0</v>
      </c>
      <c r="CO24" s="54"/>
      <c r="CP24" s="51">
        <f t="shared" si="197"/>
        <v>1.07916</v>
      </c>
      <c r="CQ24" s="51">
        <f t="shared" si="198"/>
        <v>0</v>
      </c>
      <c r="CR24" s="51">
        <f t="shared" si="199"/>
        <v>0</v>
      </c>
      <c r="CS24" s="54"/>
      <c r="CT24" s="51">
        <f t="shared" si="200"/>
        <v>1.07916</v>
      </c>
      <c r="CU24" s="51">
        <f t="shared" si="201"/>
        <v>0</v>
      </c>
      <c r="CV24" s="51">
        <f t="shared" si="202"/>
        <v>0</v>
      </c>
      <c r="CW24" s="54"/>
      <c r="CX24" s="51">
        <f t="shared" si="142"/>
        <v>1.07916</v>
      </c>
      <c r="CY24" s="51">
        <f t="shared" si="143"/>
        <v>0</v>
      </c>
      <c r="CZ24" s="51">
        <f t="shared" si="203"/>
        <v>0</v>
      </c>
      <c r="DA24" s="54"/>
      <c r="DB24" s="51">
        <f t="shared" si="204"/>
        <v>1.07916</v>
      </c>
      <c r="DC24" s="51">
        <f t="shared" si="205"/>
        <v>0</v>
      </c>
      <c r="DD24" s="51">
        <f t="shared" si="206"/>
        <v>0</v>
      </c>
      <c r="DE24" s="54"/>
      <c r="DF24" s="51">
        <f t="shared" si="207"/>
        <v>1.07916</v>
      </c>
      <c r="DG24" s="51">
        <f t="shared" si="208"/>
        <v>0</v>
      </c>
      <c r="DH24" s="51">
        <f t="shared" si="209"/>
        <v>0</v>
      </c>
      <c r="DI24" s="54"/>
      <c r="DJ24" s="51">
        <f t="shared" si="210"/>
        <v>1.07916</v>
      </c>
      <c r="DK24" s="51">
        <f t="shared" si="211"/>
        <v>0</v>
      </c>
      <c r="DL24" s="51">
        <f t="shared" si="212"/>
        <v>0</v>
      </c>
      <c r="DM24" s="54"/>
      <c r="DN24" s="51">
        <f t="shared" si="213"/>
        <v>1.07916</v>
      </c>
      <c r="DO24" s="51">
        <f t="shared" si="214"/>
        <v>0</v>
      </c>
      <c r="DP24" s="51">
        <f t="shared" si="215"/>
        <v>0</v>
      </c>
      <c r="DQ24" s="54"/>
      <c r="DR24" s="51">
        <f t="shared" si="216"/>
        <v>1.07916</v>
      </c>
      <c r="DS24" s="51">
        <f t="shared" si="217"/>
        <v>0</v>
      </c>
      <c r="DT24" s="51">
        <f t="shared" si="218"/>
        <v>0</v>
      </c>
      <c r="DU24" s="54"/>
      <c r="DV24" s="51">
        <f t="shared" si="219"/>
        <v>1.07916</v>
      </c>
      <c r="DW24" s="51">
        <f t="shared" si="220"/>
        <v>0</v>
      </c>
      <c r="DX24" s="51">
        <f t="shared" si="221"/>
        <v>0</v>
      </c>
      <c r="DY24" s="54"/>
      <c r="DZ24" s="51">
        <f t="shared" si="222"/>
        <v>1.5108239999999997</v>
      </c>
      <c r="EA24" s="51">
        <f t="shared" si="323"/>
        <v>0</v>
      </c>
      <c r="EB24" s="51">
        <f t="shared" si="223"/>
        <v>0</v>
      </c>
      <c r="EC24" s="54"/>
      <c r="ED24" s="51">
        <f t="shared" si="224"/>
        <v>1.5108239999999997</v>
      </c>
      <c r="EE24" s="51">
        <f t="shared" si="225"/>
        <v>0</v>
      </c>
      <c r="EF24" s="51">
        <f t="shared" si="226"/>
        <v>0</v>
      </c>
      <c r="EG24" s="54"/>
      <c r="EH24" s="51">
        <f t="shared" si="227"/>
        <v>1.5108239999999997</v>
      </c>
      <c r="EI24" s="51">
        <f t="shared" si="228"/>
        <v>0</v>
      </c>
      <c r="EJ24" s="51">
        <f t="shared" si="229"/>
        <v>0</v>
      </c>
      <c r="EK24" s="54"/>
      <c r="EL24" s="51">
        <f t="shared" si="230"/>
        <v>1.5108239999999997</v>
      </c>
      <c r="EM24" s="51">
        <f t="shared" si="231"/>
        <v>0</v>
      </c>
      <c r="EN24" s="51">
        <f t="shared" si="232"/>
        <v>0</v>
      </c>
      <c r="EO24" s="54"/>
      <c r="EP24" s="51">
        <f t="shared" si="233"/>
        <v>1.5108239999999997</v>
      </c>
      <c r="EQ24" s="51">
        <f t="shared" si="234"/>
        <v>0</v>
      </c>
      <c r="ER24" s="51">
        <f t="shared" si="235"/>
        <v>0</v>
      </c>
      <c r="ES24" s="54"/>
      <c r="ET24" s="51">
        <f t="shared" si="144"/>
        <v>1.5108239999999997</v>
      </c>
      <c r="EU24" s="51">
        <f t="shared" si="145"/>
        <v>0</v>
      </c>
      <c r="EV24" s="51">
        <f t="shared" si="236"/>
        <v>0</v>
      </c>
      <c r="EW24" s="54"/>
      <c r="EX24" s="51">
        <f t="shared" si="237"/>
        <v>1.5108239999999997</v>
      </c>
      <c r="EY24" s="51">
        <f t="shared" si="238"/>
        <v>0</v>
      </c>
      <c r="EZ24" s="51">
        <f t="shared" si="239"/>
        <v>0</v>
      </c>
      <c r="FA24" s="54"/>
      <c r="FB24" s="51">
        <f t="shared" si="240"/>
        <v>1.5108239999999997</v>
      </c>
      <c r="FC24" s="51">
        <f t="shared" si="241"/>
        <v>0</v>
      </c>
      <c r="FD24" s="51">
        <f t="shared" si="242"/>
        <v>0</v>
      </c>
      <c r="FE24" s="54"/>
      <c r="FF24" s="51">
        <f t="shared" si="243"/>
        <v>1.5108239999999997</v>
      </c>
      <c r="FG24" s="51">
        <f t="shared" si="324"/>
        <v>0</v>
      </c>
      <c r="FH24" s="51">
        <f t="shared" si="244"/>
        <v>0</v>
      </c>
      <c r="FI24" s="54"/>
      <c r="FJ24" s="51">
        <f t="shared" si="245"/>
        <v>1.7374475999999996</v>
      </c>
      <c r="FK24" s="51">
        <f t="shared" si="246"/>
        <v>0</v>
      </c>
      <c r="FL24" s="51">
        <f t="shared" si="247"/>
        <v>0</v>
      </c>
      <c r="FM24" s="54"/>
      <c r="FN24" s="51">
        <f t="shared" si="248"/>
        <v>1.7374475999999996</v>
      </c>
      <c r="FO24" s="51">
        <f t="shared" si="249"/>
        <v>0</v>
      </c>
      <c r="FP24" s="51">
        <f t="shared" si="250"/>
        <v>0</v>
      </c>
      <c r="FQ24" s="54"/>
      <c r="FR24" s="51">
        <f t="shared" si="251"/>
        <v>1.7374475999999996</v>
      </c>
      <c r="FS24" s="51">
        <f t="shared" si="252"/>
        <v>0</v>
      </c>
      <c r="FT24" s="51">
        <f t="shared" si="253"/>
        <v>0</v>
      </c>
      <c r="FU24" s="54"/>
      <c r="FV24" s="51">
        <f t="shared" si="254"/>
        <v>1.7374475999999996</v>
      </c>
      <c r="FW24" s="51">
        <f t="shared" si="255"/>
        <v>0</v>
      </c>
      <c r="FX24" s="51">
        <f t="shared" si="256"/>
        <v>0</v>
      </c>
      <c r="FY24" s="54"/>
      <c r="FZ24" s="51">
        <f t="shared" si="257"/>
        <v>1.7374475999999996</v>
      </c>
      <c r="GA24" s="51">
        <f t="shared" si="258"/>
        <v>0</v>
      </c>
      <c r="GB24" s="51">
        <f t="shared" si="259"/>
        <v>0</v>
      </c>
      <c r="GC24" s="54"/>
      <c r="GD24" s="51">
        <f>FZ24*$GD$19</f>
        <v>1.7374475999999996</v>
      </c>
      <c r="GE24" s="51">
        <f>GA24*$GE$19</f>
        <v>0</v>
      </c>
      <c r="GF24" s="51">
        <f t="shared" si="262"/>
        <v>0</v>
      </c>
      <c r="GG24" s="54"/>
      <c r="GH24" s="51">
        <f t="shared" si="263"/>
        <v>1.7374475999999996</v>
      </c>
      <c r="GI24" s="51">
        <f t="shared" si="264"/>
        <v>0</v>
      </c>
      <c r="GJ24" s="51">
        <f t="shared" si="265"/>
        <v>0</v>
      </c>
      <c r="GK24" s="54"/>
      <c r="GL24" s="51">
        <f>GH24*$GL$19</f>
        <v>1.7374475999999996</v>
      </c>
      <c r="GM24" s="51">
        <f>GI24*$GM$19</f>
        <v>0</v>
      </c>
      <c r="GN24" s="51">
        <f t="shared" si="268"/>
        <v>0</v>
      </c>
      <c r="GP24" s="51">
        <f t="shared" si="146"/>
        <v>1.7374475999999996</v>
      </c>
      <c r="GQ24" s="51">
        <f t="shared" si="147"/>
        <v>0</v>
      </c>
      <c r="GR24" s="51">
        <f t="shared" si="269"/>
        <v>0</v>
      </c>
      <c r="GS24" s="54"/>
      <c r="GT24" s="51">
        <f>GP24*$GT$19</f>
        <v>1.7374475999999996</v>
      </c>
      <c r="GU24" s="51">
        <f>GQ24*$GU$19</f>
        <v>0</v>
      </c>
      <c r="GV24" s="51">
        <f t="shared" si="272"/>
        <v>0</v>
      </c>
      <c r="GW24" s="54"/>
      <c r="GX24" s="51">
        <f>GT24*$GX$19</f>
        <v>1.7374475999999996</v>
      </c>
      <c r="GY24" s="51">
        <f t="shared" si="274"/>
        <v>0</v>
      </c>
      <c r="GZ24" s="51">
        <f t="shared" si="275"/>
        <v>0</v>
      </c>
      <c r="HA24" s="54"/>
      <c r="HB24" s="51">
        <f>GX24*$HB$19</f>
        <v>1.7374475999999996</v>
      </c>
      <c r="HC24" s="51">
        <f>GY24*$HC$19</f>
        <v>0</v>
      </c>
      <c r="HD24" s="51">
        <f t="shared" si="278"/>
        <v>0</v>
      </c>
      <c r="HE24" s="54"/>
      <c r="HF24" s="51">
        <f t="shared" si="279"/>
        <v>2.0501881679999996</v>
      </c>
      <c r="HG24" s="51">
        <f t="shared" si="280"/>
        <v>0</v>
      </c>
      <c r="HH24" s="51">
        <f t="shared" si="281"/>
        <v>0</v>
      </c>
      <c r="HI24" s="54"/>
      <c r="HJ24" s="51">
        <f t="shared" si="282"/>
        <v>2.0501881679999996</v>
      </c>
      <c r="HK24" s="51">
        <f t="shared" si="283"/>
        <v>0</v>
      </c>
      <c r="HL24" s="51">
        <f t="shared" si="284"/>
        <v>0</v>
      </c>
      <c r="HM24" s="54"/>
      <c r="HN24" s="51">
        <f t="shared" si="285"/>
        <v>2.0501881679999996</v>
      </c>
      <c r="HO24" s="51">
        <f t="shared" si="286"/>
        <v>0</v>
      </c>
      <c r="HP24" s="51">
        <f t="shared" si="287"/>
        <v>0</v>
      </c>
      <c r="HQ24" s="54"/>
      <c r="HR24" s="51">
        <f t="shared" si="288"/>
        <v>2.0501881679999996</v>
      </c>
      <c r="HS24" s="51">
        <f t="shared" si="289"/>
        <v>0</v>
      </c>
      <c r="HT24" s="51">
        <f t="shared" si="290"/>
        <v>0</v>
      </c>
      <c r="HU24" s="54"/>
      <c r="HV24" s="51">
        <f t="shared" si="291"/>
        <v>2.0501881679999996</v>
      </c>
      <c r="HW24" s="51">
        <f t="shared" si="292"/>
        <v>0</v>
      </c>
      <c r="HX24" s="51">
        <f t="shared" si="293"/>
        <v>0</v>
      </c>
      <c r="HY24" s="54"/>
      <c r="HZ24" s="51">
        <f t="shared" si="294"/>
        <v>2.0501881679999996</v>
      </c>
      <c r="IA24" s="51">
        <f t="shared" si="295"/>
        <v>0</v>
      </c>
      <c r="IB24" s="51">
        <f t="shared" si="296"/>
        <v>0</v>
      </c>
      <c r="IC24" s="54"/>
      <c r="ID24" s="51">
        <f t="shared" si="297"/>
        <v>2.0501881679999996</v>
      </c>
      <c r="IE24" s="51">
        <f t="shared" si="298"/>
        <v>0</v>
      </c>
      <c r="IF24" s="51">
        <f t="shared" si="299"/>
        <v>0</v>
      </c>
      <c r="IG24" s="54"/>
      <c r="IH24" s="51">
        <f t="shared" si="300"/>
        <v>2.0501881679999996</v>
      </c>
      <c r="II24" s="51">
        <f t="shared" si="301"/>
        <v>0</v>
      </c>
      <c r="IJ24" s="51">
        <f t="shared" si="302"/>
        <v>0</v>
      </c>
      <c r="IL24" s="51">
        <f t="shared" si="148"/>
        <v>2.0501881679999996</v>
      </c>
      <c r="IM24" s="51">
        <f t="shared" si="149"/>
        <v>0</v>
      </c>
      <c r="IN24" s="51">
        <f t="shared" si="303"/>
        <v>0</v>
      </c>
      <c r="IO24" s="54"/>
      <c r="IP24" s="51">
        <f t="shared" si="304"/>
        <v>2.0501881679999996</v>
      </c>
      <c r="IQ24" s="51">
        <f t="shared" si="305"/>
        <v>0</v>
      </c>
      <c r="IR24" s="51">
        <f t="shared" si="306"/>
        <v>0</v>
      </c>
      <c r="IS24" s="54"/>
      <c r="IT24" s="51">
        <f t="shared" si="307"/>
        <v>2.0501881679999996</v>
      </c>
      <c r="IU24" s="51">
        <f t="shared" si="308"/>
        <v>0</v>
      </c>
      <c r="IV24" s="51">
        <f t="shared" si="309"/>
        <v>0</v>
      </c>
      <c r="IW24" s="54"/>
      <c r="IX24" s="51">
        <f t="shared" si="310"/>
        <v>2.0501881679999996</v>
      </c>
      <c r="IY24" s="51">
        <f t="shared" si="311"/>
        <v>0</v>
      </c>
      <c r="IZ24" s="51">
        <f t="shared" si="312"/>
        <v>0</v>
      </c>
      <c r="JA24" s="54"/>
      <c r="JB24" s="51" t="e">
        <f t="shared" si="313"/>
        <v>#REF!</v>
      </c>
      <c r="JC24" s="51">
        <f t="shared" si="314"/>
        <v>0</v>
      </c>
      <c r="JD24" s="51">
        <f t="shared" si="315"/>
        <v>0</v>
      </c>
      <c r="JE24" s="54"/>
      <c r="JF24" s="51" t="e">
        <f t="shared" si="316"/>
        <v>#REF!</v>
      </c>
      <c r="JG24" s="51">
        <f t="shared" si="317"/>
        <v>0</v>
      </c>
      <c r="JH24" s="51">
        <f t="shared" si="318"/>
        <v>0</v>
      </c>
      <c r="JI24" s="54"/>
      <c r="JJ24" s="51" t="e">
        <f t="shared" si="319"/>
        <v>#REF!</v>
      </c>
      <c r="JK24" s="51">
        <f t="shared" si="320"/>
        <v>0</v>
      </c>
      <c r="JL24" s="51">
        <f t="shared" si="321"/>
        <v>0</v>
      </c>
      <c r="JM24" s="54"/>
      <c r="JO24" s="80"/>
      <c r="JP24" s="80"/>
      <c r="JQ24" s="80">
        <f t="shared" si="150"/>
        <v>0</v>
      </c>
      <c r="JS24" s="80"/>
      <c r="JT24" s="80"/>
      <c r="JU24" s="80">
        <f t="shared" si="151"/>
        <v>0</v>
      </c>
      <c r="JW24" s="80"/>
      <c r="JX24" s="80"/>
      <c r="JY24" s="80">
        <f t="shared" si="152"/>
        <v>0</v>
      </c>
      <c r="KA24" s="80"/>
      <c r="KB24" s="80"/>
      <c r="KC24" s="80">
        <f t="shared" si="153"/>
        <v>0</v>
      </c>
      <c r="KE24" s="80"/>
      <c r="KF24" s="80"/>
      <c r="KG24" s="80">
        <f t="shared" si="154"/>
        <v>0</v>
      </c>
      <c r="KI24" s="80"/>
      <c r="KJ24" s="80"/>
      <c r="KK24" s="80">
        <f t="shared" si="155"/>
        <v>0</v>
      </c>
      <c r="KM24" s="80"/>
      <c r="KN24" s="80"/>
      <c r="KO24" s="80">
        <f t="shared" si="156"/>
        <v>0</v>
      </c>
    </row>
    <row r="25" ht="18.75" customHeight="1" spans="2:301" x14ac:dyDescent="0.25">
      <c r="B25" s="5" t="str">
        <f>A.IIOPEX!C25</f>
        <v>2e</v>
      </c>
      <c r="C25" s="29"/>
      <c r="D25" s="29">
        <f>A.IIOPEX!E25</f>
        <v>0</v>
      </c>
      <c r="E25" s="30"/>
      <c r="F25" s="51">
        <v>1</v>
      </c>
      <c r="G25" s="51"/>
      <c r="H25" s="51">
        <f>A.IIOPEX!I25</f>
        <v>0</v>
      </c>
      <c r="I25" s="54"/>
      <c r="J25" s="51">
        <f t="shared" si="157"/>
        <v>0.92</v>
      </c>
      <c r="K25" s="51"/>
      <c r="L25" s="51">
        <f t="shared" si="158"/>
        <v>0</v>
      </c>
      <c r="M25" s="54"/>
      <c r="N25" s="51">
        <f t="shared" si="159"/>
        <v>0.92</v>
      </c>
      <c r="O25" s="51"/>
      <c r="P25" s="51">
        <f t="shared" si="160"/>
        <v>0</v>
      </c>
      <c r="Q25" s="54"/>
      <c r="R25" s="51">
        <f t="shared" si="161"/>
        <v>0.92</v>
      </c>
      <c r="S25" s="51"/>
      <c r="T25" s="51">
        <f t="shared" si="162"/>
        <v>0</v>
      </c>
      <c r="U25" s="54"/>
      <c r="V25" s="51">
        <f t="shared" si="139"/>
        <v>0.92</v>
      </c>
      <c r="W25" s="51"/>
      <c r="X25" s="51">
        <f t="shared" si="163"/>
        <v>0</v>
      </c>
      <c r="Y25" s="54"/>
      <c r="Z25" s="51">
        <f t="shared" si="140"/>
        <v>0.92</v>
      </c>
      <c r="AA25" s="51"/>
      <c r="AB25" s="51">
        <f t="shared" si="164"/>
        <v>0</v>
      </c>
      <c r="AC25" s="54"/>
      <c r="AD25" s="51">
        <f>Z25*$AD$19</f>
        <v>0.92</v>
      </c>
      <c r="AE25" s="51"/>
      <c r="AF25" s="51">
        <f t="shared" si="165"/>
        <v>0</v>
      </c>
      <c r="AG25" s="54"/>
      <c r="AH25" s="51">
        <f>AD25*$AH$19</f>
        <v>0.9384</v>
      </c>
      <c r="AI25" s="51"/>
      <c r="AJ25" s="51">
        <f t="shared" si="166"/>
        <v>0</v>
      </c>
      <c r="AK25" s="54"/>
      <c r="AL25" s="51">
        <f>AH25*$AL$19</f>
        <v>0.9384</v>
      </c>
      <c r="AM25" s="51"/>
      <c r="AN25" s="51">
        <f t="shared" si="167"/>
        <v>0</v>
      </c>
      <c r="AO25" s="54"/>
      <c r="AP25" s="51">
        <f>AL25*$AP$19</f>
        <v>0.9384</v>
      </c>
      <c r="AQ25" s="51"/>
      <c r="AR25" s="51">
        <f t="shared" si="168"/>
        <v>0</v>
      </c>
      <c r="AS25" s="54"/>
      <c r="AT25" s="51">
        <f>AP25*$AT$19</f>
        <v>0.9384</v>
      </c>
      <c r="AU25" s="51"/>
      <c r="AV25" s="51">
        <f t="shared" si="169"/>
        <v>0</v>
      </c>
      <c r="AW25" s="54"/>
      <c r="AX25" s="51">
        <f>AT25*$AX$19</f>
        <v>0.9384</v>
      </c>
      <c r="AY25" s="51"/>
      <c r="AZ25" s="51">
        <f t="shared" si="170"/>
        <v>0</v>
      </c>
      <c r="BA25" s="54"/>
      <c r="BB25" s="51">
        <f t="shared" si="141"/>
        <v>0.9384</v>
      </c>
      <c r="BC25" s="51"/>
      <c r="BD25" s="51">
        <f t="shared" si="171"/>
        <v>0</v>
      </c>
      <c r="BE25" s="54"/>
      <c r="BF25" s="51">
        <f t="shared" si="322"/>
        <v>0.9384</v>
      </c>
      <c r="BG25" s="51"/>
      <c r="BH25" s="51">
        <f t="shared" si="172"/>
        <v>0</v>
      </c>
      <c r="BI25" s="54"/>
      <c r="BJ25" s="51">
        <f t="shared" si="173"/>
        <v>0.9384</v>
      </c>
      <c r="BK25" s="51">
        <f t="shared" si="174"/>
        <v>0</v>
      </c>
      <c r="BL25" s="51">
        <f t="shared" si="175"/>
        <v>0</v>
      </c>
      <c r="BM25" s="54"/>
      <c r="BN25" s="51">
        <f t="shared" si="176"/>
        <v>0.9384</v>
      </c>
      <c r="BO25" s="51">
        <f t="shared" si="177"/>
        <v>0</v>
      </c>
      <c r="BP25" s="51">
        <f t="shared" si="178"/>
        <v>0</v>
      </c>
      <c r="BQ25" s="54"/>
      <c r="BR25" s="51">
        <f t="shared" si="179"/>
        <v>0.9384</v>
      </c>
      <c r="BS25" s="51">
        <f t="shared" si="180"/>
        <v>0</v>
      </c>
      <c r="BT25" s="51">
        <f t="shared" si="181"/>
        <v>0</v>
      </c>
      <c r="BU25" s="54"/>
      <c r="BV25" s="51">
        <f t="shared" si="182"/>
        <v>0.9384</v>
      </c>
      <c r="BW25" s="51">
        <f t="shared" si="183"/>
        <v>0</v>
      </c>
      <c r="BX25" s="51">
        <f t="shared" si="184"/>
        <v>0</v>
      </c>
      <c r="BY25" s="54"/>
      <c r="BZ25" s="51">
        <f t="shared" si="185"/>
        <v>0.9384</v>
      </c>
      <c r="CA25" s="51">
        <f t="shared" si="186"/>
        <v>0</v>
      </c>
      <c r="CB25" s="51">
        <f t="shared" si="187"/>
        <v>0</v>
      </c>
      <c r="CC25" s="54"/>
      <c r="CD25" s="51">
        <f t="shared" si="188"/>
        <v>1.07916</v>
      </c>
      <c r="CE25" s="51">
        <f t="shared" si="189"/>
        <v>0</v>
      </c>
      <c r="CF25" s="51">
        <f t="shared" si="190"/>
        <v>0</v>
      </c>
      <c r="CG25" s="54"/>
      <c r="CH25" s="51">
        <f t="shared" si="191"/>
        <v>1.07916</v>
      </c>
      <c r="CI25" s="51">
        <f t="shared" si="192"/>
        <v>0</v>
      </c>
      <c r="CJ25" s="51">
        <f t="shared" si="193"/>
        <v>0</v>
      </c>
      <c r="CK25" s="54"/>
      <c r="CL25" s="51">
        <f t="shared" si="194"/>
        <v>1.07916</v>
      </c>
      <c r="CM25" s="51">
        <f t="shared" si="195"/>
        <v>0</v>
      </c>
      <c r="CN25" s="51">
        <f t="shared" si="196"/>
        <v>0</v>
      </c>
      <c r="CO25" s="54"/>
      <c r="CP25" s="51">
        <f t="shared" si="197"/>
        <v>1.07916</v>
      </c>
      <c r="CQ25" s="51">
        <f t="shared" si="198"/>
        <v>0</v>
      </c>
      <c r="CR25" s="51">
        <f t="shared" si="199"/>
        <v>0</v>
      </c>
      <c r="CS25" s="54"/>
      <c r="CT25" s="51">
        <f t="shared" si="200"/>
        <v>1.07916</v>
      </c>
      <c r="CU25" s="51">
        <f t="shared" si="201"/>
        <v>0</v>
      </c>
      <c r="CV25" s="51">
        <f t="shared" si="202"/>
        <v>0</v>
      </c>
      <c r="CW25" s="54"/>
      <c r="CX25" s="51">
        <f t="shared" si="142"/>
        <v>1.07916</v>
      </c>
      <c r="CY25" s="51">
        <f t="shared" si="143"/>
        <v>0</v>
      </c>
      <c r="CZ25" s="51">
        <f t="shared" si="203"/>
        <v>0</v>
      </c>
      <c r="DA25" s="54"/>
      <c r="DB25" s="51">
        <f t="shared" si="204"/>
        <v>1.07916</v>
      </c>
      <c r="DC25" s="51">
        <f t="shared" si="205"/>
        <v>0</v>
      </c>
      <c r="DD25" s="51">
        <f t="shared" si="206"/>
        <v>0</v>
      </c>
      <c r="DE25" s="54"/>
      <c r="DF25" s="51">
        <f t="shared" si="207"/>
        <v>1.07916</v>
      </c>
      <c r="DG25" s="51">
        <f t="shared" si="208"/>
        <v>0</v>
      </c>
      <c r="DH25" s="51">
        <f t="shared" si="209"/>
        <v>0</v>
      </c>
      <c r="DI25" s="54"/>
      <c r="DJ25" s="51">
        <f t="shared" si="210"/>
        <v>1.07916</v>
      </c>
      <c r="DK25" s="51">
        <f t="shared" si="211"/>
        <v>0</v>
      </c>
      <c r="DL25" s="51">
        <f t="shared" si="212"/>
        <v>0</v>
      </c>
      <c r="DM25" s="54"/>
      <c r="DN25" s="51">
        <f t="shared" si="213"/>
        <v>1.07916</v>
      </c>
      <c r="DO25" s="51">
        <f t="shared" si="214"/>
        <v>0</v>
      </c>
      <c r="DP25" s="51">
        <f t="shared" si="215"/>
        <v>0</v>
      </c>
      <c r="DQ25" s="54"/>
      <c r="DR25" s="51">
        <f t="shared" si="216"/>
        <v>1.07916</v>
      </c>
      <c r="DS25" s="51">
        <f t="shared" si="217"/>
        <v>0</v>
      </c>
      <c r="DT25" s="51">
        <f t="shared" si="218"/>
        <v>0</v>
      </c>
      <c r="DU25" s="54"/>
      <c r="DV25" s="51">
        <f t="shared" si="219"/>
        <v>1.07916</v>
      </c>
      <c r="DW25" s="51">
        <f t="shared" si="220"/>
        <v>0</v>
      </c>
      <c r="DX25" s="51">
        <f t="shared" si="221"/>
        <v>0</v>
      </c>
      <c r="DY25" s="54"/>
      <c r="DZ25" s="51">
        <f t="shared" si="222"/>
        <v>1.5108239999999997</v>
      </c>
      <c r="EA25" s="51">
        <f t="shared" si="323"/>
        <v>0</v>
      </c>
      <c r="EB25" s="51">
        <f t="shared" si="223"/>
        <v>0</v>
      </c>
      <c r="EC25" s="54"/>
      <c r="ED25" s="51">
        <f t="shared" si="224"/>
        <v>1.5108239999999997</v>
      </c>
      <c r="EE25" s="51">
        <f t="shared" si="225"/>
        <v>0</v>
      </c>
      <c r="EF25" s="51">
        <f t="shared" si="226"/>
        <v>0</v>
      </c>
      <c r="EG25" s="54"/>
      <c r="EH25" s="51">
        <f t="shared" si="227"/>
        <v>1.5108239999999997</v>
      </c>
      <c r="EI25" s="51">
        <f t="shared" si="228"/>
        <v>0</v>
      </c>
      <c r="EJ25" s="51">
        <f t="shared" si="229"/>
        <v>0</v>
      </c>
      <c r="EK25" s="54"/>
      <c r="EL25" s="51">
        <f t="shared" si="230"/>
        <v>1.5108239999999997</v>
      </c>
      <c r="EM25" s="51">
        <f t="shared" si="231"/>
        <v>0</v>
      </c>
      <c r="EN25" s="51">
        <f t="shared" si="232"/>
        <v>0</v>
      </c>
      <c r="EO25" s="54"/>
      <c r="EP25" s="51">
        <f t="shared" si="233"/>
        <v>1.5108239999999997</v>
      </c>
      <c r="EQ25" s="51">
        <f t="shared" si="234"/>
        <v>0</v>
      </c>
      <c r="ER25" s="51">
        <f t="shared" si="235"/>
        <v>0</v>
      </c>
      <c r="ES25" s="54"/>
      <c r="ET25" s="51">
        <f t="shared" si="144"/>
        <v>1.5108239999999997</v>
      </c>
      <c r="EU25" s="51">
        <f t="shared" si="145"/>
        <v>0</v>
      </c>
      <c r="EV25" s="51">
        <f t="shared" si="236"/>
        <v>0</v>
      </c>
      <c r="EW25" s="54"/>
      <c r="EX25" s="51">
        <f t="shared" si="237"/>
        <v>1.5108239999999997</v>
      </c>
      <c r="EY25" s="51">
        <f t="shared" si="238"/>
        <v>0</v>
      </c>
      <c r="EZ25" s="51">
        <f t="shared" si="239"/>
        <v>0</v>
      </c>
      <c r="FA25" s="54"/>
      <c r="FB25" s="51">
        <f t="shared" si="240"/>
        <v>1.5108239999999997</v>
      </c>
      <c r="FC25" s="51">
        <f t="shared" si="241"/>
        <v>0</v>
      </c>
      <c r="FD25" s="51">
        <f t="shared" si="242"/>
        <v>0</v>
      </c>
      <c r="FE25" s="54"/>
      <c r="FF25" s="51">
        <f t="shared" si="243"/>
        <v>1.5108239999999997</v>
      </c>
      <c r="FG25" s="51">
        <f t="shared" si="324"/>
        <v>0</v>
      </c>
      <c r="FH25" s="51">
        <f t="shared" si="244"/>
        <v>0</v>
      </c>
      <c r="FI25" s="54"/>
      <c r="FJ25" s="51">
        <f t="shared" si="245"/>
        <v>1.7374475999999996</v>
      </c>
      <c r="FK25" s="51">
        <f t="shared" si="246"/>
        <v>0</v>
      </c>
      <c r="FL25" s="51">
        <f t="shared" si="247"/>
        <v>0</v>
      </c>
      <c r="FM25" s="54"/>
      <c r="FN25" s="51">
        <f t="shared" si="248"/>
        <v>1.7374475999999996</v>
      </c>
      <c r="FO25" s="51">
        <f t="shared" si="249"/>
        <v>0</v>
      </c>
      <c r="FP25" s="51">
        <f t="shared" si="250"/>
        <v>0</v>
      </c>
      <c r="FQ25" s="54"/>
      <c r="FR25" s="51">
        <f t="shared" si="251"/>
        <v>1.7374475999999996</v>
      </c>
      <c r="FS25" s="51">
        <f t="shared" si="252"/>
        <v>0</v>
      </c>
      <c r="FT25" s="51">
        <f t="shared" si="253"/>
        <v>0</v>
      </c>
      <c r="FU25" s="54"/>
      <c r="FV25" s="51">
        <f t="shared" si="254"/>
        <v>1.7374475999999996</v>
      </c>
      <c r="FW25" s="51">
        <f t="shared" si="255"/>
        <v>0</v>
      </c>
      <c r="FX25" s="51">
        <f t="shared" si="256"/>
        <v>0</v>
      </c>
      <c r="FY25" s="54"/>
      <c r="FZ25" s="51">
        <f t="shared" si="257"/>
        <v>1.7374475999999996</v>
      </c>
      <c r="GA25" s="51">
        <f t="shared" si="258"/>
        <v>0</v>
      </c>
      <c r="GB25" s="51">
        <f t="shared" si="259"/>
        <v>0</v>
      </c>
      <c r="GC25" s="54"/>
      <c r="GD25" s="51">
        <f>FZ25*$GD$19</f>
        <v>1.7374475999999996</v>
      </c>
      <c r="GE25" s="51">
        <f>GA25*$GE$19</f>
        <v>0</v>
      </c>
      <c r="GF25" s="51">
        <f t="shared" si="262"/>
        <v>0</v>
      </c>
      <c r="GG25" s="54"/>
      <c r="GH25" s="51">
        <f t="shared" si="263"/>
        <v>1.7374475999999996</v>
      </c>
      <c r="GI25" s="51">
        <f t="shared" si="264"/>
        <v>0</v>
      </c>
      <c r="GJ25" s="51">
        <f t="shared" si="265"/>
        <v>0</v>
      </c>
      <c r="GK25" s="54"/>
      <c r="GL25" s="51">
        <f>GH25*$GL$19</f>
        <v>1.7374475999999996</v>
      </c>
      <c r="GM25" s="51">
        <f>GI25*$GM$19</f>
        <v>0</v>
      </c>
      <c r="GN25" s="51">
        <f t="shared" si="268"/>
        <v>0</v>
      </c>
      <c r="GP25" s="51">
        <f t="shared" si="146"/>
        <v>1.7374475999999996</v>
      </c>
      <c r="GQ25" s="51">
        <f t="shared" si="147"/>
        <v>0</v>
      </c>
      <c r="GR25" s="51">
        <f t="shared" si="269"/>
        <v>0</v>
      </c>
      <c r="GS25" s="54"/>
      <c r="GT25" s="51">
        <f>GP25*$GT$19</f>
        <v>1.7374475999999996</v>
      </c>
      <c r="GU25" s="51">
        <f>GQ25*$GU$19</f>
        <v>0</v>
      </c>
      <c r="GV25" s="51">
        <f t="shared" si="272"/>
        <v>0</v>
      </c>
      <c r="GW25" s="54"/>
      <c r="GX25" s="51">
        <f>GT25*$GX$19</f>
        <v>1.7374475999999996</v>
      </c>
      <c r="GY25" s="51">
        <f t="shared" si="274"/>
        <v>0</v>
      </c>
      <c r="GZ25" s="51">
        <f t="shared" si="275"/>
        <v>0</v>
      </c>
      <c r="HA25" s="54"/>
      <c r="HB25" s="51">
        <f>GX25*$HB$19</f>
        <v>1.7374475999999996</v>
      </c>
      <c r="HC25" s="51">
        <f>GY25*$HC$19</f>
        <v>0</v>
      </c>
      <c r="HD25" s="51">
        <f t="shared" si="278"/>
        <v>0</v>
      </c>
      <c r="HE25" s="54"/>
      <c r="HF25" s="51">
        <f t="shared" si="279"/>
        <v>2.0501881679999996</v>
      </c>
      <c r="HG25" s="51">
        <f t="shared" si="280"/>
        <v>0</v>
      </c>
      <c r="HH25" s="51">
        <f t="shared" si="281"/>
        <v>0</v>
      </c>
      <c r="HI25" s="54"/>
      <c r="HJ25" s="51">
        <f t="shared" si="282"/>
        <v>2.0501881679999996</v>
      </c>
      <c r="HK25" s="51">
        <f t="shared" si="283"/>
        <v>0</v>
      </c>
      <c r="HL25" s="51">
        <f t="shared" si="284"/>
        <v>0</v>
      </c>
      <c r="HM25" s="54"/>
      <c r="HN25" s="51">
        <f t="shared" si="285"/>
        <v>2.0501881679999996</v>
      </c>
      <c r="HO25" s="51">
        <f t="shared" si="286"/>
        <v>0</v>
      </c>
      <c r="HP25" s="51">
        <f t="shared" si="287"/>
        <v>0</v>
      </c>
      <c r="HQ25" s="54"/>
      <c r="HR25" s="51">
        <f t="shared" si="288"/>
        <v>2.0501881679999996</v>
      </c>
      <c r="HS25" s="51">
        <f t="shared" si="289"/>
        <v>0</v>
      </c>
      <c r="HT25" s="51">
        <f t="shared" si="290"/>
        <v>0</v>
      </c>
      <c r="HU25" s="54"/>
      <c r="HV25" s="51">
        <f t="shared" si="291"/>
        <v>2.0501881679999996</v>
      </c>
      <c r="HW25" s="51">
        <f t="shared" si="292"/>
        <v>0</v>
      </c>
      <c r="HX25" s="51">
        <f t="shared" si="293"/>
        <v>0</v>
      </c>
      <c r="HY25" s="54"/>
      <c r="HZ25" s="51">
        <f t="shared" si="294"/>
        <v>2.0501881679999996</v>
      </c>
      <c r="IA25" s="51">
        <f t="shared" si="295"/>
        <v>0</v>
      </c>
      <c r="IB25" s="51">
        <f t="shared" si="296"/>
        <v>0</v>
      </c>
      <c r="IC25" s="54"/>
      <c r="ID25" s="51">
        <f t="shared" si="297"/>
        <v>2.0501881679999996</v>
      </c>
      <c r="IE25" s="51">
        <f t="shared" si="298"/>
        <v>0</v>
      </c>
      <c r="IF25" s="51">
        <f t="shared" si="299"/>
        <v>0</v>
      </c>
      <c r="IG25" s="54"/>
      <c r="IH25" s="51">
        <f t="shared" si="300"/>
        <v>2.0501881679999996</v>
      </c>
      <c r="II25" s="51">
        <f t="shared" si="301"/>
        <v>0</v>
      </c>
      <c r="IJ25" s="51">
        <f t="shared" si="302"/>
        <v>0</v>
      </c>
      <c r="IL25" s="51">
        <f t="shared" si="148"/>
        <v>2.0501881679999996</v>
      </c>
      <c r="IM25" s="51">
        <f t="shared" si="149"/>
        <v>0</v>
      </c>
      <c r="IN25" s="51">
        <f t="shared" si="303"/>
        <v>0</v>
      </c>
      <c r="IO25" s="54"/>
      <c r="IP25" s="51">
        <f t="shared" si="304"/>
        <v>2.0501881679999996</v>
      </c>
      <c r="IQ25" s="51">
        <f t="shared" si="305"/>
        <v>0</v>
      </c>
      <c r="IR25" s="51">
        <f t="shared" si="306"/>
        <v>0</v>
      </c>
      <c r="IS25" s="54"/>
      <c r="IT25" s="51">
        <f t="shared" si="307"/>
        <v>2.0501881679999996</v>
      </c>
      <c r="IU25" s="51">
        <f t="shared" si="308"/>
        <v>0</v>
      </c>
      <c r="IV25" s="51">
        <f t="shared" si="309"/>
        <v>0</v>
      </c>
      <c r="IW25" s="54"/>
      <c r="IX25" s="51">
        <f t="shared" si="310"/>
        <v>2.0501881679999996</v>
      </c>
      <c r="IY25" s="51">
        <f t="shared" si="311"/>
        <v>0</v>
      </c>
      <c r="IZ25" s="51">
        <f t="shared" si="312"/>
        <v>0</v>
      </c>
      <c r="JA25" s="54"/>
      <c r="JB25" s="51" t="e">
        <f t="shared" si="313"/>
        <v>#REF!</v>
      </c>
      <c r="JC25" s="51">
        <f t="shared" si="314"/>
        <v>0</v>
      </c>
      <c r="JD25" s="51">
        <f t="shared" si="315"/>
        <v>0</v>
      </c>
      <c r="JE25" s="54"/>
      <c r="JF25" s="51" t="e">
        <f t="shared" si="316"/>
        <v>#REF!</v>
      </c>
      <c r="JG25" s="51">
        <f t="shared" si="317"/>
        <v>0</v>
      </c>
      <c r="JH25" s="51">
        <f t="shared" si="318"/>
        <v>0</v>
      </c>
      <c r="JI25" s="54"/>
      <c r="JJ25" s="51" t="e">
        <f t="shared" si="319"/>
        <v>#REF!</v>
      </c>
      <c r="JK25" s="51">
        <f t="shared" si="320"/>
        <v>0</v>
      </c>
      <c r="JL25" s="51">
        <f t="shared" si="321"/>
        <v>0</v>
      </c>
      <c r="JM25" s="54"/>
      <c r="JO25" s="80"/>
      <c r="JP25" s="80"/>
      <c r="JQ25" s="80">
        <f t="shared" si="150"/>
        <v>0</v>
      </c>
      <c r="JS25" s="80"/>
      <c r="JT25" s="80"/>
      <c r="JU25" s="80">
        <f t="shared" si="151"/>
        <v>0</v>
      </c>
      <c r="JW25" s="80"/>
      <c r="JX25" s="80"/>
      <c r="JY25" s="80">
        <f t="shared" si="152"/>
        <v>0</v>
      </c>
      <c r="KA25" s="80"/>
      <c r="KB25" s="80"/>
      <c r="KC25" s="80">
        <f t="shared" si="153"/>
        <v>0</v>
      </c>
      <c r="KE25" s="80"/>
      <c r="KF25" s="80"/>
      <c r="KG25" s="80">
        <f t="shared" si="154"/>
        <v>0</v>
      </c>
      <c r="KI25" s="80"/>
      <c r="KJ25" s="80"/>
      <c r="KK25" s="80">
        <f t="shared" si="155"/>
        <v>0</v>
      </c>
      <c r="KM25" s="80"/>
      <c r="KN25" s="80"/>
      <c r="KO25" s="80">
        <f t="shared" si="156"/>
        <v>0</v>
      </c>
    </row>
    <row r="26" ht="18.75" customHeight="1" spans="2:301" x14ac:dyDescent="0.25">
      <c r="B26" s="5" t="str">
        <f>A.IIOPEX!C26</f>
        <v>2f</v>
      </c>
      <c r="C26" s="29"/>
      <c r="D26" s="29">
        <f>A.IIOPEX!E26</f>
        <v>0</v>
      </c>
      <c r="E26" s="30"/>
      <c r="F26" s="51">
        <v>1</v>
      </c>
      <c r="G26" s="51"/>
      <c r="H26" s="51">
        <f>A.IIOPEX!I26</f>
        <v>0</v>
      </c>
      <c r="I26" s="54"/>
      <c r="J26" s="51">
        <f t="shared" si="157"/>
        <v>0.92</v>
      </c>
      <c r="K26" s="51"/>
      <c r="L26" s="51">
        <f t="shared" si="158"/>
        <v>0</v>
      </c>
      <c r="M26" s="54"/>
      <c r="N26" s="51">
        <f t="shared" si="159"/>
        <v>0.92</v>
      </c>
      <c r="O26" s="51"/>
      <c r="P26" s="51">
        <f t="shared" si="160"/>
        <v>0</v>
      </c>
      <c r="Q26" s="54"/>
      <c r="R26" s="51">
        <f t="shared" si="161"/>
        <v>0.92</v>
      </c>
      <c r="S26" s="51"/>
      <c r="T26" s="51">
        <f t="shared" si="162"/>
        <v>0</v>
      </c>
      <c r="U26" s="54"/>
      <c r="V26" s="51">
        <f t="shared" si="139"/>
        <v>0.92</v>
      </c>
      <c r="W26" s="51"/>
      <c r="X26" s="51">
        <f t="shared" si="163"/>
        <v>0</v>
      </c>
      <c r="Y26" s="54"/>
      <c r="Z26" s="51">
        <f t="shared" si="140"/>
        <v>0.92</v>
      </c>
      <c r="AA26" s="51"/>
      <c r="AB26" s="51">
        <f t="shared" si="164"/>
        <v>0</v>
      </c>
      <c r="AC26" s="54"/>
      <c r="AD26" s="51">
        <f t="shared" ref="AD26:AD27" si="325">Z26*$AD$19</f>
        <v>0.92</v>
      </c>
      <c r="AE26" s="51"/>
      <c r="AF26" s="51">
        <f t="shared" si="165"/>
        <v>0</v>
      </c>
      <c r="AG26" s="54"/>
      <c r="AH26" s="51">
        <f t="shared" ref="AH26:AH27" si="326">AD26*$AH$19</f>
        <v>0.9384</v>
      </c>
      <c r="AI26" s="51"/>
      <c r="AJ26" s="51">
        <f t="shared" si="166"/>
        <v>0</v>
      </c>
      <c r="AK26" s="54"/>
      <c r="AL26" s="51">
        <f t="shared" ref="AL26:AL27" si="327">AH26*$AL$19</f>
        <v>0.9384</v>
      </c>
      <c r="AM26" s="51"/>
      <c r="AN26" s="51">
        <f t="shared" si="167"/>
        <v>0</v>
      </c>
      <c r="AO26" s="54"/>
      <c r="AP26" s="51">
        <f t="shared" ref="AP26:AP27" si="328">AL26*$AP$19</f>
        <v>0.9384</v>
      </c>
      <c r="AQ26" s="51"/>
      <c r="AR26" s="51">
        <f t="shared" si="168"/>
        <v>0</v>
      </c>
      <c r="AS26" s="54"/>
      <c r="AT26" s="51">
        <f t="shared" ref="AT26:AT27" si="329">AP26*$AT$19</f>
        <v>0.9384</v>
      </c>
      <c r="AU26" s="51"/>
      <c r="AV26" s="51">
        <f t="shared" si="169"/>
        <v>0</v>
      </c>
      <c r="AW26" s="54"/>
      <c r="AX26" s="51">
        <f t="shared" ref="AX26:AX27" si="330">AT26*$AX$19</f>
        <v>0.9384</v>
      </c>
      <c r="AY26" s="51"/>
      <c r="AZ26" s="51">
        <f t="shared" si="170"/>
        <v>0</v>
      </c>
      <c r="BA26" s="54"/>
      <c r="BB26" s="51">
        <f t="shared" si="141"/>
        <v>0.9384</v>
      </c>
      <c r="BC26" s="51"/>
      <c r="BD26" s="51">
        <f t="shared" si="171"/>
        <v>0</v>
      </c>
      <c r="BE26" s="54"/>
      <c r="BF26" s="51">
        <f t="shared" ref="BF26:BF27" si="331">BB26*$BF$19</f>
        <v>0.9384</v>
      </c>
      <c r="BG26" s="51"/>
      <c r="BH26" s="51">
        <f t="shared" si="172"/>
        <v>0</v>
      </c>
      <c r="BI26" s="54"/>
      <c r="BJ26" s="51">
        <f t="shared" ref="BJ26:BJ27" si="332">BF26*$BJ$19</f>
        <v>0.9384</v>
      </c>
      <c r="BK26" s="51">
        <f t="shared" ref="BK26:BK27" si="333">BG26*$BK$19</f>
        <v>0</v>
      </c>
      <c r="BL26" s="51">
        <f t="shared" si="175"/>
        <v>0</v>
      </c>
      <c r="BM26" s="54"/>
      <c r="BN26" s="51">
        <f t="shared" ref="BN26:BN27" si="334">BJ26*$BN$19</f>
        <v>0.9384</v>
      </c>
      <c r="BO26" s="51">
        <f t="shared" ref="BO26:BO27" si="335">BK26*$BO$19</f>
        <v>0</v>
      </c>
      <c r="BP26" s="51">
        <f t="shared" si="178"/>
        <v>0</v>
      </c>
      <c r="BQ26" s="54"/>
      <c r="BR26" s="51">
        <f t="shared" ref="BR26:BR27" si="336">BN26*$BR$19</f>
        <v>0.9384</v>
      </c>
      <c r="BS26" s="51">
        <f t="shared" ref="BS26:BS27" si="337">BO26*$BS$19</f>
        <v>0</v>
      </c>
      <c r="BT26" s="51">
        <f t="shared" si="181"/>
        <v>0</v>
      </c>
      <c r="BU26" s="54"/>
      <c r="BV26" s="51">
        <f t="shared" ref="BV26:BV27" si="338">BR26*$BV$19</f>
        <v>0.9384</v>
      </c>
      <c r="BW26" s="51">
        <f t="shared" ref="BW26:BW27" si="339">BS26*$BW$19</f>
        <v>0</v>
      </c>
      <c r="BX26" s="51">
        <f t="shared" si="184"/>
        <v>0</v>
      </c>
      <c r="BY26" s="54"/>
      <c r="BZ26" s="51">
        <f t="shared" ref="BZ26:BZ27" si="340">BV26*$BZ$19</f>
        <v>0.9384</v>
      </c>
      <c r="CA26" s="51">
        <f t="shared" ref="CA26:CA27" si="341">BW26*$CA$19</f>
        <v>0</v>
      </c>
      <c r="CB26" s="51">
        <f t="shared" si="187"/>
        <v>0</v>
      </c>
      <c r="CC26" s="54"/>
      <c r="CD26" s="51">
        <f t="shared" ref="CD26:CD27" si="342">BZ26*$CD$19</f>
        <v>1.07916</v>
      </c>
      <c r="CE26" s="51">
        <f t="shared" ref="CE26:CE27" si="343">CA26*$CE$19</f>
        <v>0</v>
      </c>
      <c r="CF26" s="51">
        <f t="shared" si="190"/>
        <v>0</v>
      </c>
      <c r="CG26" s="54"/>
      <c r="CH26" s="51">
        <f t="shared" ref="CH26:CH27" si="344">CD26*$CH$19</f>
        <v>1.07916</v>
      </c>
      <c r="CI26" s="51">
        <f t="shared" ref="CI26:CI27" si="345">CE26*$CI$19</f>
        <v>0</v>
      </c>
      <c r="CJ26" s="51">
        <f t="shared" si="193"/>
        <v>0</v>
      </c>
      <c r="CK26" s="54"/>
      <c r="CL26" s="51">
        <f t="shared" ref="CL26:CL27" si="346">CH26*$CL$19</f>
        <v>1.07916</v>
      </c>
      <c r="CM26" s="51">
        <f t="shared" ref="CM26:CM27" si="347">CI26*$CM$19</f>
        <v>0</v>
      </c>
      <c r="CN26" s="51">
        <f t="shared" si="196"/>
        <v>0</v>
      </c>
      <c r="CO26" s="54"/>
      <c r="CP26" s="51">
        <f t="shared" ref="CP26:CP27" si="348">CL26*$CP$19</f>
        <v>1.07916</v>
      </c>
      <c r="CQ26" s="51">
        <f t="shared" ref="CQ26:CQ27" si="349">CM26*$CQ$19</f>
        <v>0</v>
      </c>
      <c r="CR26" s="51">
        <f t="shared" si="199"/>
        <v>0</v>
      </c>
      <c r="CS26" s="54"/>
      <c r="CT26" s="51">
        <f t="shared" ref="CT26:CT27" si="350">CP26*$CT$19</f>
        <v>1.07916</v>
      </c>
      <c r="CU26" s="51">
        <f t="shared" ref="CU26:CU27" si="351">CQ26*$CU$19</f>
        <v>0</v>
      </c>
      <c r="CV26" s="51">
        <f t="shared" si="202"/>
        <v>0</v>
      </c>
      <c r="CW26" s="54"/>
      <c r="CX26" s="51">
        <f t="shared" si="142"/>
        <v>1.07916</v>
      </c>
      <c r="CY26" s="51">
        <f t="shared" si="143"/>
        <v>0</v>
      </c>
      <c r="CZ26" s="51">
        <f t="shared" si="203"/>
        <v>0</v>
      </c>
      <c r="DA26" s="54"/>
      <c r="DB26" s="51">
        <f t="shared" ref="DB26:DB27" si="352">CX26*$DB$19</f>
        <v>1.07916</v>
      </c>
      <c r="DC26" s="51">
        <f t="shared" ref="DC26:DC27" si="353">CY26*$DC$19</f>
        <v>0</v>
      </c>
      <c r="DD26" s="51">
        <f t="shared" si="206"/>
        <v>0</v>
      </c>
      <c r="DE26" s="54"/>
      <c r="DF26" s="51">
        <f t="shared" ref="DF26:DF27" si="354">DB26*$DF$19</f>
        <v>1.07916</v>
      </c>
      <c r="DG26" s="51">
        <f t="shared" ref="DG26:DG27" si="355">DC26*$DG$19</f>
        <v>0</v>
      </c>
      <c r="DH26" s="51">
        <f t="shared" si="209"/>
        <v>0</v>
      </c>
      <c r="DI26" s="54"/>
      <c r="DJ26" s="51">
        <f t="shared" ref="DJ26:DJ27" si="356">DF26*$DJ$19</f>
        <v>1.07916</v>
      </c>
      <c r="DK26" s="51">
        <f t="shared" ref="DK26:DK27" si="357">DG26*$DK$19</f>
        <v>0</v>
      </c>
      <c r="DL26" s="51">
        <f t="shared" si="212"/>
        <v>0</v>
      </c>
      <c r="DM26" s="54"/>
      <c r="DN26" s="51">
        <f t="shared" ref="DN26:DN27" si="358">DJ26*$DN$19</f>
        <v>1.07916</v>
      </c>
      <c r="DO26" s="51">
        <f t="shared" ref="DO26:DO27" si="359">DK26*$DO$19</f>
        <v>0</v>
      </c>
      <c r="DP26" s="51">
        <f t="shared" si="215"/>
        <v>0</v>
      </c>
      <c r="DQ26" s="54"/>
      <c r="DR26" s="51">
        <f t="shared" ref="DR26:DR27" si="360">DN26*$DR$19</f>
        <v>1.07916</v>
      </c>
      <c r="DS26" s="51">
        <f t="shared" ref="DS26:DS27" si="361">DO26*$DS$19</f>
        <v>0</v>
      </c>
      <c r="DT26" s="51">
        <f t="shared" si="218"/>
        <v>0</v>
      </c>
      <c r="DU26" s="54"/>
      <c r="DV26" s="51">
        <f t="shared" ref="DV26:DV27" si="362">DR26*$DV$19</f>
        <v>1.07916</v>
      </c>
      <c r="DW26" s="51">
        <f t="shared" ref="DW26:DW27" si="363">DS26*$DW$19</f>
        <v>0</v>
      </c>
      <c r="DX26" s="51">
        <f t="shared" si="221"/>
        <v>0</v>
      </c>
      <c r="DY26" s="54"/>
      <c r="DZ26" s="51">
        <f t="shared" ref="DZ26:DZ27" si="364">DV26*$DZ$19</f>
        <v>1.5108239999999997</v>
      </c>
      <c r="EA26" s="51">
        <f t="shared" ref="EA26:EA27" si="365">DW26*$EA$19</f>
        <v>0</v>
      </c>
      <c r="EB26" s="51">
        <f t="shared" si="223"/>
        <v>0</v>
      </c>
      <c r="EC26" s="54"/>
      <c r="ED26" s="51">
        <f t="shared" ref="ED26:ED27" si="366">DZ26*$ED$19</f>
        <v>1.5108239999999997</v>
      </c>
      <c r="EE26" s="51">
        <f t="shared" ref="EE26:EE27" si="367">EA26*$EE$19</f>
        <v>0</v>
      </c>
      <c r="EF26" s="51">
        <f t="shared" si="226"/>
        <v>0</v>
      </c>
      <c r="EG26" s="54"/>
      <c r="EH26" s="51">
        <f t="shared" ref="EH26:EH27" si="368">ED26*$EH$19</f>
        <v>1.5108239999999997</v>
      </c>
      <c r="EI26" s="51">
        <f t="shared" ref="EI26:EI27" si="369">EE26*$EI$19</f>
        <v>0</v>
      </c>
      <c r="EJ26" s="51">
        <f t="shared" si="229"/>
        <v>0</v>
      </c>
      <c r="EK26" s="54"/>
      <c r="EL26" s="51">
        <f t="shared" ref="EL26:EL27" si="370">EH26*$EL$19</f>
        <v>1.5108239999999997</v>
      </c>
      <c r="EM26" s="51">
        <f t="shared" ref="EM26:EM27" si="371">EI26*$EM$19</f>
        <v>0</v>
      </c>
      <c r="EN26" s="51">
        <f t="shared" si="232"/>
        <v>0</v>
      </c>
      <c r="EO26" s="54"/>
      <c r="EP26" s="51">
        <f t="shared" ref="EP26:EP27" si="372">EL26*$EP$19</f>
        <v>1.5108239999999997</v>
      </c>
      <c r="EQ26" s="51">
        <f t="shared" ref="EQ26:EQ27" si="373">EM26*$EQ$19</f>
        <v>0</v>
      </c>
      <c r="ER26" s="51">
        <f t="shared" si="235"/>
        <v>0</v>
      </c>
      <c r="ES26" s="54"/>
      <c r="ET26" s="51">
        <f t="shared" si="144"/>
        <v>1.5108239999999997</v>
      </c>
      <c r="EU26" s="51">
        <f t="shared" si="145"/>
        <v>0</v>
      </c>
      <c r="EV26" s="51">
        <f t="shared" si="236"/>
        <v>0</v>
      </c>
      <c r="EW26" s="54"/>
      <c r="EX26" s="51">
        <f t="shared" ref="EX26:EX27" si="374">ET26*$EX$19</f>
        <v>1.5108239999999997</v>
      </c>
      <c r="EY26" s="51">
        <f t="shared" ref="EY26:EY27" si="375">EU26*$EY$19</f>
        <v>0</v>
      </c>
      <c r="EZ26" s="51">
        <f t="shared" si="239"/>
        <v>0</v>
      </c>
      <c r="FA26" s="54"/>
      <c r="FB26" s="51">
        <f t="shared" ref="FB26:FB27" si="376">EX26*$FB$19</f>
        <v>1.5108239999999997</v>
      </c>
      <c r="FC26" s="51">
        <f t="shared" ref="FC26:FC27" si="377">EY26*$FC$19</f>
        <v>0</v>
      </c>
      <c r="FD26" s="51">
        <f t="shared" si="242"/>
        <v>0</v>
      </c>
      <c r="FE26" s="54"/>
      <c r="FF26" s="51">
        <f t="shared" ref="FF26:FF27" si="378">FB26*$FF$19</f>
        <v>1.5108239999999997</v>
      </c>
      <c r="FG26" s="51">
        <f t="shared" ref="FG26:FG27" si="379">FC26*$FG$19</f>
        <v>0</v>
      </c>
      <c r="FH26" s="51">
        <f t="shared" si="244"/>
        <v>0</v>
      </c>
      <c r="FI26" s="54"/>
      <c r="FJ26" s="51">
        <f t="shared" ref="FJ26:FJ27" si="380">FF26*$FJ$19</f>
        <v>1.7374475999999996</v>
      </c>
      <c r="FK26" s="51">
        <f t="shared" ref="FK26:FK27" si="381">FG26*$FK$19</f>
        <v>0</v>
      </c>
      <c r="FL26" s="51">
        <f t="shared" si="247"/>
        <v>0</v>
      </c>
      <c r="FM26" s="54"/>
      <c r="FN26" s="51">
        <f t="shared" ref="FN26:FN27" si="382">FJ26*$FN$19</f>
        <v>1.7374475999999996</v>
      </c>
      <c r="FO26" s="51">
        <f t="shared" ref="FO26:FO27" si="383">FK26*$FO$19</f>
        <v>0</v>
      </c>
      <c r="FP26" s="51">
        <f t="shared" si="250"/>
        <v>0</v>
      </c>
      <c r="FQ26" s="54"/>
      <c r="FR26" s="51">
        <f t="shared" ref="FR26:FR27" si="384">FN26*$FR$19</f>
        <v>1.7374475999999996</v>
      </c>
      <c r="FS26" s="51">
        <f t="shared" ref="FS26:FS27" si="385">FO26*$FS$19</f>
        <v>0</v>
      </c>
      <c r="FT26" s="51">
        <f t="shared" si="253"/>
        <v>0</v>
      </c>
      <c r="FU26" s="54"/>
      <c r="FV26" s="51">
        <f t="shared" ref="FV26:FV27" si="386">FR26*$FV$19</f>
        <v>1.7374475999999996</v>
      </c>
      <c r="FW26" s="51">
        <f t="shared" ref="FW26:FW27" si="387">FS26*$FW$19</f>
        <v>0</v>
      </c>
      <c r="FX26" s="51">
        <f t="shared" si="256"/>
        <v>0</v>
      </c>
      <c r="FY26" s="54"/>
      <c r="FZ26" s="51">
        <f t="shared" ref="FZ26:FZ27" si="388">FV26*$FZ$19</f>
        <v>1.7374475999999996</v>
      </c>
      <c r="GA26" s="51">
        <f t="shared" ref="GA26:GA27" si="389">FW26*$GA$19</f>
        <v>0</v>
      </c>
      <c r="GB26" s="51">
        <f t="shared" si="259"/>
        <v>0</v>
      </c>
      <c r="GC26" s="54"/>
      <c r="GD26" s="51">
        <f t="shared" ref="GD26:GD27" si="390">FZ26*$GD$19</f>
        <v>1.7374475999999996</v>
      </c>
      <c r="GE26" s="51">
        <f t="shared" ref="GE26:GE27" si="391">GA26*$GE$19</f>
        <v>0</v>
      </c>
      <c r="GF26" s="51">
        <f t="shared" si="262"/>
        <v>0</v>
      </c>
      <c r="GG26" s="54"/>
      <c r="GH26" s="51">
        <f t="shared" ref="GH26:GH27" si="392">GD26*$GH$19</f>
        <v>1.7374475999999996</v>
      </c>
      <c r="GI26" s="51">
        <f t="shared" ref="GI26:GI27" si="393">GE26*$GI$19</f>
        <v>0</v>
      </c>
      <c r="GJ26" s="51">
        <f t="shared" si="265"/>
        <v>0</v>
      </c>
      <c r="GK26" s="54"/>
      <c r="GL26" s="51">
        <f t="shared" ref="GL26:GL27" si="394">GH26*$GL$19</f>
        <v>1.7374475999999996</v>
      </c>
      <c r="GM26" s="51">
        <f t="shared" ref="GM26:GM27" si="395">GI26*$GM$19</f>
        <v>0</v>
      </c>
      <c r="GN26" s="51">
        <f t="shared" si="268"/>
        <v>0</v>
      </c>
      <c r="GP26" s="51">
        <f t="shared" si="146"/>
        <v>1.7374475999999996</v>
      </c>
      <c r="GQ26" s="51">
        <f t="shared" si="147"/>
        <v>0</v>
      </c>
      <c r="GR26" s="51">
        <f t="shared" si="269"/>
        <v>0</v>
      </c>
      <c r="GS26" s="54"/>
      <c r="GT26" s="51">
        <f t="shared" ref="GT26:GT27" si="396">GP26*$GT$19</f>
        <v>1.7374475999999996</v>
      </c>
      <c r="GU26" s="51">
        <f t="shared" ref="GU26:GU27" si="397">GQ26*$GU$19</f>
        <v>0</v>
      </c>
      <c r="GV26" s="51">
        <f t="shared" si="272"/>
        <v>0</v>
      </c>
      <c r="GW26" s="54"/>
      <c r="GX26" s="51">
        <f t="shared" ref="GX26:GX27" si="398">GT26*$GX$19</f>
        <v>1.7374475999999996</v>
      </c>
      <c r="GY26" s="51">
        <f t="shared" ref="GY26:GY27" si="399">GU26*$GY$19</f>
        <v>0</v>
      </c>
      <c r="GZ26" s="51">
        <f t="shared" si="275"/>
        <v>0</v>
      </c>
      <c r="HA26" s="54"/>
      <c r="HB26" s="51">
        <f t="shared" ref="HB26:HB27" si="400">GX26*$HB$19</f>
        <v>1.7374475999999996</v>
      </c>
      <c r="HC26" s="51">
        <f t="shared" ref="HC26:HC27" si="401">GY26*$HC$19</f>
        <v>0</v>
      </c>
      <c r="HD26" s="51">
        <f t="shared" si="278"/>
        <v>0</v>
      </c>
      <c r="HE26" s="54"/>
      <c r="HF26" s="51">
        <f t="shared" ref="HF26:HF27" si="402">HB26*$HF$19</f>
        <v>2.0501881679999996</v>
      </c>
      <c r="HG26" s="51">
        <f t="shared" ref="HG26:HG27" si="403">HC26*$HG$19</f>
        <v>0</v>
      </c>
      <c r="HH26" s="51">
        <f t="shared" si="281"/>
        <v>0</v>
      </c>
      <c r="HI26" s="54"/>
      <c r="HJ26" s="51">
        <f t="shared" ref="HJ26:HJ27" si="404">HF26*$HJ$19</f>
        <v>2.0501881679999996</v>
      </c>
      <c r="HK26" s="51">
        <f t="shared" ref="HK26:HK27" si="405">HG26*$HK$19</f>
        <v>0</v>
      </c>
      <c r="HL26" s="51">
        <f t="shared" si="284"/>
        <v>0</v>
      </c>
      <c r="HM26" s="54"/>
      <c r="HN26" s="51">
        <f t="shared" ref="HN26:HN27" si="406">HJ26*$HN$19</f>
        <v>2.0501881679999996</v>
      </c>
      <c r="HO26" s="51">
        <f t="shared" ref="HO26:HO27" si="407">HK26*$HO$19</f>
        <v>0</v>
      </c>
      <c r="HP26" s="51">
        <f t="shared" si="287"/>
        <v>0</v>
      </c>
      <c r="HQ26" s="54"/>
      <c r="HR26" s="51">
        <f t="shared" ref="HR26:HR27" si="408">HN26*$HR$19</f>
        <v>2.0501881679999996</v>
      </c>
      <c r="HS26" s="51">
        <f t="shared" ref="HS26:HS27" si="409">HO26*$HS$19</f>
        <v>0</v>
      </c>
      <c r="HT26" s="51">
        <f t="shared" si="290"/>
        <v>0</v>
      </c>
      <c r="HU26" s="54"/>
      <c r="HV26" s="51">
        <f t="shared" ref="HV26:HV27" si="410">HR26*$HV$19</f>
        <v>2.0501881679999996</v>
      </c>
      <c r="HW26" s="51">
        <f t="shared" ref="HW26:HW27" si="411">HS26*$HW$19</f>
        <v>0</v>
      </c>
      <c r="HX26" s="51">
        <f t="shared" si="293"/>
        <v>0</v>
      </c>
      <c r="HY26" s="54"/>
      <c r="HZ26" s="51">
        <f t="shared" ref="HZ26:HZ27" si="412">HV26*$HZ$19</f>
        <v>2.0501881679999996</v>
      </c>
      <c r="IA26" s="51">
        <f t="shared" ref="IA26:IA27" si="413">HW26*$IA$19</f>
        <v>0</v>
      </c>
      <c r="IB26" s="51">
        <f t="shared" si="296"/>
        <v>0</v>
      </c>
      <c r="IC26" s="54"/>
      <c r="ID26" s="51">
        <f t="shared" ref="ID26:ID27" si="414">HZ26*$ID$19</f>
        <v>2.0501881679999996</v>
      </c>
      <c r="IE26" s="51">
        <f t="shared" ref="IE26:IE27" si="415">IA26*$IE$19</f>
        <v>0</v>
      </c>
      <c r="IF26" s="51">
        <f t="shared" si="299"/>
        <v>0</v>
      </c>
      <c r="IG26" s="54"/>
      <c r="IH26" s="51">
        <f t="shared" ref="IH26:IH27" si="416">ID26*$IH$19</f>
        <v>2.0501881679999996</v>
      </c>
      <c r="II26" s="51">
        <f t="shared" ref="II26:II27" si="417">IE26*$II$19</f>
        <v>0</v>
      </c>
      <c r="IJ26" s="51">
        <f t="shared" si="302"/>
        <v>0</v>
      </c>
      <c r="IL26" s="51">
        <f t="shared" si="148"/>
        <v>2.0501881679999996</v>
      </c>
      <c r="IM26" s="51">
        <f t="shared" si="149"/>
        <v>0</v>
      </c>
      <c r="IN26" s="51">
        <f t="shared" si="303"/>
        <v>0</v>
      </c>
      <c r="IO26" s="54"/>
      <c r="IP26" s="51">
        <f t="shared" ref="IP26:IP27" si="418">IL26*$IP$19</f>
        <v>2.0501881679999996</v>
      </c>
      <c r="IQ26" s="51">
        <f t="shared" ref="IQ26:IQ27" si="419">IM26*$IQ$19</f>
        <v>0</v>
      </c>
      <c r="IR26" s="51">
        <f t="shared" si="306"/>
        <v>0</v>
      </c>
      <c r="IS26" s="54"/>
      <c r="IT26" s="51">
        <f t="shared" ref="IT26:IT27" si="420">IP26*$IT$19</f>
        <v>2.0501881679999996</v>
      </c>
      <c r="IU26" s="51">
        <f t="shared" ref="IU26:IU27" si="421">IQ26*$IU$19</f>
        <v>0</v>
      </c>
      <c r="IV26" s="51">
        <f t="shared" si="309"/>
        <v>0</v>
      </c>
      <c r="IW26" s="54"/>
      <c r="IX26" s="51">
        <f t="shared" ref="IX26:IX27" si="422">IT26*$IX$19</f>
        <v>2.0501881679999996</v>
      </c>
      <c r="IY26" s="51">
        <f t="shared" ref="IY26:IY27" si="423">IU26*$IY$19</f>
        <v>0</v>
      </c>
      <c r="IZ26" s="51">
        <f t="shared" si="312"/>
        <v>0</v>
      </c>
      <c r="JA26" s="54"/>
      <c r="JB26" s="51" t="e">
        <f t="shared" ref="JB26:JB27" si="424">IX26*$JB$19</f>
        <v>#REF!</v>
      </c>
      <c r="JC26" s="51">
        <f t="shared" ref="JC26:JC27" si="425">IY26*$JC$19</f>
        <v>0</v>
      </c>
      <c r="JD26" s="51">
        <f t="shared" si="315"/>
        <v>0</v>
      </c>
      <c r="JE26" s="54"/>
      <c r="JF26" s="51" t="e">
        <f t="shared" ref="JF26:JF27" si="426">JB26*$JF$19</f>
        <v>#REF!</v>
      </c>
      <c r="JG26" s="51">
        <f t="shared" ref="JG26:JG27" si="427">JC26*$JG$19</f>
        <v>0</v>
      </c>
      <c r="JH26" s="51">
        <f t="shared" si="318"/>
        <v>0</v>
      </c>
      <c r="JI26" s="54"/>
      <c r="JJ26" s="51" t="e">
        <f t="shared" ref="JJ26:JJ27" si="428">JF26*$JJ$19</f>
        <v>#REF!</v>
      </c>
      <c r="JK26" s="51">
        <f t="shared" ref="JK26:JK27" si="429">JG26*$JK$19</f>
        <v>0</v>
      </c>
      <c r="JL26" s="51">
        <f t="shared" si="321"/>
        <v>0</v>
      </c>
      <c r="JM26" s="54"/>
      <c r="JO26" s="80"/>
      <c r="JP26" s="80"/>
      <c r="JQ26" s="80">
        <f t="shared" si="150"/>
        <v>0</v>
      </c>
      <c r="JS26" s="80"/>
      <c r="JT26" s="80"/>
      <c r="JU26" s="80">
        <f t="shared" si="151"/>
        <v>0</v>
      </c>
      <c r="JW26" s="80"/>
      <c r="JX26" s="80"/>
      <c r="JY26" s="80">
        <f t="shared" si="152"/>
        <v>0</v>
      </c>
      <c r="KA26" s="80"/>
      <c r="KB26" s="80"/>
      <c r="KC26" s="80">
        <f t="shared" si="153"/>
        <v>0</v>
      </c>
      <c r="KE26" s="80"/>
      <c r="KF26" s="80"/>
      <c r="KG26" s="80">
        <f t="shared" si="154"/>
        <v>0</v>
      </c>
      <c r="KI26" s="80"/>
      <c r="KJ26" s="80"/>
      <c r="KK26" s="80">
        <f t="shared" si="155"/>
        <v>0</v>
      </c>
      <c r="KM26" s="80"/>
      <c r="KN26" s="80"/>
      <c r="KO26" s="80">
        <f t="shared" si="156"/>
        <v>0</v>
      </c>
    </row>
    <row r="27" ht="18.75" customHeight="1" spans="2:301" x14ac:dyDescent="0.25">
      <c r="B27" s="5" t="str">
        <f>A.IIOPEX!C27</f>
        <v>2g</v>
      </c>
      <c r="C27" s="29"/>
      <c r="D27" s="29">
        <f>A.IIOPEX!E27</f>
        <v>0</v>
      </c>
      <c r="E27" s="30"/>
      <c r="F27" s="51">
        <v>1</v>
      </c>
      <c r="G27" s="51"/>
      <c r="H27" s="51">
        <f>A.IIOPEX!I27</f>
        <v>0</v>
      </c>
      <c r="I27" s="54"/>
      <c r="J27" s="51">
        <f t="shared" si="157"/>
        <v>0.92</v>
      </c>
      <c r="K27" s="51"/>
      <c r="L27" s="51">
        <f t="shared" si="158"/>
        <v>0</v>
      </c>
      <c r="M27" s="54"/>
      <c r="N27" s="51">
        <f t="shared" si="159"/>
        <v>0.92</v>
      </c>
      <c r="O27" s="51"/>
      <c r="P27" s="51">
        <f t="shared" si="160"/>
        <v>0</v>
      </c>
      <c r="Q27" s="54"/>
      <c r="R27" s="51">
        <f t="shared" si="161"/>
        <v>0.92</v>
      </c>
      <c r="S27" s="51"/>
      <c r="T27" s="51">
        <f t="shared" si="162"/>
        <v>0</v>
      </c>
      <c r="U27" s="54"/>
      <c r="V27" s="51">
        <f t="shared" si="139"/>
        <v>0.92</v>
      </c>
      <c r="W27" s="51"/>
      <c r="X27" s="51">
        <f t="shared" si="163"/>
        <v>0</v>
      </c>
      <c r="Y27" s="54"/>
      <c r="Z27" s="51">
        <f t="shared" si="140"/>
        <v>0.92</v>
      </c>
      <c r="AA27" s="51"/>
      <c r="AB27" s="51">
        <f t="shared" si="164"/>
        <v>0</v>
      </c>
      <c r="AC27" s="54"/>
      <c r="AD27" s="51">
        <f t="shared" si="325"/>
        <v>0.92</v>
      </c>
      <c r="AE27" s="51"/>
      <c r="AF27" s="51">
        <f t="shared" si="165"/>
        <v>0</v>
      </c>
      <c r="AG27" s="54"/>
      <c r="AH27" s="51">
        <f t="shared" si="326"/>
        <v>0.9384</v>
      </c>
      <c r="AI27" s="51"/>
      <c r="AJ27" s="51">
        <f t="shared" si="166"/>
        <v>0</v>
      </c>
      <c r="AK27" s="54"/>
      <c r="AL27" s="51">
        <f t="shared" si="327"/>
        <v>0.9384</v>
      </c>
      <c r="AM27" s="51"/>
      <c r="AN27" s="51">
        <f t="shared" si="167"/>
        <v>0</v>
      </c>
      <c r="AO27" s="54"/>
      <c r="AP27" s="51">
        <f t="shared" si="328"/>
        <v>0.9384</v>
      </c>
      <c r="AQ27" s="51"/>
      <c r="AR27" s="51">
        <f t="shared" si="168"/>
        <v>0</v>
      </c>
      <c r="AS27" s="54"/>
      <c r="AT27" s="51">
        <f t="shared" si="329"/>
        <v>0.9384</v>
      </c>
      <c r="AU27" s="51"/>
      <c r="AV27" s="51">
        <f t="shared" si="169"/>
        <v>0</v>
      </c>
      <c r="AW27" s="54"/>
      <c r="AX27" s="51">
        <f t="shared" si="330"/>
        <v>0.9384</v>
      </c>
      <c r="AY27" s="51"/>
      <c r="AZ27" s="51">
        <f t="shared" si="170"/>
        <v>0</v>
      </c>
      <c r="BA27" s="54"/>
      <c r="BB27" s="51">
        <f t="shared" si="141"/>
        <v>0.9384</v>
      </c>
      <c r="BC27" s="51"/>
      <c r="BD27" s="51">
        <f t="shared" si="171"/>
        <v>0</v>
      </c>
      <c r="BE27" s="54"/>
      <c r="BF27" s="51">
        <f t="shared" si="331"/>
        <v>0.9384</v>
      </c>
      <c r="BG27" s="51"/>
      <c r="BH27" s="51">
        <f t="shared" si="172"/>
        <v>0</v>
      </c>
      <c r="BI27" s="54"/>
      <c r="BJ27" s="51">
        <f t="shared" si="332"/>
        <v>0.9384</v>
      </c>
      <c r="BK27" s="51">
        <f t="shared" si="333"/>
        <v>0</v>
      </c>
      <c r="BL27" s="51">
        <f t="shared" si="175"/>
        <v>0</v>
      </c>
      <c r="BM27" s="54"/>
      <c r="BN27" s="51">
        <f t="shared" si="334"/>
        <v>0.9384</v>
      </c>
      <c r="BO27" s="51">
        <f t="shared" si="335"/>
        <v>0</v>
      </c>
      <c r="BP27" s="51">
        <f t="shared" si="178"/>
        <v>0</v>
      </c>
      <c r="BQ27" s="54"/>
      <c r="BR27" s="51">
        <f t="shared" si="336"/>
        <v>0.9384</v>
      </c>
      <c r="BS27" s="51">
        <f t="shared" si="337"/>
        <v>0</v>
      </c>
      <c r="BT27" s="51">
        <f t="shared" si="181"/>
        <v>0</v>
      </c>
      <c r="BU27" s="54"/>
      <c r="BV27" s="51">
        <f t="shared" si="338"/>
        <v>0.9384</v>
      </c>
      <c r="BW27" s="51">
        <f t="shared" si="339"/>
        <v>0</v>
      </c>
      <c r="BX27" s="51">
        <f t="shared" si="184"/>
        <v>0</v>
      </c>
      <c r="BY27" s="54"/>
      <c r="BZ27" s="51">
        <f t="shared" si="340"/>
        <v>0.9384</v>
      </c>
      <c r="CA27" s="51">
        <f t="shared" si="341"/>
        <v>0</v>
      </c>
      <c r="CB27" s="51">
        <f t="shared" si="187"/>
        <v>0</v>
      </c>
      <c r="CC27" s="54"/>
      <c r="CD27" s="51">
        <f t="shared" si="342"/>
        <v>1.07916</v>
      </c>
      <c r="CE27" s="51">
        <f t="shared" si="343"/>
        <v>0</v>
      </c>
      <c r="CF27" s="51">
        <f t="shared" si="190"/>
        <v>0</v>
      </c>
      <c r="CG27" s="54"/>
      <c r="CH27" s="51">
        <f t="shared" si="344"/>
        <v>1.07916</v>
      </c>
      <c r="CI27" s="51">
        <f t="shared" si="345"/>
        <v>0</v>
      </c>
      <c r="CJ27" s="51">
        <f t="shared" si="193"/>
        <v>0</v>
      </c>
      <c r="CK27" s="54"/>
      <c r="CL27" s="51">
        <f t="shared" si="346"/>
        <v>1.07916</v>
      </c>
      <c r="CM27" s="51">
        <f t="shared" si="347"/>
        <v>0</v>
      </c>
      <c r="CN27" s="51">
        <f t="shared" si="196"/>
        <v>0</v>
      </c>
      <c r="CO27" s="54"/>
      <c r="CP27" s="51">
        <f t="shared" si="348"/>
        <v>1.07916</v>
      </c>
      <c r="CQ27" s="51">
        <f t="shared" si="349"/>
        <v>0</v>
      </c>
      <c r="CR27" s="51">
        <f t="shared" si="199"/>
        <v>0</v>
      </c>
      <c r="CS27" s="54"/>
      <c r="CT27" s="51">
        <f t="shared" si="350"/>
        <v>1.07916</v>
      </c>
      <c r="CU27" s="51">
        <f t="shared" si="351"/>
        <v>0</v>
      </c>
      <c r="CV27" s="51">
        <f t="shared" si="202"/>
        <v>0</v>
      </c>
      <c r="CW27" s="54"/>
      <c r="CX27" s="51">
        <f t="shared" si="142"/>
        <v>1.07916</v>
      </c>
      <c r="CY27" s="51">
        <f t="shared" si="143"/>
        <v>0</v>
      </c>
      <c r="CZ27" s="51">
        <f t="shared" si="203"/>
        <v>0</v>
      </c>
      <c r="DA27" s="54"/>
      <c r="DB27" s="51">
        <f t="shared" si="352"/>
        <v>1.07916</v>
      </c>
      <c r="DC27" s="51">
        <f t="shared" si="353"/>
        <v>0</v>
      </c>
      <c r="DD27" s="51">
        <f t="shared" si="206"/>
        <v>0</v>
      </c>
      <c r="DE27" s="54"/>
      <c r="DF27" s="51">
        <f t="shared" si="354"/>
        <v>1.07916</v>
      </c>
      <c r="DG27" s="51">
        <f t="shared" si="355"/>
        <v>0</v>
      </c>
      <c r="DH27" s="51">
        <f t="shared" si="209"/>
        <v>0</v>
      </c>
      <c r="DI27" s="54"/>
      <c r="DJ27" s="51">
        <f t="shared" si="356"/>
        <v>1.07916</v>
      </c>
      <c r="DK27" s="51">
        <f t="shared" si="357"/>
        <v>0</v>
      </c>
      <c r="DL27" s="51">
        <f t="shared" si="212"/>
        <v>0</v>
      </c>
      <c r="DM27" s="54"/>
      <c r="DN27" s="51">
        <f t="shared" si="358"/>
        <v>1.07916</v>
      </c>
      <c r="DO27" s="51">
        <f t="shared" si="359"/>
        <v>0</v>
      </c>
      <c r="DP27" s="51">
        <f t="shared" si="215"/>
        <v>0</v>
      </c>
      <c r="DQ27" s="54"/>
      <c r="DR27" s="51">
        <f t="shared" si="360"/>
        <v>1.07916</v>
      </c>
      <c r="DS27" s="51">
        <f t="shared" si="361"/>
        <v>0</v>
      </c>
      <c r="DT27" s="51">
        <f t="shared" si="218"/>
        <v>0</v>
      </c>
      <c r="DU27" s="54"/>
      <c r="DV27" s="51">
        <f t="shared" si="362"/>
        <v>1.07916</v>
      </c>
      <c r="DW27" s="51">
        <f t="shared" si="363"/>
        <v>0</v>
      </c>
      <c r="DX27" s="51">
        <f t="shared" si="221"/>
        <v>0</v>
      </c>
      <c r="DY27" s="54"/>
      <c r="DZ27" s="51">
        <f t="shared" si="364"/>
        <v>1.5108239999999997</v>
      </c>
      <c r="EA27" s="51">
        <f t="shared" si="365"/>
        <v>0</v>
      </c>
      <c r="EB27" s="51">
        <f t="shared" si="223"/>
        <v>0</v>
      </c>
      <c r="EC27" s="54"/>
      <c r="ED27" s="51">
        <f t="shared" si="366"/>
        <v>1.5108239999999997</v>
      </c>
      <c r="EE27" s="51">
        <f t="shared" si="367"/>
        <v>0</v>
      </c>
      <c r="EF27" s="51">
        <f t="shared" si="226"/>
        <v>0</v>
      </c>
      <c r="EG27" s="54"/>
      <c r="EH27" s="51">
        <f t="shared" si="368"/>
        <v>1.5108239999999997</v>
      </c>
      <c r="EI27" s="51">
        <f t="shared" si="369"/>
        <v>0</v>
      </c>
      <c r="EJ27" s="51">
        <f t="shared" si="229"/>
        <v>0</v>
      </c>
      <c r="EK27" s="54"/>
      <c r="EL27" s="51">
        <f t="shared" si="370"/>
        <v>1.5108239999999997</v>
      </c>
      <c r="EM27" s="51">
        <f t="shared" si="371"/>
        <v>0</v>
      </c>
      <c r="EN27" s="51">
        <f t="shared" si="232"/>
        <v>0</v>
      </c>
      <c r="EO27" s="54"/>
      <c r="EP27" s="51">
        <f t="shared" si="372"/>
        <v>1.5108239999999997</v>
      </c>
      <c r="EQ27" s="51">
        <f t="shared" si="373"/>
        <v>0</v>
      </c>
      <c r="ER27" s="51">
        <f t="shared" si="235"/>
        <v>0</v>
      </c>
      <c r="ES27" s="54"/>
      <c r="ET27" s="51">
        <f t="shared" si="144"/>
        <v>1.5108239999999997</v>
      </c>
      <c r="EU27" s="51">
        <f t="shared" si="145"/>
        <v>0</v>
      </c>
      <c r="EV27" s="51">
        <f t="shared" si="236"/>
        <v>0</v>
      </c>
      <c r="EW27" s="54"/>
      <c r="EX27" s="51">
        <f t="shared" si="374"/>
        <v>1.5108239999999997</v>
      </c>
      <c r="EY27" s="51">
        <f t="shared" si="375"/>
        <v>0</v>
      </c>
      <c r="EZ27" s="51">
        <f t="shared" si="239"/>
        <v>0</v>
      </c>
      <c r="FA27" s="54"/>
      <c r="FB27" s="51">
        <f t="shared" si="376"/>
        <v>1.5108239999999997</v>
      </c>
      <c r="FC27" s="51">
        <f t="shared" si="377"/>
        <v>0</v>
      </c>
      <c r="FD27" s="51">
        <f t="shared" si="242"/>
        <v>0</v>
      </c>
      <c r="FE27" s="54"/>
      <c r="FF27" s="51">
        <f t="shared" si="378"/>
        <v>1.5108239999999997</v>
      </c>
      <c r="FG27" s="51">
        <f t="shared" si="379"/>
        <v>0</v>
      </c>
      <c r="FH27" s="51">
        <f t="shared" si="244"/>
        <v>0</v>
      </c>
      <c r="FI27" s="54"/>
      <c r="FJ27" s="51">
        <f t="shared" si="380"/>
        <v>1.7374475999999996</v>
      </c>
      <c r="FK27" s="51">
        <f t="shared" si="381"/>
        <v>0</v>
      </c>
      <c r="FL27" s="51">
        <f t="shared" si="247"/>
        <v>0</v>
      </c>
      <c r="FM27" s="54"/>
      <c r="FN27" s="51">
        <f t="shared" si="382"/>
        <v>1.7374475999999996</v>
      </c>
      <c r="FO27" s="51">
        <f t="shared" si="383"/>
        <v>0</v>
      </c>
      <c r="FP27" s="51">
        <f t="shared" si="250"/>
        <v>0</v>
      </c>
      <c r="FQ27" s="54"/>
      <c r="FR27" s="51">
        <f t="shared" si="384"/>
        <v>1.7374475999999996</v>
      </c>
      <c r="FS27" s="51">
        <f t="shared" si="385"/>
        <v>0</v>
      </c>
      <c r="FT27" s="51">
        <f t="shared" si="253"/>
        <v>0</v>
      </c>
      <c r="FU27" s="54"/>
      <c r="FV27" s="51">
        <f t="shared" si="386"/>
        <v>1.7374475999999996</v>
      </c>
      <c r="FW27" s="51">
        <f t="shared" si="387"/>
        <v>0</v>
      </c>
      <c r="FX27" s="51">
        <f t="shared" si="256"/>
        <v>0</v>
      </c>
      <c r="FY27" s="54"/>
      <c r="FZ27" s="51">
        <f t="shared" si="388"/>
        <v>1.7374475999999996</v>
      </c>
      <c r="GA27" s="51">
        <f t="shared" si="389"/>
        <v>0</v>
      </c>
      <c r="GB27" s="51">
        <f t="shared" si="259"/>
        <v>0</v>
      </c>
      <c r="GC27" s="54"/>
      <c r="GD27" s="51">
        <f t="shared" si="390"/>
        <v>1.7374475999999996</v>
      </c>
      <c r="GE27" s="51">
        <f t="shared" si="391"/>
        <v>0</v>
      </c>
      <c r="GF27" s="51">
        <f t="shared" si="262"/>
        <v>0</v>
      </c>
      <c r="GG27" s="54"/>
      <c r="GH27" s="51">
        <f t="shared" si="392"/>
        <v>1.7374475999999996</v>
      </c>
      <c r="GI27" s="51">
        <f t="shared" si="393"/>
        <v>0</v>
      </c>
      <c r="GJ27" s="51">
        <f t="shared" si="265"/>
        <v>0</v>
      </c>
      <c r="GK27" s="54"/>
      <c r="GL27" s="51">
        <f t="shared" si="394"/>
        <v>1.7374475999999996</v>
      </c>
      <c r="GM27" s="51">
        <f t="shared" si="395"/>
        <v>0</v>
      </c>
      <c r="GN27" s="51">
        <f t="shared" si="268"/>
        <v>0</v>
      </c>
      <c r="GP27" s="51">
        <f t="shared" si="146"/>
        <v>1.7374475999999996</v>
      </c>
      <c r="GQ27" s="51">
        <f t="shared" si="147"/>
        <v>0</v>
      </c>
      <c r="GR27" s="51">
        <f t="shared" si="269"/>
        <v>0</v>
      </c>
      <c r="GS27" s="54"/>
      <c r="GT27" s="51">
        <f t="shared" si="396"/>
        <v>1.7374475999999996</v>
      </c>
      <c r="GU27" s="51">
        <f t="shared" si="397"/>
        <v>0</v>
      </c>
      <c r="GV27" s="51">
        <f t="shared" si="272"/>
        <v>0</v>
      </c>
      <c r="GW27" s="54"/>
      <c r="GX27" s="51">
        <f t="shared" si="398"/>
        <v>1.7374475999999996</v>
      </c>
      <c r="GY27" s="51">
        <f t="shared" si="399"/>
        <v>0</v>
      </c>
      <c r="GZ27" s="51">
        <f t="shared" si="275"/>
        <v>0</v>
      </c>
      <c r="HA27" s="54"/>
      <c r="HB27" s="51">
        <f t="shared" si="400"/>
        <v>1.7374475999999996</v>
      </c>
      <c r="HC27" s="51">
        <f t="shared" si="401"/>
        <v>0</v>
      </c>
      <c r="HD27" s="51">
        <f t="shared" si="278"/>
        <v>0</v>
      </c>
      <c r="HE27" s="54"/>
      <c r="HF27" s="51">
        <f t="shared" si="402"/>
        <v>2.0501881679999996</v>
      </c>
      <c r="HG27" s="51">
        <f t="shared" si="403"/>
        <v>0</v>
      </c>
      <c r="HH27" s="51">
        <f t="shared" si="281"/>
        <v>0</v>
      </c>
      <c r="HI27" s="54"/>
      <c r="HJ27" s="51">
        <f t="shared" si="404"/>
        <v>2.0501881679999996</v>
      </c>
      <c r="HK27" s="51">
        <f t="shared" si="405"/>
        <v>0</v>
      </c>
      <c r="HL27" s="51">
        <f t="shared" si="284"/>
        <v>0</v>
      </c>
      <c r="HM27" s="54"/>
      <c r="HN27" s="51">
        <f t="shared" si="406"/>
        <v>2.0501881679999996</v>
      </c>
      <c r="HO27" s="51">
        <f t="shared" si="407"/>
        <v>0</v>
      </c>
      <c r="HP27" s="51">
        <f t="shared" si="287"/>
        <v>0</v>
      </c>
      <c r="HQ27" s="54"/>
      <c r="HR27" s="51">
        <f t="shared" si="408"/>
        <v>2.0501881679999996</v>
      </c>
      <c r="HS27" s="51">
        <f t="shared" si="409"/>
        <v>0</v>
      </c>
      <c r="HT27" s="51">
        <f t="shared" si="290"/>
        <v>0</v>
      </c>
      <c r="HU27" s="54"/>
      <c r="HV27" s="51">
        <f t="shared" si="410"/>
        <v>2.0501881679999996</v>
      </c>
      <c r="HW27" s="51">
        <f t="shared" si="411"/>
        <v>0</v>
      </c>
      <c r="HX27" s="51">
        <f t="shared" si="293"/>
        <v>0</v>
      </c>
      <c r="HY27" s="54"/>
      <c r="HZ27" s="51">
        <f t="shared" si="412"/>
        <v>2.0501881679999996</v>
      </c>
      <c r="IA27" s="51">
        <f t="shared" si="413"/>
        <v>0</v>
      </c>
      <c r="IB27" s="51">
        <f t="shared" si="296"/>
        <v>0</v>
      </c>
      <c r="IC27" s="54"/>
      <c r="ID27" s="51">
        <f t="shared" si="414"/>
        <v>2.0501881679999996</v>
      </c>
      <c r="IE27" s="51">
        <f t="shared" si="415"/>
        <v>0</v>
      </c>
      <c r="IF27" s="51">
        <f t="shared" si="299"/>
        <v>0</v>
      </c>
      <c r="IG27" s="54"/>
      <c r="IH27" s="51">
        <f t="shared" si="416"/>
        <v>2.0501881679999996</v>
      </c>
      <c r="II27" s="51">
        <f t="shared" si="417"/>
        <v>0</v>
      </c>
      <c r="IJ27" s="51">
        <f t="shared" si="302"/>
        <v>0</v>
      </c>
      <c r="IL27" s="51">
        <f t="shared" si="148"/>
        <v>2.0501881679999996</v>
      </c>
      <c r="IM27" s="51">
        <f t="shared" si="149"/>
        <v>0</v>
      </c>
      <c r="IN27" s="51">
        <f t="shared" si="303"/>
        <v>0</v>
      </c>
      <c r="IO27" s="54"/>
      <c r="IP27" s="51">
        <f t="shared" si="418"/>
        <v>2.0501881679999996</v>
      </c>
      <c r="IQ27" s="51">
        <f t="shared" si="419"/>
        <v>0</v>
      </c>
      <c r="IR27" s="51">
        <f t="shared" si="306"/>
        <v>0</v>
      </c>
      <c r="IS27" s="54"/>
      <c r="IT27" s="51">
        <f t="shared" si="420"/>
        <v>2.0501881679999996</v>
      </c>
      <c r="IU27" s="51">
        <f t="shared" si="421"/>
        <v>0</v>
      </c>
      <c r="IV27" s="51">
        <f t="shared" si="309"/>
        <v>0</v>
      </c>
      <c r="IW27" s="54"/>
      <c r="IX27" s="51">
        <f t="shared" si="422"/>
        <v>2.0501881679999996</v>
      </c>
      <c r="IY27" s="51">
        <f t="shared" si="423"/>
        <v>0</v>
      </c>
      <c r="IZ27" s="51">
        <f t="shared" si="312"/>
        <v>0</v>
      </c>
      <c r="JA27" s="54"/>
      <c r="JB27" s="51" t="e">
        <f t="shared" si="424"/>
        <v>#REF!</v>
      </c>
      <c r="JC27" s="51">
        <f t="shared" si="425"/>
        <v>0</v>
      </c>
      <c r="JD27" s="51">
        <f t="shared" si="315"/>
        <v>0</v>
      </c>
      <c r="JE27" s="54"/>
      <c r="JF27" s="51" t="e">
        <f t="shared" si="426"/>
        <v>#REF!</v>
      </c>
      <c r="JG27" s="51">
        <f t="shared" si="427"/>
        <v>0</v>
      </c>
      <c r="JH27" s="51">
        <f t="shared" si="318"/>
        <v>0</v>
      </c>
      <c r="JI27" s="54"/>
      <c r="JJ27" s="51" t="e">
        <f t="shared" si="428"/>
        <v>#REF!</v>
      </c>
      <c r="JK27" s="51">
        <f t="shared" si="429"/>
        <v>0</v>
      </c>
      <c r="JL27" s="51">
        <f t="shared" si="321"/>
        <v>0</v>
      </c>
      <c r="JM27" s="54"/>
      <c r="JO27" s="80"/>
      <c r="JP27" s="80"/>
      <c r="JQ27" s="80">
        <f t="shared" si="150"/>
        <v>0</v>
      </c>
      <c r="JS27" s="80"/>
      <c r="JT27" s="80"/>
      <c r="JU27" s="80">
        <f t="shared" si="151"/>
        <v>0</v>
      </c>
      <c r="JW27" s="80"/>
      <c r="JX27" s="80"/>
      <c r="JY27" s="80">
        <f t="shared" si="152"/>
        <v>0</v>
      </c>
      <c r="KA27" s="80"/>
      <c r="KB27" s="80"/>
      <c r="KC27" s="80">
        <f t="shared" si="153"/>
        <v>0</v>
      </c>
      <c r="KE27" s="80"/>
      <c r="KF27" s="80"/>
      <c r="KG27" s="80">
        <f t="shared" si="154"/>
        <v>0</v>
      </c>
      <c r="KI27" s="80"/>
      <c r="KJ27" s="80"/>
      <c r="KK27" s="80">
        <f t="shared" si="155"/>
        <v>0</v>
      </c>
      <c r="KM27" s="80"/>
      <c r="KN27" s="80"/>
      <c r="KO27" s="80">
        <f t="shared" si="156"/>
        <v>0</v>
      </c>
    </row>
    <row r="28" ht="18.75" customHeight="1" spans="2:301" x14ac:dyDescent="0.25">
      <c r="B28" s="34" t="s">
        <v>58</v>
      </c>
      <c r="C28" s="34"/>
      <c r="D28" s="34"/>
      <c r="E28" s="30"/>
      <c r="F28" s="81">
        <f>SUM(F21:F27)</f>
        <v>7</v>
      </c>
      <c r="G28" s="81"/>
      <c r="H28" s="81">
        <f>SUM(H21:H27)</f>
        <v>50000</v>
      </c>
      <c r="I28" s="81"/>
      <c r="J28" s="81">
        <f>SUM(J21:J27)</f>
        <v>6.44</v>
      </c>
      <c r="K28" s="81"/>
      <c r="L28" s="81">
        <f>SUM(L21:L27)</f>
        <v>46000</v>
      </c>
      <c r="M28" s="81"/>
      <c r="N28" s="81">
        <f>SUM(N21:N27)</f>
        <v>6.44</v>
      </c>
      <c r="O28" s="81"/>
      <c r="P28" s="81">
        <f>SUM(P21:P27)</f>
        <v>46000</v>
      </c>
      <c r="Q28" s="81"/>
      <c r="R28" s="81">
        <f>SUM(R21:R27)</f>
        <v>6.44</v>
      </c>
      <c r="S28" s="81"/>
      <c r="T28" s="81">
        <f>SUM(T21:T27)</f>
        <v>46000</v>
      </c>
      <c r="U28" s="81"/>
      <c r="V28" s="81">
        <f>SUM(V21:V27)</f>
        <v>6.44</v>
      </c>
      <c r="W28" s="81"/>
      <c r="X28" s="81">
        <f>SUM(X21:X27)</f>
        <v>46000</v>
      </c>
      <c r="Y28" s="81"/>
      <c r="Z28" s="81">
        <f>SUM(Z21:Z27)</f>
        <v>6.44</v>
      </c>
      <c r="AA28" s="81"/>
      <c r="AB28" s="81">
        <f>SUM(AB21:AB27)</f>
        <v>46000</v>
      </c>
      <c r="AC28" s="81"/>
      <c r="AD28" s="81">
        <f>SUM(AD21:AD27)</f>
        <v>6.44</v>
      </c>
      <c r="AE28" s="81"/>
      <c r="AF28" s="81">
        <f>SUM(AF21:AF27)</f>
        <v>46000</v>
      </c>
      <c r="AG28" s="81"/>
      <c r="AH28" s="81">
        <f>SUM(AH21:AH27)</f>
        <v>6.5687999999999995</v>
      </c>
      <c r="AI28" s="81"/>
      <c r="AJ28" s="81">
        <f>SUM(AJ21:AJ27)</f>
        <v>46920</v>
      </c>
      <c r="AK28" s="81"/>
      <c r="AL28" s="81">
        <f>SUM(AL21:AL27)</f>
        <v>6.5687999999999995</v>
      </c>
      <c r="AM28" s="81"/>
      <c r="AN28" s="81">
        <f>SUM(AN21:AN27)</f>
        <v>46920</v>
      </c>
      <c r="AO28" s="81"/>
      <c r="AP28" s="81">
        <f>SUM(AP21:AP27)</f>
        <v>6.5687999999999995</v>
      </c>
      <c r="AQ28" s="81"/>
      <c r="AR28" s="81">
        <f>SUM(AR21:AR27)</f>
        <v>46920</v>
      </c>
      <c r="AS28" s="81"/>
      <c r="AT28" s="81">
        <f>SUM(AT21:AT27)</f>
        <v>6.5687999999999995</v>
      </c>
      <c r="AU28" s="81"/>
      <c r="AV28" s="81">
        <f>SUM(AV21:AV27)</f>
        <v>46920</v>
      </c>
      <c r="AW28" s="81"/>
      <c r="AX28" s="81">
        <f>SUM(AX21:AX27)</f>
        <v>6.5687999999999995</v>
      </c>
      <c r="AY28" s="81"/>
      <c r="AZ28" s="81">
        <f>SUM(AZ21:AZ27)</f>
        <v>46920</v>
      </c>
      <c r="BA28" s="81"/>
      <c r="BB28" s="81">
        <f>SUM(BB21:BB27)</f>
        <v>6.5687999999999995</v>
      </c>
      <c r="BC28" s="81"/>
      <c r="BD28" s="81">
        <f>SUM(BD21:BD27)</f>
        <v>46920</v>
      </c>
      <c r="BE28" s="81"/>
      <c r="BF28" s="81">
        <f>SUM(BF21:BF27)</f>
        <v>6.5687999999999995</v>
      </c>
      <c r="BG28" s="81"/>
      <c r="BH28" s="81">
        <f>SUM(BH21:BH27)</f>
        <v>46920</v>
      </c>
      <c r="BI28" s="81"/>
      <c r="BJ28" s="81">
        <f>SUM(BJ21:BJ27)</f>
        <v>6.5687999999999995</v>
      </c>
      <c r="BK28" s="81"/>
      <c r="BL28" s="81">
        <f>SUM(BL21:BL27)</f>
        <v>46920</v>
      </c>
      <c r="BM28" s="81"/>
      <c r="BN28" s="81">
        <f>SUM(BN21:BN27)</f>
        <v>6.5687999999999995</v>
      </c>
      <c r="BO28" s="81"/>
      <c r="BP28" s="81">
        <f>SUM(BP21:BP27)</f>
        <v>46920</v>
      </c>
      <c r="BQ28" s="81"/>
      <c r="BR28" s="81">
        <f>SUM(BR21:BR27)</f>
        <v>6.5687999999999995</v>
      </c>
      <c r="BS28" s="81"/>
      <c r="BT28" s="81">
        <f>SUM(BT21:BT27)</f>
        <v>46920</v>
      </c>
      <c r="BU28" s="81"/>
      <c r="BV28" s="81">
        <f>SUM(BV21:BV27)</f>
        <v>6.5687999999999995</v>
      </c>
      <c r="BW28" s="81"/>
      <c r="BX28" s="81">
        <f>SUM(BX21:BX27)</f>
        <v>46920</v>
      </c>
      <c r="BY28" s="81"/>
      <c r="BZ28" s="81">
        <f>SUM(BZ21:BZ27)</f>
        <v>6.5687999999999995</v>
      </c>
      <c r="CA28" s="81"/>
      <c r="CB28" s="81">
        <f>SUM(CB21:CB27)</f>
        <v>46920</v>
      </c>
      <c r="CC28" s="81"/>
      <c r="CD28" s="81">
        <f>SUM(CD21:CD27)</f>
        <v>7.554119999999999</v>
      </c>
      <c r="CE28" s="81"/>
      <c r="CF28" s="81">
        <f>SUM(CF21:CF27)</f>
        <v>53957.99999999999</v>
      </c>
      <c r="CG28" s="81"/>
      <c r="CH28" s="81">
        <f>SUM(CH21:CH27)</f>
        <v>7.554119999999999</v>
      </c>
      <c r="CI28" s="81"/>
      <c r="CJ28" s="81">
        <f>SUM(CJ21:CJ27)</f>
        <v>53957.99999999999</v>
      </c>
      <c r="CK28" s="81"/>
      <c r="CL28" s="81">
        <f>SUM(CL21:CL27)</f>
        <v>7.554119999999999</v>
      </c>
      <c r="CM28" s="81"/>
      <c r="CN28" s="81">
        <f>SUM(CN21:CN27)</f>
        <v>53957.99999999999</v>
      </c>
      <c r="CO28" s="81"/>
      <c r="CP28" s="81">
        <f>SUM(CP21:CP27)</f>
        <v>7.554119999999999</v>
      </c>
      <c r="CQ28" s="81"/>
      <c r="CR28" s="81">
        <f>SUM(CR21:CR27)</f>
        <v>53957.99999999999</v>
      </c>
      <c r="CS28" s="81"/>
      <c r="CT28" s="81">
        <f>SUM(CT21:CT27)</f>
        <v>7.554119999999999</v>
      </c>
      <c r="CU28" s="81"/>
      <c r="CV28" s="81">
        <f>SUM(CV21:CV27)</f>
        <v>53957.99999999999</v>
      </c>
      <c r="CW28" s="81"/>
      <c r="CX28" s="81">
        <f>SUM(CX21:CX27)</f>
        <v>7.554119999999999</v>
      </c>
      <c r="CY28" s="81"/>
      <c r="CZ28" s="81">
        <f>SUM(CZ21:CZ27)</f>
        <v>53957.99999999999</v>
      </c>
      <c r="DA28" s="81"/>
      <c r="DB28" s="81">
        <f>SUM(DB21:DB27)</f>
        <v>7.554119999999999</v>
      </c>
      <c r="DC28" s="81"/>
      <c r="DD28" s="81">
        <f>SUM(DD21:DD27)</f>
        <v>53957.99999999999</v>
      </c>
      <c r="DE28" s="81"/>
      <c r="DF28" s="81">
        <f>SUM(DF21:DF27)</f>
        <v>7.554119999999999</v>
      </c>
      <c r="DG28" s="81"/>
      <c r="DH28" s="81">
        <f>SUM(DH21:DH27)</f>
        <v>53957.99999999999</v>
      </c>
      <c r="DI28" s="81"/>
      <c r="DJ28" s="81">
        <f>SUM(DJ21:DJ27)</f>
        <v>7.554119999999999</v>
      </c>
      <c r="DK28" s="81"/>
      <c r="DL28" s="81">
        <f>SUM(DL21:DL27)</f>
        <v>53957.99999999999</v>
      </c>
      <c r="DM28" s="81"/>
      <c r="DN28" s="81">
        <f>SUM(DN21:DN27)</f>
        <v>7.554119999999999</v>
      </c>
      <c r="DO28" s="81"/>
      <c r="DP28" s="81">
        <f>SUM(DP21:DP27)</f>
        <v>53957.99999999999</v>
      </c>
      <c r="DQ28" s="81"/>
      <c r="DR28" s="81">
        <f>SUM(DR21:DR27)</f>
        <v>7.554119999999999</v>
      </c>
      <c r="DS28" s="81"/>
      <c r="DT28" s="81">
        <f>SUM(DT21:DT27)</f>
        <v>53957.99999999999</v>
      </c>
      <c r="DU28" s="81"/>
      <c r="DV28" s="81">
        <f>SUM(DV21:DV27)</f>
        <v>7.554119999999999</v>
      </c>
      <c r="DW28" s="81"/>
      <c r="DX28" s="81">
        <f>SUM(DX21:DX27)</f>
        <v>53957.99999999999</v>
      </c>
      <c r="DY28" s="81"/>
      <c r="DZ28" s="81">
        <f>SUM(DZ21:DZ27)</f>
        <v>10.575767999999998</v>
      </c>
      <c r="EA28" s="81"/>
      <c r="EB28" s="81">
        <f>SUM(EB21:EB27)</f>
        <v>75541.19999999998</v>
      </c>
      <c r="EC28" s="81"/>
      <c r="ED28" s="81">
        <f>SUM(ED21:ED27)</f>
        <v>10.575767999999998</v>
      </c>
      <c r="EE28" s="81"/>
      <c r="EF28" s="81">
        <f>SUM(EF21:EF27)</f>
        <v>75541.19999999998</v>
      </c>
      <c r="EG28" s="81"/>
      <c r="EH28" s="81">
        <f>SUM(EH21:EH27)</f>
        <v>10.575767999999998</v>
      </c>
      <c r="EI28" s="81"/>
      <c r="EJ28" s="81">
        <f>SUM(EJ21:EJ27)</f>
        <v>75541.19999999998</v>
      </c>
      <c r="EK28" s="81"/>
      <c r="EL28" s="81">
        <f>SUM(EL21:EL27)</f>
        <v>10.575767999999998</v>
      </c>
      <c r="EM28" s="81"/>
      <c r="EN28" s="81">
        <f>SUM(EN21:EN27)</f>
        <v>75541.19999999998</v>
      </c>
      <c r="EO28" s="81"/>
      <c r="EP28" s="81">
        <f>SUM(EP21:EP27)</f>
        <v>10.575767999999998</v>
      </c>
      <c r="EQ28" s="81"/>
      <c r="ER28" s="81">
        <f>SUM(ER21:ER27)</f>
        <v>75541.19999999998</v>
      </c>
      <c r="ES28" s="81"/>
      <c r="ET28" s="81">
        <f>SUM(ET21:ET27)</f>
        <v>10.575767999999998</v>
      </c>
      <c r="EU28" s="81"/>
      <c r="EV28" s="81">
        <f>SUM(EV21:EV27)</f>
        <v>75541.19999999998</v>
      </c>
      <c r="EW28" s="81"/>
      <c r="EX28" s="81">
        <f>SUM(EX21:EX27)</f>
        <v>10.575767999999998</v>
      </c>
      <c r="EY28" s="81"/>
      <c r="EZ28" s="81">
        <f>SUM(EZ21:EZ27)</f>
        <v>75541.19999999998</v>
      </c>
      <c r="FA28" s="81"/>
      <c r="FB28" s="81">
        <f>SUM(FB21:FB27)</f>
        <v>10.575767999999998</v>
      </c>
      <c r="FC28" s="81"/>
      <c r="FD28" s="81">
        <f>SUM(FD21:FD27)</f>
        <v>75541.19999999998</v>
      </c>
      <c r="FE28" s="81"/>
      <c r="FF28" s="81">
        <f>SUM(FF21:FF27)</f>
        <v>10.575767999999998</v>
      </c>
      <c r="FG28" s="81"/>
      <c r="FH28" s="81">
        <f>SUM(FH21:FH27)</f>
        <v>75541.19999999998</v>
      </c>
      <c r="FI28" s="81"/>
      <c r="FJ28" s="81">
        <f>SUM(FJ21:FJ27)</f>
        <v>12.162133199999998</v>
      </c>
      <c r="FK28" s="81"/>
      <c r="FL28" s="81">
        <f>SUM(FL21:FL27)</f>
        <v>75541.19999999998</v>
      </c>
      <c r="FM28" s="81"/>
      <c r="FN28" s="81">
        <f>SUM(FN21:FN27)</f>
        <v>12.162133199999998</v>
      </c>
      <c r="FO28" s="81"/>
      <c r="FP28" s="81">
        <f>SUM(FP21:FP27)</f>
        <v>75541.19999999998</v>
      </c>
      <c r="FQ28" s="81"/>
      <c r="FR28" s="81">
        <f>SUM(FR21:FR27)</f>
        <v>12.162133199999998</v>
      </c>
      <c r="FS28" s="81"/>
      <c r="FT28" s="81">
        <f>SUM(FT21:FT27)</f>
        <v>75541.19999999998</v>
      </c>
      <c r="FU28" s="81"/>
      <c r="FV28" s="81">
        <f>SUM(FV21:FV27)</f>
        <v>12.162133199999998</v>
      </c>
      <c r="FW28" s="81"/>
      <c r="FX28" s="81">
        <f>SUM(FX21:FX27)</f>
        <v>86872.37999999998</v>
      </c>
      <c r="FY28" s="81"/>
      <c r="FZ28" s="81">
        <f>SUM(FZ21:FZ27)</f>
        <v>12.162133199999998</v>
      </c>
      <c r="GA28" s="81"/>
      <c r="GB28" s="81">
        <f>SUM(GB21:GB27)</f>
        <v>86872.37999999998</v>
      </c>
      <c r="GC28" s="81"/>
      <c r="GD28" s="81">
        <f>SUM(GD21:GD27)</f>
        <v>12.162133199999998</v>
      </c>
      <c r="GE28" s="81"/>
      <c r="GF28" s="81">
        <f>SUM(GF21:GF27)</f>
        <v>86872.37999999998</v>
      </c>
      <c r="GG28" s="81"/>
      <c r="GH28" s="81">
        <f>SUM(GH21:GH27)</f>
        <v>12.162133199999998</v>
      </c>
      <c r="GI28" s="81"/>
      <c r="GJ28" s="81">
        <f>SUM(GJ21:GJ27)</f>
        <v>86872.37999999998</v>
      </c>
      <c r="GK28" s="81"/>
      <c r="GL28" s="81">
        <f>SUM(GL21:GL27)</f>
        <v>12.162133199999998</v>
      </c>
      <c r="GM28" s="81"/>
      <c r="GN28" s="81">
        <f>SUM(GN21:GN27)</f>
        <v>86872.37999999998</v>
      </c>
      <c r="GO28" s="9"/>
      <c r="GP28" s="81">
        <f>SUM(GP21:GP27)</f>
        <v>12.162133199999998</v>
      </c>
      <c r="GQ28" s="81"/>
      <c r="GR28" s="81">
        <f>SUM(GR21:GR27)</f>
        <v>86872.37999999998</v>
      </c>
      <c r="GS28" s="81"/>
      <c r="GT28" s="81">
        <f>SUM(GT21:GT27)</f>
        <v>12.162133199999998</v>
      </c>
      <c r="GU28" s="81"/>
      <c r="GV28" s="81">
        <f>SUM(GV21:GV27)</f>
        <v>86872.37999999998</v>
      </c>
      <c r="GW28" s="81"/>
      <c r="GX28" s="81">
        <f>SUM(GX21:GX27)</f>
        <v>12.162133199999998</v>
      </c>
      <c r="GY28" s="81"/>
      <c r="GZ28" s="81">
        <f>SUM(GZ21:GZ27)</f>
        <v>86872.37999999998</v>
      </c>
      <c r="HA28" s="81"/>
      <c r="HB28" s="81">
        <f>SUM(HB21:HB27)</f>
        <v>12.162133199999998</v>
      </c>
      <c r="HC28" s="81"/>
      <c r="HD28" s="81">
        <f>SUM(HD21:HD27)</f>
        <v>86872.37999999998</v>
      </c>
      <c r="HE28" s="81"/>
      <c r="HF28" s="81">
        <f>SUM(HF21:HF27)</f>
        <v>14.351317175999998</v>
      </c>
      <c r="HG28" s="81"/>
      <c r="HH28" s="81">
        <f>SUM(HH21:HH27)</f>
        <v>86872.37999999998</v>
      </c>
      <c r="HI28" s="81"/>
      <c r="HJ28" s="81">
        <f>SUM(HJ21:HJ27)</f>
        <v>14.351317175999998</v>
      </c>
      <c r="HK28" s="81"/>
      <c r="HL28" s="81">
        <f>SUM(HL21:HL27)</f>
        <v>86872.37999999998</v>
      </c>
      <c r="HM28" s="81"/>
      <c r="HN28" s="81">
        <f>SUM(HN21:HN27)</f>
        <v>14.351317175999998</v>
      </c>
      <c r="HO28" s="81"/>
      <c r="HP28" s="81">
        <f>SUM(HP21:HP27)</f>
        <v>86872.37999999998</v>
      </c>
      <c r="HQ28" s="81"/>
      <c r="HR28" s="81">
        <f>SUM(HR21:HR27)</f>
        <v>14.351317175999998</v>
      </c>
      <c r="HS28" s="81"/>
      <c r="HT28" s="81">
        <f>SUM(HT21:HT27)</f>
        <v>102509.40839999997</v>
      </c>
      <c r="HU28" s="81"/>
      <c r="HV28" s="81">
        <f>SUM(HV21:HV27)</f>
        <v>14.351317175999998</v>
      </c>
      <c r="HW28" s="81"/>
      <c r="HX28" s="81">
        <f>SUM(HX21:HX27)</f>
        <v>102509.40839999997</v>
      </c>
      <c r="HY28" s="81"/>
      <c r="HZ28" s="81">
        <f>SUM(HZ21:HZ27)</f>
        <v>14.351317175999998</v>
      </c>
      <c r="IA28" s="81"/>
      <c r="IB28" s="81">
        <f>SUM(IB21:IB27)</f>
        <v>102509.40839999997</v>
      </c>
      <c r="IC28" s="81"/>
      <c r="ID28" s="81">
        <f>SUM(ID21:ID27)</f>
        <v>14.351317175999998</v>
      </c>
      <c r="IE28" s="81"/>
      <c r="IF28" s="81">
        <f>SUM(IF21:IF27)</f>
        <v>102509.40839999997</v>
      </c>
      <c r="IG28" s="81"/>
      <c r="IH28" s="81">
        <f>SUM(IH21:IH27)</f>
        <v>14.351317175999998</v>
      </c>
      <c r="II28" s="81"/>
      <c r="IJ28" s="81">
        <f>SUM(IJ21:IJ27)</f>
        <v>102509.40839999997</v>
      </c>
      <c r="IK28" s="9"/>
      <c r="IL28" s="81">
        <f>SUM(IL21:IL27)</f>
        <v>14.351317175999998</v>
      </c>
      <c r="IM28" s="81"/>
      <c r="IN28" s="81">
        <f>SUM(IN21:IN27)</f>
        <v>102509.40839999997</v>
      </c>
      <c r="IO28" s="81"/>
      <c r="IP28" s="81">
        <f>SUM(IP21:IP27)</f>
        <v>14.351317175999998</v>
      </c>
      <c r="IQ28" s="81"/>
      <c r="IR28" s="81">
        <f>SUM(IR21:IR27)</f>
        <v>102509.40839999997</v>
      </c>
      <c r="IS28" s="81"/>
      <c r="IT28" s="81">
        <f>SUM(IT21:IT27)</f>
        <v>14.351317175999998</v>
      </c>
      <c r="IU28" s="81"/>
      <c r="IV28" s="81">
        <f>SUM(IV21:IV27)</f>
        <v>102509.40839999997</v>
      </c>
      <c r="IW28" s="81"/>
      <c r="IX28" s="81">
        <f>SUM(IX21:IX27)</f>
        <v>14.351317175999998</v>
      </c>
      <c r="IY28" s="81"/>
      <c r="IZ28" s="81">
        <f>SUM(IZ21:IZ27)</f>
        <v>102509.40839999997</v>
      </c>
      <c r="JA28" s="81"/>
      <c r="JB28" s="81" t="e">
        <f>SUM(JB21:JB27)</f>
        <v>#REF!</v>
      </c>
      <c r="JC28" s="81"/>
      <c r="JD28" s="81">
        <f>SUM(JD21:JD27)</f>
        <v>102509.40839999997</v>
      </c>
      <c r="JE28" s="81"/>
      <c r="JF28" s="81" t="e">
        <f>SUM(JF21:JF27)</f>
        <v>#REF!</v>
      </c>
      <c r="JG28" s="81"/>
      <c r="JH28" s="81">
        <f>SUM(JH21:JH27)</f>
        <v>102509.40839999997</v>
      </c>
      <c r="JI28" s="81"/>
      <c r="JJ28" s="81" t="e">
        <f>SUM(JJ21:JJ27)</f>
        <v>#REF!</v>
      </c>
      <c r="JK28" s="81"/>
      <c r="JL28" s="81">
        <f>SUM(JL21:JL27)</f>
        <v>102509.40839999997</v>
      </c>
      <c r="JM28" s="81"/>
      <c r="JN28" s="9"/>
      <c r="JO28" s="81"/>
      <c r="JP28" s="81"/>
      <c r="JQ28" s="80">
        <f t="shared" si="150"/>
        <v>419840</v>
      </c>
      <c r="JS28" s="81"/>
      <c r="JT28" s="81"/>
      <c r="JU28" s="80">
        <f t="shared" si="151"/>
        <v>469200</v>
      </c>
      <c r="JW28" s="81"/>
      <c r="JX28" s="81"/>
      <c r="JY28" s="80">
        <f t="shared" si="152"/>
        <v>647495.9999999999</v>
      </c>
      <c r="KA28" s="81"/>
      <c r="KB28" s="81"/>
      <c r="KC28" s="80">
        <f t="shared" si="153"/>
        <v>906494.3999999996</v>
      </c>
      <c r="KE28" s="81"/>
      <c r="KF28" s="81"/>
      <c r="KG28" s="80">
        <f t="shared" si="154"/>
        <v>1042468.5599999999</v>
      </c>
      <c r="KI28" s="81"/>
      <c r="KJ28" s="81"/>
      <c r="KK28" s="80">
        <f t="shared" si="155"/>
        <v>1230112.9007999997</v>
      </c>
      <c r="KM28" s="81"/>
      <c r="KN28" s="81"/>
      <c r="KO28" s="80">
        <f t="shared" si="156"/>
        <v>1230112.9007999997</v>
      </c>
    </row>
    <row r="29" ht="9.75" customHeight="1" spans="2:301" x14ac:dyDescent="0.25">
      <c r="B29" s="9"/>
      <c r="C29" s="30"/>
      <c r="D29" s="30"/>
      <c r="E29" s="30"/>
      <c r="F29" s="54"/>
      <c r="G29" s="54"/>
      <c r="H29" s="54"/>
      <c r="I29" s="54"/>
      <c r="J29" s="54"/>
      <c r="K29" s="54"/>
      <c r="L29" s="54"/>
      <c r="M29" s="54"/>
      <c r="N29" s="54"/>
      <c r="O29" s="54"/>
      <c r="P29" s="54"/>
      <c r="Q29" s="54"/>
      <c r="R29" s="54"/>
      <c r="S29" s="54"/>
      <c r="T29" s="54"/>
      <c r="U29" s="54"/>
      <c r="V29" s="54"/>
      <c r="W29" s="54"/>
      <c r="X29" s="54"/>
      <c r="Y29" s="54"/>
      <c r="Z29" s="54"/>
      <c r="AA29" s="54"/>
      <c r="AB29" s="54"/>
      <c r="AC29" s="54"/>
      <c r="AD29" s="54"/>
      <c r="AE29" s="54"/>
      <c r="AF29" s="54"/>
      <c r="AG29" s="54"/>
      <c r="AH29" s="54"/>
      <c r="AI29" s="54"/>
      <c r="AJ29" s="54"/>
      <c r="AK29" s="54"/>
      <c r="AL29" s="54"/>
      <c r="AM29" s="54"/>
      <c r="AN29" s="54"/>
      <c r="AO29" s="54"/>
      <c r="AP29" s="54"/>
      <c r="AQ29" s="54"/>
      <c r="AR29" s="54"/>
      <c r="AS29" s="54"/>
      <c r="AT29" s="54"/>
      <c r="AU29" s="54"/>
      <c r="AV29" s="54"/>
      <c r="AW29" s="54"/>
      <c r="AX29" s="54"/>
      <c r="AY29" s="54"/>
      <c r="AZ29" s="54"/>
      <c r="BA29" s="54"/>
      <c r="BB29" s="54"/>
      <c r="BC29" s="54"/>
      <c r="BD29" s="54"/>
      <c r="BE29" s="54"/>
      <c r="BF29" s="54"/>
      <c r="BG29" s="54"/>
      <c r="BH29" s="54"/>
      <c r="BI29" s="54"/>
      <c r="BJ29" s="54"/>
      <c r="BK29" s="54"/>
      <c r="BL29" s="54"/>
      <c r="BM29" s="54"/>
      <c r="BN29" s="54"/>
      <c r="BO29" s="54"/>
      <c r="BP29" s="54"/>
      <c r="BQ29" s="54"/>
      <c r="BR29" s="54"/>
      <c r="BS29" s="54"/>
      <c r="BT29" s="54"/>
      <c r="BU29" s="54"/>
      <c r="BV29" s="54"/>
      <c r="BW29" s="54"/>
      <c r="BX29" s="54"/>
      <c r="BY29" s="54"/>
      <c r="BZ29" s="54"/>
      <c r="CA29" s="54"/>
      <c r="CB29" s="54"/>
      <c r="CC29" s="54"/>
      <c r="CD29" s="54"/>
      <c r="CE29" s="54"/>
      <c r="CF29" s="54"/>
      <c r="CG29" s="54"/>
      <c r="CH29" s="54"/>
      <c r="CI29" s="54"/>
      <c r="CJ29" s="54"/>
      <c r="CK29" s="54"/>
      <c r="CL29" s="54"/>
      <c r="CM29" s="54"/>
      <c r="CN29" s="54"/>
      <c r="CO29" s="54"/>
      <c r="CP29" s="54"/>
      <c r="CQ29" s="54"/>
      <c r="CR29" s="54"/>
      <c r="CS29" s="54"/>
      <c r="CT29" s="54"/>
      <c r="CU29" s="54"/>
      <c r="CV29" s="54"/>
      <c r="CW29" s="54"/>
      <c r="CX29" s="54"/>
      <c r="CY29" s="54"/>
      <c r="CZ29" s="54"/>
      <c r="DA29" s="54"/>
      <c r="DB29" s="54"/>
      <c r="DC29" s="54"/>
      <c r="DD29" s="54"/>
      <c r="DE29" s="54"/>
      <c r="DF29" s="54"/>
      <c r="DG29" s="54"/>
      <c r="DH29" s="54"/>
      <c r="DI29" s="54"/>
      <c r="DJ29" s="54"/>
      <c r="DK29" s="54"/>
      <c r="DL29" s="54"/>
      <c r="DM29" s="54"/>
      <c r="DN29" s="54"/>
      <c r="DO29" s="54"/>
      <c r="DP29" s="54"/>
      <c r="DQ29" s="54"/>
      <c r="DR29" s="54"/>
      <c r="DS29" s="54"/>
      <c r="DT29" s="54"/>
      <c r="DU29" s="54"/>
      <c r="DV29" s="54"/>
      <c r="DW29" s="54"/>
      <c r="DX29" s="54"/>
      <c r="DY29" s="54"/>
      <c r="DZ29" s="54"/>
      <c r="EA29" s="54"/>
      <c r="EB29" s="54"/>
      <c r="EC29" s="54"/>
      <c r="ED29" s="54"/>
      <c r="EE29" s="54"/>
      <c r="EF29" s="54"/>
      <c r="EG29" s="54"/>
      <c r="EH29" s="54"/>
      <c r="EI29" s="54"/>
      <c r="EJ29" s="54"/>
      <c r="EK29" s="54"/>
      <c r="EL29" s="54"/>
      <c r="EM29" s="54"/>
      <c r="EN29" s="54"/>
      <c r="EO29" s="54"/>
      <c r="EP29" s="54"/>
      <c r="EQ29" s="54"/>
      <c r="ER29" s="54"/>
      <c r="ES29" s="54"/>
      <c r="ET29" s="54"/>
      <c r="EU29" s="54"/>
      <c r="EV29" s="54"/>
      <c r="EW29" s="54"/>
      <c r="EX29" s="54"/>
      <c r="EY29" s="54"/>
      <c r="EZ29" s="54"/>
      <c r="FA29" s="54"/>
      <c r="FB29" s="54"/>
      <c r="FC29" s="54"/>
      <c r="FD29" s="54"/>
      <c r="FE29" s="54"/>
      <c r="FF29" s="54"/>
      <c r="FG29" s="54"/>
      <c r="FH29" s="54"/>
      <c r="FI29" s="54"/>
      <c r="FJ29" s="54"/>
      <c r="FK29" s="54"/>
      <c r="FL29" s="54"/>
      <c r="FM29" s="54"/>
      <c r="FN29" s="54"/>
      <c r="FO29" s="54"/>
      <c r="FP29" s="54"/>
      <c r="FQ29" s="54"/>
      <c r="FR29" s="54"/>
      <c r="FS29" s="54"/>
      <c r="FT29" s="54"/>
      <c r="FU29" s="54"/>
      <c r="FV29" s="54"/>
      <c r="FW29" s="54"/>
      <c r="FX29" s="54"/>
      <c r="FY29" s="54"/>
      <c r="FZ29" s="54"/>
      <c r="GA29" s="54"/>
      <c r="GB29" s="54"/>
      <c r="GC29" s="54"/>
      <c r="GD29" s="54"/>
      <c r="GE29" s="54"/>
      <c r="GF29" s="54"/>
      <c r="GG29" s="54"/>
      <c r="GH29" s="54"/>
      <c r="GI29" s="54"/>
      <c r="GJ29" s="54"/>
      <c r="GK29" s="54"/>
      <c r="GL29" s="54"/>
      <c r="GM29" s="54"/>
      <c r="GN29" s="54"/>
      <c r="GP29" s="54"/>
      <c r="GQ29" s="54"/>
      <c r="GR29" s="54"/>
      <c r="GS29" s="54"/>
      <c r="GT29" s="54"/>
      <c r="GU29" s="54"/>
      <c r="GV29" s="54"/>
      <c r="GW29" s="54"/>
      <c r="GX29" s="54"/>
      <c r="GY29" s="54"/>
      <c r="GZ29" s="54"/>
      <c r="HA29" s="54"/>
      <c r="HB29" s="54"/>
      <c r="HC29" s="54"/>
      <c r="HD29" s="54"/>
      <c r="HE29" s="54"/>
      <c r="HF29" s="54"/>
      <c r="HG29" s="54"/>
      <c r="HH29" s="54"/>
      <c r="HI29" s="54"/>
      <c r="HJ29" s="54"/>
      <c r="HK29" s="54"/>
      <c r="HL29" s="54"/>
      <c r="HM29" s="54"/>
      <c r="HN29" s="54"/>
      <c r="HO29" s="54"/>
      <c r="HP29" s="54"/>
      <c r="HQ29" s="54"/>
      <c r="HR29" s="54"/>
      <c r="HS29" s="54"/>
      <c r="HT29" s="54"/>
      <c r="HU29" s="54"/>
      <c r="HV29" s="54"/>
      <c r="HW29" s="54"/>
      <c r="HX29" s="54"/>
      <c r="HY29" s="54"/>
      <c r="HZ29" s="54"/>
      <c r="IA29" s="54"/>
      <c r="IB29" s="54"/>
      <c r="IC29" s="54"/>
      <c r="ID29" s="54"/>
      <c r="IE29" s="54"/>
      <c r="IF29" s="54"/>
      <c r="IG29" s="54"/>
      <c r="IH29" s="54"/>
      <c r="II29" s="54"/>
      <c r="IJ29" s="54"/>
      <c r="IL29" s="54"/>
      <c r="IM29" s="54"/>
      <c r="IN29" s="54"/>
      <c r="IO29" s="54"/>
      <c r="IP29" s="54"/>
      <c r="IQ29" s="54"/>
      <c r="IR29" s="54"/>
      <c r="IS29" s="54"/>
      <c r="IT29" s="54"/>
      <c r="IU29" s="54"/>
      <c r="IV29" s="54"/>
      <c r="IW29" s="54"/>
      <c r="IX29" s="54"/>
      <c r="IY29" s="54"/>
      <c r="IZ29" s="54"/>
      <c r="JA29" s="54"/>
      <c r="JB29" s="54"/>
      <c r="JC29" s="54"/>
      <c r="JD29" s="54"/>
      <c r="JE29" s="54"/>
      <c r="JF29" s="54"/>
      <c r="JG29" s="54"/>
      <c r="JH29" s="54"/>
      <c r="JI29" s="54"/>
      <c r="JJ29" s="54"/>
      <c r="JK29" s="54"/>
      <c r="JL29" s="54"/>
      <c r="JM29" s="54"/>
      <c r="JO29" s="54"/>
      <c r="JP29" s="54"/>
      <c r="JQ29" s="54"/>
      <c r="JS29" s="54"/>
      <c r="JT29" s="54"/>
      <c r="JU29" s="54"/>
      <c r="JW29" s="54"/>
      <c r="JX29" s="54"/>
      <c r="JY29" s="54"/>
      <c r="KA29" s="54"/>
      <c r="KB29" s="54"/>
      <c r="KC29" s="54"/>
      <c r="KE29" s="54"/>
      <c r="KF29" s="54"/>
      <c r="KG29" s="54"/>
      <c r="KI29" s="54"/>
      <c r="KJ29" s="54"/>
      <c r="KK29" s="54"/>
      <c r="KM29" s="54"/>
      <c r="KN29" s="54"/>
      <c r="KO29" s="54"/>
    </row>
    <row r="30" ht="12" customHeight="1" spans="2:301" s="101" customFormat="1" x14ac:dyDescent="0.25">
      <c r="B30" s="102"/>
      <c r="C30" s="104"/>
      <c r="G30" s="103"/>
      <c r="H30" s="103"/>
      <c r="I30" s="103"/>
      <c r="J30" s="78">
        <f>A.IIOPEX!K32+100%</f>
        <v>0.92</v>
      </c>
      <c r="K30" s="78">
        <f>$K$8</f>
        <v>1</v>
      </c>
      <c r="L30" s="78">
        <f>A.IIOPEX!K32+100%</f>
        <v>0.92</v>
      </c>
      <c r="M30" s="103"/>
      <c r="N30" s="78">
        <v>1</v>
      </c>
      <c r="O30" s="78">
        <v>1</v>
      </c>
      <c r="P30" s="78">
        <v>1</v>
      </c>
      <c r="Q30" s="103"/>
      <c r="R30" s="78">
        <f>N30</f>
        <v>1</v>
      </c>
      <c r="S30" s="78">
        <v>1</v>
      </c>
      <c r="T30" s="78">
        <f>P30</f>
        <v>1</v>
      </c>
      <c r="U30" s="103"/>
      <c r="V30" s="78">
        <f>R30</f>
        <v>1</v>
      </c>
      <c r="W30" s="78">
        <v>1</v>
      </c>
      <c r="X30" s="78">
        <f>T30</f>
        <v>1</v>
      </c>
      <c r="Y30" s="103"/>
      <c r="Z30" s="78">
        <v>1</v>
      </c>
      <c r="AA30" s="78">
        <v>1</v>
      </c>
      <c r="AB30" s="78">
        <f>X30</f>
        <v>1</v>
      </c>
      <c r="AC30" s="103"/>
      <c r="AD30" s="78">
        <f>Z30</f>
        <v>1</v>
      </c>
      <c r="AE30" s="78">
        <v>1</v>
      </c>
      <c r="AF30" s="78">
        <f>AB30</f>
        <v>1</v>
      </c>
      <c r="AG30" s="103"/>
      <c r="AH30" s="78">
        <f>A.IIOPEX!M32+100%</f>
        <v>1.05</v>
      </c>
      <c r="AI30" s="78">
        <v>1</v>
      </c>
      <c r="AJ30" s="78">
        <f>A.IIOPEX!M32+100%</f>
        <v>1.05</v>
      </c>
      <c r="AK30" s="103"/>
      <c r="AL30" s="78">
        <v>1</v>
      </c>
      <c r="AM30" s="78">
        <v>1</v>
      </c>
      <c r="AN30" s="78">
        <v>1</v>
      </c>
      <c r="AO30" s="103"/>
      <c r="AP30" s="78">
        <f>AL30</f>
        <v>1</v>
      </c>
      <c r="AQ30" s="78">
        <v>1</v>
      </c>
      <c r="AR30" s="78">
        <f>AN30</f>
        <v>1</v>
      </c>
      <c r="AS30" s="103"/>
      <c r="AT30" s="78">
        <f>AP30</f>
        <v>1</v>
      </c>
      <c r="AU30" s="78">
        <v>1</v>
      </c>
      <c r="AV30" s="78">
        <f>AR30</f>
        <v>1</v>
      </c>
      <c r="AW30" s="103"/>
      <c r="AX30" s="78">
        <f>AT30</f>
        <v>1</v>
      </c>
      <c r="AY30" s="78">
        <v>1</v>
      </c>
      <c r="AZ30" s="78">
        <f>AV30</f>
        <v>1</v>
      </c>
      <c r="BA30" s="103"/>
      <c r="BB30" s="78">
        <f>AX30</f>
        <v>1</v>
      </c>
      <c r="BC30" s="78">
        <v>1</v>
      </c>
      <c r="BD30" s="78">
        <f>AZ30</f>
        <v>1</v>
      </c>
      <c r="BE30" s="103"/>
      <c r="BF30" s="78">
        <f>BB30</f>
        <v>1</v>
      </c>
      <c r="BG30" s="78">
        <v>1</v>
      </c>
      <c r="BH30" s="78">
        <f>BD30</f>
        <v>1</v>
      </c>
      <c r="BI30" s="103"/>
      <c r="BJ30" s="78">
        <f>BF30</f>
        <v>1</v>
      </c>
      <c r="BK30" s="78">
        <v>1</v>
      </c>
      <c r="BL30" s="78">
        <f>BH30</f>
        <v>1</v>
      </c>
      <c r="BM30" s="103"/>
      <c r="BN30" s="79">
        <f>BJ30</f>
        <v>1</v>
      </c>
      <c r="BO30" s="79">
        <v>1</v>
      </c>
      <c r="BP30" s="78">
        <f>BL30</f>
        <v>1</v>
      </c>
      <c r="BQ30" s="103"/>
      <c r="BR30" s="78">
        <f>BN30</f>
        <v>1</v>
      </c>
      <c r="BS30" s="78">
        <v>1</v>
      </c>
      <c r="BT30" s="78">
        <f>BP30</f>
        <v>1</v>
      </c>
      <c r="BU30" s="103"/>
      <c r="BV30" s="78">
        <v>1</v>
      </c>
      <c r="BW30" s="78">
        <v>1</v>
      </c>
      <c r="BX30" s="78">
        <f>BT30</f>
        <v>1</v>
      </c>
      <c r="BY30" s="103"/>
      <c r="BZ30" s="78">
        <f>BV30</f>
        <v>1</v>
      </c>
      <c r="CA30" s="78">
        <v>1</v>
      </c>
      <c r="CB30" s="78">
        <f>BX30</f>
        <v>1</v>
      </c>
      <c r="CC30" s="103"/>
      <c r="CD30" s="78">
        <f>A.IIOPEX!O32+100%</f>
        <v>1.35</v>
      </c>
      <c r="CE30" s="78">
        <v>1</v>
      </c>
      <c r="CF30" s="78">
        <f>A.IIOPEX!O32+100%</f>
        <v>1.35</v>
      </c>
      <c r="CG30" s="103"/>
      <c r="CH30" s="78">
        <v>1</v>
      </c>
      <c r="CI30" s="78">
        <v>1</v>
      </c>
      <c r="CJ30" s="78">
        <v>1</v>
      </c>
      <c r="CK30" s="103"/>
      <c r="CL30" s="78">
        <f>CH30</f>
        <v>1</v>
      </c>
      <c r="CM30" s="78">
        <v>1</v>
      </c>
      <c r="CN30" s="78">
        <f>CJ30</f>
        <v>1</v>
      </c>
      <c r="CO30" s="103"/>
      <c r="CP30" s="78">
        <f>CL30</f>
        <v>1</v>
      </c>
      <c r="CQ30" s="78">
        <v>1</v>
      </c>
      <c r="CR30" s="78">
        <f>CN30</f>
        <v>1</v>
      </c>
      <c r="CS30" s="103"/>
      <c r="CT30" s="78">
        <f>CP30</f>
        <v>1</v>
      </c>
      <c r="CU30" s="78">
        <v>1</v>
      </c>
      <c r="CV30" s="78">
        <f>CR30</f>
        <v>1</v>
      </c>
      <c r="CW30" s="103"/>
      <c r="CX30" s="78">
        <f>CT30</f>
        <v>1</v>
      </c>
      <c r="CY30" s="78">
        <v>1</v>
      </c>
      <c r="CZ30" s="78">
        <f>CV30</f>
        <v>1</v>
      </c>
      <c r="DA30" s="103"/>
      <c r="DB30" s="78">
        <f>CX30</f>
        <v>1</v>
      </c>
      <c r="DC30" s="78">
        <v>1</v>
      </c>
      <c r="DD30" s="78">
        <f>CZ30</f>
        <v>1</v>
      </c>
      <c r="DE30" s="103"/>
      <c r="DF30" s="78">
        <f>DB30</f>
        <v>1</v>
      </c>
      <c r="DG30" s="78">
        <v>1</v>
      </c>
      <c r="DH30" s="78">
        <f>DD30</f>
        <v>1</v>
      </c>
      <c r="DI30" s="103"/>
      <c r="DJ30" s="79">
        <f>DF30</f>
        <v>1</v>
      </c>
      <c r="DK30" s="79">
        <v>1</v>
      </c>
      <c r="DL30" s="78">
        <f>DH30</f>
        <v>1</v>
      </c>
      <c r="DM30" s="103"/>
      <c r="DN30" s="78">
        <f>DJ30</f>
        <v>1</v>
      </c>
      <c r="DO30" s="78">
        <v>1</v>
      </c>
      <c r="DP30" s="78">
        <f>DL30</f>
        <v>1</v>
      </c>
      <c r="DQ30" s="103"/>
      <c r="DR30" s="78">
        <v>1</v>
      </c>
      <c r="DS30" s="78">
        <v>1</v>
      </c>
      <c r="DT30" s="78">
        <f>DP30</f>
        <v>1</v>
      </c>
      <c r="DU30" s="103"/>
      <c r="DV30" s="78">
        <f>DR30</f>
        <v>1</v>
      </c>
      <c r="DW30" s="78">
        <v>1</v>
      </c>
      <c r="DX30" s="78">
        <f>DT30</f>
        <v>1</v>
      </c>
      <c r="DY30" s="103"/>
      <c r="DZ30" s="78">
        <f>A.IIOPEX!Q32+100%</f>
        <v>1.35</v>
      </c>
      <c r="EA30" s="78">
        <v>1</v>
      </c>
      <c r="EB30" s="78">
        <f>A.IIOPEX!Q32+100%</f>
        <v>1.35</v>
      </c>
      <c r="EC30" s="103"/>
      <c r="ED30" s="78">
        <v>1</v>
      </c>
      <c r="EE30" s="78">
        <v>1</v>
      </c>
      <c r="EF30" s="78">
        <v>1</v>
      </c>
      <c r="EG30" s="103"/>
      <c r="EH30" s="78">
        <f>ED30</f>
        <v>1</v>
      </c>
      <c r="EI30" s="78">
        <v>1</v>
      </c>
      <c r="EJ30" s="78">
        <f>EF30</f>
        <v>1</v>
      </c>
      <c r="EK30" s="103"/>
      <c r="EL30" s="78">
        <f>EH30</f>
        <v>1</v>
      </c>
      <c r="EM30" s="78">
        <v>1</v>
      </c>
      <c r="EN30" s="78">
        <f>EJ30</f>
        <v>1</v>
      </c>
      <c r="EO30" s="103"/>
      <c r="EP30" s="78">
        <f>EL30</f>
        <v>1</v>
      </c>
      <c r="EQ30" s="78">
        <v>1</v>
      </c>
      <c r="ER30" s="78">
        <f>EN30</f>
        <v>1</v>
      </c>
      <c r="ES30" s="103"/>
      <c r="ET30" s="78">
        <f>EP30</f>
        <v>1</v>
      </c>
      <c r="EU30" s="78">
        <v>1</v>
      </c>
      <c r="EV30" s="78">
        <f>ER30</f>
        <v>1</v>
      </c>
      <c r="EW30" s="103"/>
      <c r="EX30" s="78">
        <f>ET30</f>
        <v>1</v>
      </c>
      <c r="EY30" s="78">
        <v>1</v>
      </c>
      <c r="EZ30" s="78">
        <f>EV30</f>
        <v>1</v>
      </c>
      <c r="FA30" s="103"/>
      <c r="FB30" s="78">
        <f>EX30</f>
        <v>1</v>
      </c>
      <c r="FC30" s="78">
        <v>1</v>
      </c>
      <c r="FD30" s="78">
        <f>EZ30</f>
        <v>1</v>
      </c>
      <c r="FE30" s="103"/>
      <c r="FF30" s="79">
        <f>FB30</f>
        <v>1</v>
      </c>
      <c r="FG30" s="79">
        <v>1</v>
      </c>
      <c r="FH30" s="78">
        <f>FD30</f>
        <v>1</v>
      </c>
      <c r="FI30" s="103"/>
      <c r="FJ30" s="78">
        <f>A.IIOPEX!S32+100%</f>
        <v>1.3</v>
      </c>
      <c r="FK30" s="78">
        <v>1</v>
      </c>
      <c r="FL30" s="78">
        <f>FH30</f>
        <v>1</v>
      </c>
      <c r="FM30" s="103"/>
      <c r="FN30" s="78">
        <v>1</v>
      </c>
      <c r="FO30" s="78">
        <v>1</v>
      </c>
      <c r="FP30" s="78">
        <f>FL30</f>
        <v>1</v>
      </c>
      <c r="FQ30" s="103"/>
      <c r="FR30" s="78">
        <f>FN30</f>
        <v>1</v>
      </c>
      <c r="FS30" s="78">
        <v>1</v>
      </c>
      <c r="FT30" s="78">
        <f>FP30</f>
        <v>1</v>
      </c>
      <c r="FU30" s="103"/>
      <c r="FV30" s="78">
        <f>FR30</f>
        <v>1</v>
      </c>
      <c r="FW30" s="78">
        <v>1</v>
      </c>
      <c r="FX30" s="78">
        <f>A.IIOPEX!S32+100%</f>
        <v>1.3</v>
      </c>
      <c r="FY30" s="103"/>
      <c r="FZ30" s="78">
        <f>FV30</f>
        <v>1</v>
      </c>
      <c r="GA30" s="78">
        <v>1</v>
      </c>
      <c r="GB30" s="78">
        <v>1</v>
      </c>
      <c r="GC30" s="103"/>
      <c r="GD30" s="78">
        <f>FZ30</f>
        <v>1</v>
      </c>
      <c r="GE30" s="78">
        <v>1</v>
      </c>
      <c r="GF30" s="78">
        <f>GB30</f>
        <v>1</v>
      </c>
      <c r="GG30" s="103"/>
      <c r="GH30" s="78">
        <f>GD30</f>
        <v>1</v>
      </c>
      <c r="GI30" s="78">
        <v>1</v>
      </c>
      <c r="GJ30" s="78">
        <f>GF30</f>
        <v>1</v>
      </c>
      <c r="GK30" s="103"/>
      <c r="GL30" s="78">
        <f>GH30</f>
        <v>1</v>
      </c>
      <c r="GM30" s="78">
        <v>1</v>
      </c>
      <c r="GN30" s="78">
        <f>GJ30</f>
        <v>1</v>
      </c>
      <c r="GO30" s="103"/>
      <c r="GP30" s="78">
        <f>GL30</f>
        <v>1</v>
      </c>
      <c r="GQ30" s="78">
        <v>1</v>
      </c>
      <c r="GR30" s="78">
        <f>GN30</f>
        <v>1</v>
      </c>
      <c r="GS30" s="103"/>
      <c r="GT30" s="78">
        <f>GP30</f>
        <v>1</v>
      </c>
      <c r="GU30" s="78">
        <v>1</v>
      </c>
      <c r="GV30" s="78">
        <f>GR30</f>
        <v>1</v>
      </c>
      <c r="GW30" s="103"/>
      <c r="GX30" s="78">
        <f>GT30</f>
        <v>1</v>
      </c>
      <c r="GY30" s="78">
        <v>1</v>
      </c>
      <c r="GZ30" s="78">
        <f>GV30</f>
        <v>1</v>
      </c>
      <c r="HA30" s="103"/>
      <c r="HB30" s="79">
        <f>GX30</f>
        <v>1</v>
      </c>
      <c r="HC30" s="79">
        <v>1</v>
      </c>
      <c r="HD30" s="78">
        <f>GZ30</f>
        <v>1</v>
      </c>
      <c r="HE30" s="103"/>
      <c r="HF30" s="78">
        <f>A.IIOPEX!U32+100%</f>
        <v>1.3</v>
      </c>
      <c r="HG30" s="78">
        <v>1</v>
      </c>
      <c r="HH30" s="78">
        <f>HD30</f>
        <v>1</v>
      </c>
      <c r="HI30" s="103"/>
      <c r="HJ30" s="78">
        <v>1</v>
      </c>
      <c r="HK30" s="78">
        <v>1</v>
      </c>
      <c r="HL30" s="78">
        <f>HH30</f>
        <v>1</v>
      </c>
      <c r="HM30" s="103"/>
      <c r="HN30" s="78">
        <f>HJ30</f>
        <v>1</v>
      </c>
      <c r="HO30" s="78">
        <v>1</v>
      </c>
      <c r="HP30" s="78">
        <f>HL30</f>
        <v>1</v>
      </c>
      <c r="HQ30" s="103"/>
      <c r="HR30" s="78">
        <f>HN30</f>
        <v>1</v>
      </c>
      <c r="HS30" s="78">
        <v>1</v>
      </c>
      <c r="HT30" s="78">
        <f>A.IIOPEX!U32+100%</f>
        <v>1.3</v>
      </c>
      <c r="HU30" s="103"/>
      <c r="HV30" s="78">
        <f>HR30</f>
        <v>1</v>
      </c>
      <c r="HW30" s="78">
        <v>1</v>
      </c>
      <c r="HX30" s="78">
        <v>1</v>
      </c>
      <c r="HY30" s="103"/>
      <c r="HZ30" s="78">
        <f>HV30</f>
        <v>1</v>
      </c>
      <c r="IA30" s="78">
        <v>1</v>
      </c>
      <c r="IB30" s="78">
        <f>HX30</f>
        <v>1</v>
      </c>
      <c r="IC30" s="103"/>
      <c r="ID30" s="78">
        <f>HZ30</f>
        <v>1</v>
      </c>
      <c r="IE30" s="78">
        <v>1</v>
      </c>
      <c r="IF30" s="78">
        <f>IB30</f>
        <v>1</v>
      </c>
      <c r="IG30" s="103"/>
      <c r="IH30" s="78">
        <f>ID30</f>
        <v>1</v>
      </c>
      <c r="II30" s="78">
        <v>1</v>
      </c>
      <c r="IJ30" s="78">
        <f>IF30</f>
        <v>1</v>
      </c>
      <c r="IK30" s="103"/>
      <c r="IL30" s="78">
        <f>IH30</f>
        <v>1</v>
      </c>
      <c r="IM30" s="78">
        <v>1</v>
      </c>
      <c r="IN30" s="78">
        <f>IJ30</f>
        <v>1</v>
      </c>
      <c r="IO30" s="103"/>
      <c r="IP30" s="78">
        <f>IL30</f>
        <v>1</v>
      </c>
      <c r="IQ30" s="78">
        <v>1</v>
      </c>
      <c r="IR30" s="78">
        <f>IN30</f>
        <v>1</v>
      </c>
      <c r="IS30" s="103"/>
      <c r="IT30" s="78">
        <f>IP30</f>
        <v>1</v>
      </c>
      <c r="IU30" s="78">
        <v>1</v>
      </c>
      <c r="IV30" s="78">
        <f>IR30</f>
        <v>1</v>
      </c>
      <c r="IW30" s="103"/>
      <c r="IX30" s="79">
        <f>IT30</f>
        <v>1</v>
      </c>
      <c r="IY30" s="79">
        <v>1</v>
      </c>
      <c r="IZ30" s="78">
        <f>IV30</f>
        <v>1</v>
      </c>
      <c r="JA30" s="103"/>
      <c r="JB30" s="78" t="e">
        <f>A.IIOPEX!#REF!+100%</f>
        <v>#REF!</v>
      </c>
      <c r="JC30" s="78">
        <v>1</v>
      </c>
      <c r="JD30" s="78">
        <f>IZ30</f>
        <v>1</v>
      </c>
      <c r="JE30" s="103"/>
      <c r="JF30" s="78">
        <v>1</v>
      </c>
      <c r="JG30" s="78">
        <v>1</v>
      </c>
      <c r="JH30" s="78">
        <f>JD30</f>
        <v>1</v>
      </c>
      <c r="JI30" s="103"/>
      <c r="JJ30" s="79">
        <f>JF30</f>
        <v>1</v>
      </c>
      <c r="JK30" s="79">
        <v>1</v>
      </c>
      <c r="JL30" s="78">
        <f>JH30</f>
        <v>1</v>
      </c>
      <c r="JM30" s="103"/>
      <c r="JO30" s="78">
        <f>'A.I Revenue Streams - P2'!DU28+100%</f>
        <v>1</v>
      </c>
      <c r="JP30" s="78">
        <v>1</v>
      </c>
      <c r="JQ30" s="103"/>
      <c r="JS30" s="78">
        <f>'A.I Revenue Streams - P2'!DY28+100%</f>
        <v>1</v>
      </c>
      <c r="JT30" s="78">
        <v>1</v>
      </c>
      <c r="JU30" s="103"/>
      <c r="JW30" s="78">
        <f>'A.I Revenue Streams - P2'!EC28+100%</f>
        <v>1</v>
      </c>
      <c r="JX30" s="78">
        <v>1</v>
      </c>
      <c r="JY30" s="103"/>
      <c r="KA30" s="78">
        <f>'A.I Revenue Streams - P2'!EG28+100%</f>
        <v>1</v>
      </c>
      <c r="KB30" s="78">
        <v>1</v>
      </c>
      <c r="KC30" s="103"/>
      <c r="KE30" s="78">
        <f>'A.I Revenue Streams - P2'!EK28+100%</f>
        <v>1</v>
      </c>
      <c r="KF30" s="78">
        <v>1</v>
      </c>
      <c r="KG30" s="103"/>
      <c r="KI30" s="78">
        <f>'A.I Revenue Streams - P2'!EO28+100%</f>
        <v>1</v>
      </c>
      <c r="KJ30" s="78">
        <v>1</v>
      </c>
      <c r="KK30" s="103"/>
      <c r="KM30" s="78">
        <f>'A.I Revenue Streams - P2'!ES28+100%</f>
        <v>1</v>
      </c>
      <c r="KN30" s="78">
        <v>1</v>
      </c>
      <c r="KO30" s="103"/>
    </row>
    <row r="31" ht="18.75" customHeight="1" spans="2:301" x14ac:dyDescent="0.25">
      <c r="B31" s="5">
        <v>3</v>
      </c>
      <c r="C31" s="29" t="str">
        <f>A.IIOPEX!D31</f>
        <v>Utilities</v>
      </c>
      <c r="D31" s="27"/>
      <c r="E31" s="28"/>
      <c r="F31" s="51"/>
      <c r="G31" s="51"/>
      <c r="H31" s="51"/>
      <c r="I31" s="54"/>
      <c r="J31" s="51"/>
      <c r="K31" s="51"/>
      <c r="L31" s="51"/>
      <c r="M31" s="54"/>
      <c r="N31" s="51"/>
      <c r="O31" s="51"/>
      <c r="P31" s="51"/>
      <c r="Q31" s="54"/>
      <c r="R31" s="51"/>
      <c r="S31" s="51"/>
      <c r="T31" s="51"/>
      <c r="U31" s="54"/>
      <c r="V31" s="51"/>
      <c r="W31" s="51"/>
      <c r="X31" s="51"/>
      <c r="Y31" s="54"/>
      <c r="Z31" s="51"/>
      <c r="AA31" s="51"/>
      <c r="AB31" s="51"/>
      <c r="AC31" s="54"/>
      <c r="AD31" s="51"/>
      <c r="AE31" s="51"/>
      <c r="AF31" s="51"/>
      <c r="AG31" s="54"/>
      <c r="AH31" s="51"/>
      <c r="AI31" s="51"/>
      <c r="AJ31" s="51"/>
      <c r="AK31" s="54"/>
      <c r="AL31" s="51"/>
      <c r="AM31" s="51"/>
      <c r="AN31" s="51"/>
      <c r="AO31" s="54"/>
      <c r="AP31" s="51"/>
      <c r="AQ31" s="51"/>
      <c r="AR31" s="51"/>
      <c r="AS31" s="54"/>
      <c r="AT31" s="51"/>
      <c r="AU31" s="51"/>
      <c r="AV31" s="51"/>
      <c r="AW31" s="54"/>
      <c r="AX31" s="51"/>
      <c r="AY31" s="51"/>
      <c r="AZ31" s="51"/>
      <c r="BA31" s="54"/>
      <c r="BB31" s="51"/>
      <c r="BC31" s="51"/>
      <c r="BD31" s="51"/>
      <c r="BE31" s="54"/>
      <c r="BF31" s="51"/>
      <c r="BG31" s="51"/>
      <c r="BH31" s="51"/>
      <c r="BI31" s="54"/>
      <c r="BJ31" s="51"/>
      <c r="BK31" s="51"/>
      <c r="BL31" s="51"/>
      <c r="BM31" s="54"/>
      <c r="BN31" s="51"/>
      <c r="BO31" s="51"/>
      <c r="BP31" s="51"/>
      <c r="BQ31" s="54"/>
      <c r="BR31" s="51"/>
      <c r="BS31" s="51"/>
      <c r="BT31" s="51"/>
      <c r="BU31" s="54"/>
      <c r="BV31" s="51"/>
      <c r="BW31" s="51"/>
      <c r="BX31" s="51"/>
      <c r="BY31" s="54"/>
      <c r="BZ31" s="51"/>
      <c r="CA31" s="51"/>
      <c r="CB31" s="51"/>
      <c r="CC31" s="54"/>
      <c r="CD31" s="51"/>
      <c r="CE31" s="51"/>
      <c r="CF31" s="51"/>
      <c r="CG31" s="54"/>
      <c r="CH31" s="51"/>
      <c r="CI31" s="51"/>
      <c r="CJ31" s="51"/>
      <c r="CK31" s="54"/>
      <c r="CL31" s="51"/>
      <c r="CM31" s="51"/>
      <c r="CN31" s="51"/>
      <c r="CO31" s="54"/>
      <c r="CP31" s="51"/>
      <c r="CQ31" s="51"/>
      <c r="CR31" s="51"/>
      <c r="CS31" s="54"/>
      <c r="CT31" s="51"/>
      <c r="CU31" s="51"/>
      <c r="CV31" s="51"/>
      <c r="CW31" s="54"/>
      <c r="CX31" s="51"/>
      <c r="CY31" s="51"/>
      <c r="CZ31" s="51"/>
      <c r="DA31" s="54"/>
      <c r="DB31" s="51"/>
      <c r="DC31" s="51"/>
      <c r="DD31" s="51"/>
      <c r="DE31" s="54"/>
      <c r="DF31" s="51"/>
      <c r="DG31" s="51"/>
      <c r="DH31" s="51"/>
      <c r="DI31" s="54"/>
      <c r="DJ31" s="51"/>
      <c r="DK31" s="51"/>
      <c r="DL31" s="51"/>
      <c r="DM31" s="54"/>
      <c r="DN31" s="51"/>
      <c r="DO31" s="51"/>
      <c r="DP31" s="51"/>
      <c r="DQ31" s="54"/>
      <c r="DR31" s="51"/>
      <c r="DS31" s="51"/>
      <c r="DT31" s="51"/>
      <c r="DU31" s="54"/>
      <c r="DV31" s="51"/>
      <c r="DW31" s="51"/>
      <c r="DX31" s="51"/>
      <c r="DY31" s="54"/>
      <c r="DZ31" s="51"/>
      <c r="EA31" s="51"/>
      <c r="EB31" s="51"/>
      <c r="EC31" s="54"/>
      <c r="ED31" s="51"/>
      <c r="EE31" s="51"/>
      <c r="EF31" s="51"/>
      <c r="EG31" s="54"/>
      <c r="EH31" s="51"/>
      <c r="EI31" s="51"/>
      <c r="EJ31" s="51"/>
      <c r="EK31" s="54"/>
      <c r="EL31" s="51"/>
      <c r="EM31" s="51"/>
      <c r="EN31" s="51"/>
      <c r="EO31" s="54"/>
      <c r="EP31" s="51"/>
      <c r="EQ31" s="51"/>
      <c r="ER31" s="51"/>
      <c r="ES31" s="54"/>
      <c r="ET31" s="51"/>
      <c r="EU31" s="51"/>
      <c r="EV31" s="51"/>
      <c r="EW31" s="54"/>
      <c r="EX31" s="51"/>
      <c r="EY31" s="51"/>
      <c r="EZ31" s="51"/>
      <c r="FA31" s="54"/>
      <c r="FB31" s="51"/>
      <c r="FC31" s="51"/>
      <c r="FD31" s="51"/>
      <c r="FE31" s="54"/>
      <c r="FF31" s="51"/>
      <c r="FG31" s="51"/>
      <c r="FH31" s="51"/>
      <c r="FI31" s="54"/>
      <c r="FJ31" s="51"/>
      <c r="FK31" s="51"/>
      <c r="FL31" s="51"/>
      <c r="FM31" s="54"/>
      <c r="FN31" s="51"/>
      <c r="FO31" s="51"/>
      <c r="FP31" s="51"/>
      <c r="FQ31" s="54"/>
      <c r="FR31" s="51"/>
      <c r="FS31" s="51"/>
      <c r="FT31" s="51"/>
      <c r="FU31" s="54"/>
      <c r="FV31" s="51"/>
      <c r="FW31" s="51"/>
      <c r="FX31" s="51"/>
      <c r="FY31" s="54"/>
      <c r="FZ31" s="51"/>
      <c r="GA31" s="51"/>
      <c r="GB31" s="51"/>
      <c r="GC31" s="54"/>
      <c r="GD31" s="51"/>
      <c r="GE31" s="51"/>
      <c r="GF31" s="51"/>
      <c r="GG31" s="54"/>
      <c r="GH31" s="51"/>
      <c r="GI31" s="51"/>
      <c r="GJ31" s="51"/>
      <c r="GK31" s="54"/>
      <c r="GL31" s="51"/>
      <c r="GM31" s="51"/>
      <c r="GN31" s="51"/>
      <c r="GP31" s="51"/>
      <c r="GQ31" s="51"/>
      <c r="GR31" s="51"/>
      <c r="GS31" s="54"/>
      <c r="GT31" s="51"/>
      <c r="GU31" s="51"/>
      <c r="GV31" s="51"/>
      <c r="GW31" s="54"/>
      <c r="GX31" s="51"/>
      <c r="GY31" s="51"/>
      <c r="GZ31" s="51"/>
      <c r="HA31" s="54"/>
      <c r="HB31" s="51"/>
      <c r="HC31" s="51"/>
      <c r="HD31" s="51"/>
      <c r="HE31" s="54"/>
      <c r="HF31" s="51"/>
      <c r="HG31" s="51"/>
      <c r="HH31" s="51"/>
      <c r="HI31" s="54"/>
      <c r="HJ31" s="51"/>
      <c r="HK31" s="51"/>
      <c r="HL31" s="51"/>
      <c r="HM31" s="54"/>
      <c r="HN31" s="51"/>
      <c r="HO31" s="51"/>
      <c r="HP31" s="51"/>
      <c r="HQ31" s="54"/>
      <c r="HR31" s="51"/>
      <c r="HS31" s="51"/>
      <c r="HT31" s="51"/>
      <c r="HU31" s="54"/>
      <c r="HV31" s="51"/>
      <c r="HW31" s="51"/>
      <c r="HX31" s="51"/>
      <c r="HY31" s="54"/>
      <c r="HZ31" s="51"/>
      <c r="IA31" s="51"/>
      <c r="IB31" s="51"/>
      <c r="IC31" s="54"/>
      <c r="ID31" s="51"/>
      <c r="IE31" s="51"/>
      <c r="IF31" s="51"/>
      <c r="IG31" s="54"/>
      <c r="IH31" s="51"/>
      <c r="II31" s="51"/>
      <c r="IJ31" s="51"/>
      <c r="IL31" s="51"/>
      <c r="IM31" s="51"/>
      <c r="IN31" s="51"/>
      <c r="IO31" s="54"/>
      <c r="IP31" s="51"/>
      <c r="IQ31" s="51"/>
      <c r="IR31" s="51"/>
      <c r="IS31" s="54"/>
      <c r="IT31" s="51"/>
      <c r="IU31" s="51"/>
      <c r="IV31" s="51"/>
      <c r="IW31" s="54"/>
      <c r="IX31" s="51"/>
      <c r="IY31" s="51"/>
      <c r="IZ31" s="51"/>
      <c r="JA31" s="54"/>
      <c r="JB31" s="51"/>
      <c r="JC31" s="51"/>
      <c r="JD31" s="51"/>
      <c r="JE31" s="54"/>
      <c r="JF31" s="51"/>
      <c r="JG31" s="51"/>
      <c r="JH31" s="51"/>
      <c r="JI31" s="54"/>
      <c r="JJ31" s="51"/>
      <c r="JK31" s="51"/>
      <c r="JL31" s="51"/>
      <c r="JM31" s="54"/>
      <c r="JO31" s="80"/>
      <c r="JP31" s="80"/>
      <c r="JQ31" s="80"/>
      <c r="JS31" s="80"/>
      <c r="JT31" s="80"/>
      <c r="JU31" s="80"/>
      <c r="JW31" s="80"/>
      <c r="JX31" s="80"/>
      <c r="JY31" s="80"/>
      <c r="KA31" s="80"/>
      <c r="KB31" s="80"/>
      <c r="KC31" s="80"/>
      <c r="KE31" s="80"/>
      <c r="KF31" s="80"/>
      <c r="KG31" s="80"/>
      <c r="KI31" s="80"/>
      <c r="KJ31" s="80"/>
      <c r="KK31" s="80"/>
      <c r="KM31" s="80"/>
      <c r="KN31" s="80"/>
      <c r="KO31" s="80"/>
    </row>
    <row r="32" ht="18.75" customHeight="1" spans="2:301" x14ac:dyDescent="0.25">
      <c r="B32" s="5" t="str">
        <f>A.IIOPEX!C32</f>
        <v>3a</v>
      </c>
      <c r="C32" s="29"/>
      <c r="D32" s="29" t="str">
        <f>A.IIOPEX!E32</f>
        <v>Office Maintenance</v>
      </c>
      <c r="E32" s="30"/>
      <c r="F32" s="51">
        <v>1</v>
      </c>
      <c r="G32" s="51"/>
      <c r="H32" s="51">
        <f>A.IIOPEX!I32</f>
        <v>100000</v>
      </c>
      <c r="I32" s="54"/>
      <c r="J32" s="51">
        <f t="shared" ref="J32:J40" si="430">F32*$J$30</f>
        <v>0.92</v>
      </c>
      <c r="K32" s="51"/>
      <c r="L32" s="51">
        <f>H32*L$30</f>
        <v>92000</v>
      </c>
      <c r="M32" s="54"/>
      <c r="N32" s="51">
        <f t="shared" ref="N32:N40" si="431">J32*$N$30</f>
        <v>0.92</v>
      </c>
      <c r="O32" s="51"/>
      <c r="P32" s="51">
        <f>L32*P$30</f>
        <v>92000</v>
      </c>
      <c r="Q32" s="54"/>
      <c r="R32" s="51">
        <f t="shared" ref="R32:R40" si="432">N32*$R$30</f>
        <v>0.92</v>
      </c>
      <c r="S32" s="51"/>
      <c r="T32" s="51">
        <f>P32*T$30</f>
        <v>92000</v>
      </c>
      <c r="U32" s="54"/>
      <c r="V32" s="51">
        <f t="shared" ref="V32:V40" si="433">R32*$V$30</f>
        <v>0.92</v>
      </c>
      <c r="W32" s="51"/>
      <c r="X32" s="51">
        <f>T32*X$30</f>
        <v>92000</v>
      </c>
      <c r="Y32" s="54"/>
      <c r="Z32" s="51">
        <f t="shared" ref="Z32:Z40" si="434">V32*$Z$30</f>
        <v>0.92</v>
      </c>
      <c r="AA32" s="51"/>
      <c r="AB32" s="51">
        <f>X32*AB$30</f>
        <v>92000</v>
      </c>
      <c r="AC32" s="54"/>
      <c r="AD32" s="51">
        <f>Z32*$AD$30</f>
        <v>0.92</v>
      </c>
      <c r="AE32" s="51"/>
      <c r="AF32" s="51">
        <f>AB32*AF$30</f>
        <v>92000</v>
      </c>
      <c r="AG32" s="54"/>
      <c r="AH32" s="51">
        <f>AD32*$AH$30</f>
        <v>0.9660000000000001</v>
      </c>
      <c r="AI32" s="51"/>
      <c r="AJ32" s="51">
        <f>AF32*AJ$30</f>
        <v>96600</v>
      </c>
      <c r="AK32" s="54"/>
      <c r="AL32" s="51">
        <f>AH32*$AL$30</f>
        <v>0.9660000000000001</v>
      </c>
      <c r="AM32" s="51"/>
      <c r="AN32" s="51">
        <f>AJ32*AN$30</f>
        <v>96600</v>
      </c>
      <c r="AO32" s="54"/>
      <c r="AP32" s="51">
        <f>AL32*$AP$30</f>
        <v>0.9660000000000001</v>
      </c>
      <c r="AQ32" s="51"/>
      <c r="AR32" s="51">
        <f>AN32*AR$30</f>
        <v>96600</v>
      </c>
      <c r="AS32" s="54"/>
      <c r="AT32" s="51">
        <f>AP32*$AT$30</f>
        <v>0.9660000000000001</v>
      </c>
      <c r="AU32" s="51"/>
      <c r="AV32" s="51">
        <f>AR32*AV$30</f>
        <v>96600</v>
      </c>
      <c r="AW32" s="54"/>
      <c r="AX32" s="51">
        <f>AT32*$AX$30</f>
        <v>0.9660000000000001</v>
      </c>
      <c r="AY32" s="51"/>
      <c r="AZ32" s="51">
        <f>AV32*AZ$30</f>
        <v>96600</v>
      </c>
      <c r="BA32" s="54"/>
      <c r="BB32" s="51">
        <f t="shared" ref="BB32:BB40" si="435">AX32*$BB$30</f>
        <v>0.9660000000000001</v>
      </c>
      <c r="BC32" s="51"/>
      <c r="BD32" s="51">
        <f>AZ32*BD$30</f>
        <v>96600</v>
      </c>
      <c r="BE32" s="54"/>
      <c r="BF32" s="51">
        <f>BB32*$BF$30</f>
        <v>0.9660000000000001</v>
      </c>
      <c r="BG32" s="51"/>
      <c r="BH32" s="51">
        <f>BD32*BH$30</f>
        <v>96600</v>
      </c>
      <c r="BI32" s="54"/>
      <c r="BJ32" s="51">
        <f>BF32*$BJ$30</f>
        <v>0.9660000000000001</v>
      </c>
      <c r="BK32" s="51">
        <f>BG32*$BK$30</f>
        <v>0</v>
      </c>
      <c r="BL32" s="51">
        <f>BH32*BL$30</f>
        <v>96600</v>
      </c>
      <c r="BM32" s="54"/>
      <c r="BN32" s="51">
        <f>BJ32*$BN$30</f>
        <v>0.9660000000000001</v>
      </c>
      <c r="BO32" s="51">
        <f>BK32*$BO$30</f>
        <v>0</v>
      </c>
      <c r="BP32" s="51">
        <f>BL32*BP$30</f>
        <v>96600</v>
      </c>
      <c r="BQ32" s="54"/>
      <c r="BR32" s="51">
        <f>BN32*$BR$30</f>
        <v>0.9660000000000001</v>
      </c>
      <c r="BS32" s="51">
        <f>BO32*$BS$30</f>
        <v>0</v>
      </c>
      <c r="BT32" s="51">
        <f>BP32*BT$30</f>
        <v>96600</v>
      </c>
      <c r="BU32" s="54"/>
      <c r="BV32" s="51">
        <f>BR32*$BV$30</f>
        <v>0.9660000000000001</v>
      </c>
      <c r="BW32" s="51">
        <f>BS32*$BW$30</f>
        <v>0</v>
      </c>
      <c r="BX32" s="51">
        <f>BT32*BX$30</f>
        <v>96600</v>
      </c>
      <c r="BY32" s="54"/>
      <c r="BZ32" s="51">
        <f>BV32*$BZ$30</f>
        <v>0.9660000000000001</v>
      </c>
      <c r="CA32" s="51">
        <f>BW32*$CA$30</f>
        <v>0</v>
      </c>
      <c r="CB32" s="51">
        <f>BX32*CB$30</f>
        <v>96600</v>
      </c>
      <c r="CC32" s="54"/>
      <c r="CD32" s="51">
        <f>BZ32*$CD$30</f>
        <v>1.3041000000000003</v>
      </c>
      <c r="CE32" s="51">
        <f>CA32*$CE$30</f>
        <v>0</v>
      </c>
      <c r="CF32" s="51">
        <f>CB32*CF$30</f>
        <v>130410.00000000001</v>
      </c>
      <c r="CG32" s="54"/>
      <c r="CH32" s="51">
        <f>CD32*$CH$30</f>
        <v>1.3041000000000003</v>
      </c>
      <c r="CI32" s="51">
        <f>CE32*$CI$30</f>
        <v>0</v>
      </c>
      <c r="CJ32" s="51">
        <f>CF32*CJ$30</f>
        <v>130410.00000000001</v>
      </c>
      <c r="CK32" s="54"/>
      <c r="CL32" s="51">
        <f>CH32*$CL$30</f>
        <v>1.3041000000000003</v>
      </c>
      <c r="CM32" s="51">
        <f>CI32*$CM$30</f>
        <v>0</v>
      </c>
      <c r="CN32" s="51">
        <f>CJ32*CN$30</f>
        <v>130410.00000000001</v>
      </c>
      <c r="CO32" s="54"/>
      <c r="CP32" s="51">
        <f>CL32*$CP$30</f>
        <v>1.3041000000000003</v>
      </c>
      <c r="CQ32" s="51">
        <f>CM32*$CQ$30</f>
        <v>0</v>
      </c>
      <c r="CR32" s="51">
        <f>CN32*CR$30</f>
        <v>130410.00000000001</v>
      </c>
      <c r="CS32" s="54"/>
      <c r="CT32" s="51">
        <f>CP32*$CT$30</f>
        <v>1.3041000000000003</v>
      </c>
      <c r="CU32" s="51">
        <f>CQ32*$CU$30</f>
        <v>0</v>
      </c>
      <c r="CV32" s="51">
        <f>CR32*CV$30</f>
        <v>130410.00000000001</v>
      </c>
      <c r="CW32" s="54"/>
      <c r="CX32" s="51">
        <f t="shared" ref="CX32:CX40" si="436">CT32*$CX$30</f>
        <v>1.3041000000000003</v>
      </c>
      <c r="CY32" s="51">
        <f t="shared" ref="CY32:CY40" si="437">CU32*$CY$30</f>
        <v>0</v>
      </c>
      <c r="CZ32" s="51">
        <f>CV32*CZ$30</f>
        <v>130410.00000000001</v>
      </c>
      <c r="DA32" s="54"/>
      <c r="DB32" s="51">
        <f>CX32*$DB$30</f>
        <v>1.3041000000000003</v>
      </c>
      <c r="DC32" s="51">
        <f>CY32*$DC$30</f>
        <v>0</v>
      </c>
      <c r="DD32" s="51">
        <f>CZ32*DD$30</f>
        <v>130410.00000000001</v>
      </c>
      <c r="DE32" s="54"/>
      <c r="DF32" s="51">
        <f>DB32*$DF$30</f>
        <v>1.3041000000000003</v>
      </c>
      <c r="DG32" s="51">
        <f>DC32*$DG$30</f>
        <v>0</v>
      </c>
      <c r="DH32" s="51">
        <f>DD32*DH$30</f>
        <v>130410.00000000001</v>
      </c>
      <c r="DI32" s="54"/>
      <c r="DJ32" s="51">
        <f>DF32*$DJ$30</f>
        <v>1.3041000000000003</v>
      </c>
      <c r="DK32" s="51">
        <f>DG32*$DK$30</f>
        <v>0</v>
      </c>
      <c r="DL32" s="51">
        <f>DH32*DL$30</f>
        <v>130410.00000000001</v>
      </c>
      <c r="DM32" s="54"/>
      <c r="DN32" s="51">
        <f>DJ32*$DN$30</f>
        <v>1.3041000000000003</v>
      </c>
      <c r="DO32" s="51">
        <f>DK32*$DO$30</f>
        <v>0</v>
      </c>
      <c r="DP32" s="51">
        <f>DL32*DP$30</f>
        <v>130410.00000000001</v>
      </c>
      <c r="DQ32" s="54"/>
      <c r="DR32" s="51">
        <f>DN32*$DR$30</f>
        <v>1.3041000000000003</v>
      </c>
      <c r="DS32" s="51">
        <f>DO32*$DS$30</f>
        <v>0</v>
      </c>
      <c r="DT32" s="51">
        <f>DP32*DT$30</f>
        <v>130410.00000000001</v>
      </c>
      <c r="DU32" s="54"/>
      <c r="DV32" s="51">
        <f>DR32*$DV$30</f>
        <v>1.3041000000000003</v>
      </c>
      <c r="DW32" s="51">
        <f>DS32*$DW$30</f>
        <v>0</v>
      </c>
      <c r="DX32" s="51">
        <f>DT32*DX$30</f>
        <v>130410.00000000001</v>
      </c>
      <c r="DY32" s="54"/>
      <c r="DZ32" s="51">
        <f>DV32*$DZ$30</f>
        <v>1.7605350000000004</v>
      </c>
      <c r="EA32" s="51">
        <f>DW32*$EA$30</f>
        <v>0</v>
      </c>
      <c r="EB32" s="51">
        <f>DX32*EB$30</f>
        <v>176053.50000000003</v>
      </c>
      <c r="EC32" s="54"/>
      <c r="ED32" s="51">
        <f>DZ32*$ED$30</f>
        <v>1.7605350000000004</v>
      </c>
      <c r="EE32" s="51">
        <f>EA32*$EE$30</f>
        <v>0</v>
      </c>
      <c r="EF32" s="51">
        <f>EB32*EF$30</f>
        <v>176053.50000000003</v>
      </c>
      <c r="EG32" s="54"/>
      <c r="EH32" s="51">
        <f>ED32*$EH$30</f>
        <v>1.7605350000000004</v>
      </c>
      <c r="EI32" s="51">
        <f>EE32*$EI$30</f>
        <v>0</v>
      </c>
      <c r="EJ32" s="51">
        <f>EF32*EJ$30</f>
        <v>176053.50000000003</v>
      </c>
      <c r="EK32" s="54"/>
      <c r="EL32" s="51">
        <f>EH32*$EL$30</f>
        <v>1.7605350000000004</v>
      </c>
      <c r="EM32" s="51">
        <f>EI32*$EM$30</f>
        <v>0</v>
      </c>
      <c r="EN32" s="51">
        <f>EJ32*EN$30</f>
        <v>176053.50000000003</v>
      </c>
      <c r="EO32" s="54"/>
      <c r="EP32" s="51">
        <f>EL32*$EP$30</f>
        <v>1.7605350000000004</v>
      </c>
      <c r="EQ32" s="51">
        <f>EM32*$EQ$30</f>
        <v>0</v>
      </c>
      <c r="ER32" s="51">
        <f>EN32*ER$30</f>
        <v>176053.50000000003</v>
      </c>
      <c r="ES32" s="54"/>
      <c r="ET32" s="51">
        <f t="shared" ref="ET32:ET40" si="438">EP32*$ET$30</f>
        <v>1.7605350000000004</v>
      </c>
      <c r="EU32" s="51">
        <f t="shared" ref="EU32:EU40" si="439">EQ32*$EU$30</f>
        <v>0</v>
      </c>
      <c r="EV32" s="51">
        <f>ER32*EV$30</f>
        <v>176053.50000000003</v>
      </c>
      <c r="EW32" s="54"/>
      <c r="EX32" s="51">
        <f>ET32*$EX$30</f>
        <v>1.7605350000000004</v>
      </c>
      <c r="EY32" s="51">
        <f>EU32*$EY$30</f>
        <v>0</v>
      </c>
      <c r="EZ32" s="51">
        <f>EV32*EZ$30</f>
        <v>176053.50000000003</v>
      </c>
      <c r="FA32" s="54"/>
      <c r="FB32" s="51">
        <f>EX32*$FB$30</f>
        <v>1.7605350000000004</v>
      </c>
      <c r="FC32" s="51">
        <f>EY32*$FC$30</f>
        <v>0</v>
      </c>
      <c r="FD32" s="51">
        <f>EZ32*FD$30</f>
        <v>176053.50000000003</v>
      </c>
      <c r="FE32" s="54"/>
      <c r="FF32" s="51">
        <f>FB32*$FF$30</f>
        <v>1.7605350000000004</v>
      </c>
      <c r="FG32" s="51">
        <f>FC32*$FG$30</f>
        <v>0</v>
      </c>
      <c r="FH32" s="51">
        <f>FD32*FH$30</f>
        <v>176053.50000000003</v>
      </c>
      <c r="FI32" s="54"/>
      <c r="FJ32" s="51">
        <f>FF32*$FJ$30</f>
        <v>2.2886955000000007</v>
      </c>
      <c r="FK32" s="51">
        <f>FG32*$FK$30</f>
        <v>0</v>
      </c>
      <c r="FL32" s="51">
        <f>FH32*FL$30</f>
        <v>176053.50000000003</v>
      </c>
      <c r="FM32" s="54"/>
      <c r="FN32" s="51">
        <f>FJ32*$FN$30</f>
        <v>2.2886955000000007</v>
      </c>
      <c r="FO32" s="51">
        <f>FK32*$FO$30</f>
        <v>0</v>
      </c>
      <c r="FP32" s="51">
        <f>FL32*FP$30</f>
        <v>176053.50000000003</v>
      </c>
      <c r="FQ32" s="54"/>
      <c r="FR32" s="51">
        <f>FN32*$FR$30</f>
        <v>2.2886955000000007</v>
      </c>
      <c r="FS32" s="51">
        <f>FO32*$FS$30</f>
        <v>0</v>
      </c>
      <c r="FT32" s="51">
        <f>FP32*FT$30</f>
        <v>176053.50000000003</v>
      </c>
      <c r="FU32" s="54"/>
      <c r="FV32" s="51">
        <f>FR32*$FV$30</f>
        <v>2.2886955000000007</v>
      </c>
      <c r="FW32" s="51">
        <f>FS32*$FW$30</f>
        <v>0</v>
      </c>
      <c r="FX32" s="51">
        <f>FT32*FX$30</f>
        <v>228869.55000000005</v>
      </c>
      <c r="FY32" s="54"/>
      <c r="FZ32" s="51">
        <f>FV32*$FZ$30</f>
        <v>2.2886955000000007</v>
      </c>
      <c r="GA32" s="51">
        <f>FW32*$GA$30</f>
        <v>0</v>
      </c>
      <c r="GB32" s="51">
        <f>FX32*GB$30</f>
        <v>228869.55000000005</v>
      </c>
      <c r="GC32" s="54"/>
      <c r="GD32" s="51">
        <f>FZ32*$GD$30</f>
        <v>2.2886955000000007</v>
      </c>
      <c r="GE32" s="51">
        <f>GA32*$GE$30</f>
        <v>0</v>
      </c>
      <c r="GF32" s="51">
        <f>GB32*GF$30</f>
        <v>228869.55000000005</v>
      </c>
      <c r="GG32" s="54"/>
      <c r="GH32" s="51">
        <f>GD32*$GH$30</f>
        <v>2.2886955000000007</v>
      </c>
      <c r="GI32" s="51">
        <f>GE32*$GI$30</f>
        <v>0</v>
      </c>
      <c r="GJ32" s="51">
        <f>GF32*GJ$30</f>
        <v>228869.55000000005</v>
      </c>
      <c r="GK32" s="54"/>
      <c r="GL32" s="51">
        <f>GH32*$GL$30</f>
        <v>2.2886955000000007</v>
      </c>
      <c r="GM32" s="51">
        <f>GI32*$GM$30</f>
        <v>0</v>
      </c>
      <c r="GN32" s="51">
        <f>GJ32*GN$30</f>
        <v>228869.55000000005</v>
      </c>
      <c r="GP32" s="51">
        <f t="shared" ref="GP32:GP40" si="440">GL32*$GP$30</f>
        <v>2.2886955000000007</v>
      </c>
      <c r="GQ32" s="51">
        <f t="shared" ref="GQ32:GQ40" si="441">GM32*$GQ$30</f>
        <v>0</v>
      </c>
      <c r="GR32" s="51">
        <f>GN32*GR$30</f>
        <v>228869.55000000005</v>
      </c>
      <c r="GS32" s="54"/>
      <c r="GT32" s="51">
        <f>GP32*$GT$30</f>
        <v>2.2886955000000007</v>
      </c>
      <c r="GU32" s="51">
        <f>GQ32*$GU$30</f>
        <v>0</v>
      </c>
      <c r="GV32" s="51">
        <f>GR32*GV$30</f>
        <v>228869.55000000005</v>
      </c>
      <c r="GW32" s="54"/>
      <c r="GX32" s="51">
        <f>GT32*$GX$30</f>
        <v>2.2886955000000007</v>
      </c>
      <c r="GY32" s="51">
        <f>GU32*$GY$30</f>
        <v>0</v>
      </c>
      <c r="GZ32" s="51">
        <f>GV32*GZ$30</f>
        <v>228869.55000000005</v>
      </c>
      <c r="HA32" s="54"/>
      <c r="HB32" s="51">
        <f>GX32*$HB$30</f>
        <v>2.2886955000000007</v>
      </c>
      <c r="HC32" s="51">
        <f>GY32*$HC$30</f>
        <v>0</v>
      </c>
      <c r="HD32" s="51">
        <f>GZ32*HD$30</f>
        <v>228869.55000000005</v>
      </c>
      <c r="HE32" s="54"/>
      <c r="HF32" s="51">
        <f>HB32*$HF$30</f>
        <v>2.975304150000001</v>
      </c>
      <c r="HG32" s="51">
        <f>HC32*$HG$30</f>
        <v>0</v>
      </c>
      <c r="HH32" s="51">
        <f>HD32*HH$30</f>
        <v>228869.55000000005</v>
      </c>
      <c r="HI32" s="54"/>
      <c r="HJ32" s="51">
        <f>HF32*$HJ$30</f>
        <v>2.975304150000001</v>
      </c>
      <c r="HK32" s="51">
        <f>HG32*$HK$30</f>
        <v>0</v>
      </c>
      <c r="HL32" s="51">
        <f>HH32*HL$30</f>
        <v>228869.55000000005</v>
      </c>
      <c r="HM32" s="54"/>
      <c r="HN32" s="51">
        <f>HJ32*$HN$30</f>
        <v>2.975304150000001</v>
      </c>
      <c r="HO32" s="51">
        <f>HK32*$HO$30</f>
        <v>0</v>
      </c>
      <c r="HP32" s="51">
        <f>HL32*HP$30</f>
        <v>228869.55000000005</v>
      </c>
      <c r="HQ32" s="54"/>
      <c r="HR32" s="51">
        <f>HN32*$HR$30</f>
        <v>2.975304150000001</v>
      </c>
      <c r="HS32" s="51">
        <f>HO32*$HS$30</f>
        <v>0</v>
      </c>
      <c r="HT32" s="51">
        <f>HP32*HT$30</f>
        <v>297530.4150000001</v>
      </c>
      <c r="HU32" s="54"/>
      <c r="HV32" s="51">
        <f>HR32*$HV$30</f>
        <v>2.975304150000001</v>
      </c>
      <c r="HW32" s="51">
        <f>HS32*$HW$30</f>
        <v>0</v>
      </c>
      <c r="HX32" s="51">
        <f>HT32*HX$30</f>
        <v>297530.4150000001</v>
      </c>
      <c r="HY32" s="54"/>
      <c r="HZ32" s="51">
        <f>HV32*$HZ$30</f>
        <v>2.975304150000001</v>
      </c>
      <c r="IA32" s="51">
        <f>HW32*$IA$30</f>
        <v>0</v>
      </c>
      <c r="IB32" s="51">
        <f>HX32*IB$30</f>
        <v>297530.4150000001</v>
      </c>
      <c r="IC32" s="54"/>
      <c r="ID32" s="51">
        <f>HZ32*$ID$30</f>
        <v>2.975304150000001</v>
      </c>
      <c r="IE32" s="51">
        <f>IA32*$IE$30</f>
        <v>0</v>
      </c>
      <c r="IF32" s="51">
        <f>IB32*IF$30</f>
        <v>297530.4150000001</v>
      </c>
      <c r="IG32" s="54"/>
      <c r="IH32" s="51">
        <f>ID32*$IH$30</f>
        <v>2.975304150000001</v>
      </c>
      <c r="II32" s="51">
        <f>IE32*$II$30</f>
        <v>0</v>
      </c>
      <c r="IJ32" s="51">
        <f>IF32*IJ$30</f>
        <v>297530.4150000001</v>
      </c>
      <c r="IL32" s="51">
        <f t="shared" ref="IL32:IL40" si="442">IH32*$IL$30</f>
        <v>2.975304150000001</v>
      </c>
      <c r="IM32" s="51">
        <f t="shared" ref="IM32:IM40" si="443">II32*$IM$30</f>
        <v>0</v>
      </c>
      <c r="IN32" s="51">
        <f>IJ32*IN$30</f>
        <v>297530.4150000001</v>
      </c>
      <c r="IO32" s="54"/>
      <c r="IP32" s="51">
        <f>IL32*$IP$30</f>
        <v>2.975304150000001</v>
      </c>
      <c r="IQ32" s="51">
        <f>IM32*$IQ$30</f>
        <v>0</v>
      </c>
      <c r="IR32" s="51">
        <f>IN32*IR$30</f>
        <v>297530.4150000001</v>
      </c>
      <c r="IS32" s="54"/>
      <c r="IT32" s="51">
        <f>IP32*$IT$30</f>
        <v>2.975304150000001</v>
      </c>
      <c r="IU32" s="51">
        <f>IQ32*$IU$30</f>
        <v>0</v>
      </c>
      <c r="IV32" s="51">
        <f>IR32*IV$30</f>
        <v>297530.4150000001</v>
      </c>
      <c r="IW32" s="54"/>
      <c r="IX32" s="51">
        <f>IT32*$IX$30</f>
        <v>2.975304150000001</v>
      </c>
      <c r="IY32" s="51">
        <f>IU32*$IY$30</f>
        <v>0</v>
      </c>
      <c r="IZ32" s="51">
        <f>IV32*IZ$30</f>
        <v>297530.4150000001</v>
      </c>
      <c r="JA32" s="54"/>
      <c r="JB32" s="51" t="e">
        <f>IX32*$JB$30</f>
        <v>#REF!</v>
      </c>
      <c r="JC32" s="51">
        <f>IY32*$JC$30</f>
        <v>0</v>
      </c>
      <c r="JD32" s="51">
        <f>IZ32*JD$30</f>
        <v>297530.4150000001</v>
      </c>
      <c r="JE32" s="54"/>
      <c r="JF32" s="51" t="e">
        <f>JB32*$JF$30</f>
        <v>#REF!</v>
      </c>
      <c r="JG32" s="51">
        <f>JC32*$JG$30</f>
        <v>0</v>
      </c>
      <c r="JH32" s="51">
        <f>JD32*JH$30</f>
        <v>297530.4150000001</v>
      </c>
      <c r="JI32" s="54"/>
      <c r="JJ32" s="51" t="e">
        <f>JF32*$JJ$30</f>
        <v>#REF!</v>
      </c>
      <c r="JK32" s="51">
        <f>JG32*$JK$30</f>
        <v>0</v>
      </c>
      <c r="JL32" s="51">
        <f>JH32*JL$30</f>
        <v>297530.4150000001</v>
      </c>
      <c r="JM32" s="54"/>
      <c r="JO32" s="80"/>
      <c r="JP32" s="80"/>
      <c r="JQ32" s="80">
        <f t="shared" ref="JQ32:JQ41" si="444">SUMIFS($F32:$JM32,$F$3:$JM$3,JO$5,$F$6:$JM$6,JQ$6)</f>
        <v>845200</v>
      </c>
      <c r="JS32" s="80"/>
      <c r="JT32" s="80"/>
      <c r="JU32" s="80">
        <f t="shared" ref="JU32:JU41" si="445">SUMIFS($F32:$JM32,$F$3:$JM$3,JS$5,$F$6:$JM$6,JU$6)</f>
        <v>966000</v>
      </c>
      <c r="JW32" s="80"/>
      <c r="JX32" s="80"/>
      <c r="JY32" s="80">
        <f t="shared" ref="JY32:JY41" si="446">SUMIFS($F32:$JM32,$F$3:$JM$3,JW$5,$F$6:$JM$6,JY$6)</f>
        <v>1564920.0000000002</v>
      </c>
      <c r="KA32" s="80"/>
      <c r="KB32" s="80"/>
      <c r="KC32" s="80">
        <f t="shared" ref="KC32:KC41" si="447">SUMIFS($F32:$JM32,$F$3:$JM$3,KA$5,$F$6:$JM$6,KC$6)</f>
        <v>2112642.0000000005</v>
      </c>
      <c r="KE32" s="80"/>
      <c r="KF32" s="80"/>
      <c r="KG32" s="80">
        <f t="shared" ref="KG32:KG41" si="448">SUMIFS($F32:$JM32,$F$3:$JM$3,KE$5,$F$6:$JM$6,KG$6)</f>
        <v>2746434.6000000006</v>
      </c>
      <c r="KI32" s="80"/>
      <c r="KJ32" s="80"/>
      <c r="KK32" s="80">
        <f t="shared" ref="KK32:KK41" si="449">SUMIFS($F32:$JM32,$F$3:$JM$3,KI$5,$F$6:$JM$6,KK$6)</f>
        <v>3570364.980000001</v>
      </c>
      <c r="KM32" s="80"/>
      <c r="KN32" s="80"/>
      <c r="KO32" s="80">
        <f t="shared" ref="KO32:KO41" si="450">SUMIFS($F32:$JM32,$F$3:$JM$3,KM$5,$F$6:$JM$6,KO$6)</f>
        <v>3570364.980000001</v>
      </c>
    </row>
    <row r="33" ht="18.75" customHeight="1" spans="2:301" x14ac:dyDescent="0.25">
      <c r="B33" s="5" t="str">
        <f>A.IIOPEX!C33</f>
        <v>3b</v>
      </c>
      <c r="C33" s="29"/>
      <c r="D33" s="29" t="str">
        <f>A.IIOPEX!E33</f>
        <v>Rent</v>
      </c>
      <c r="E33" s="30"/>
      <c r="F33" s="51">
        <v>1</v>
      </c>
      <c r="G33" s="51"/>
      <c r="H33" s="51">
        <f>A.IIOPEX!I33</f>
        <v>0</v>
      </c>
      <c r="I33" s="54"/>
      <c r="J33" s="51">
        <f t="shared" si="430"/>
        <v>0.92</v>
      </c>
      <c r="K33" s="51"/>
      <c r="L33" s="51">
        <f t="shared" ref="L33:L40" si="451">H33*L$30</f>
        <v>0</v>
      </c>
      <c r="M33" s="54"/>
      <c r="N33" s="51">
        <f t="shared" si="431"/>
        <v>0.92</v>
      </c>
      <c r="O33" s="51"/>
      <c r="P33" s="51">
        <f t="shared" ref="P33:P40" si="452">L33*P$30</f>
        <v>0</v>
      </c>
      <c r="Q33" s="54"/>
      <c r="R33" s="51">
        <f t="shared" si="432"/>
        <v>0.92</v>
      </c>
      <c r="S33" s="51"/>
      <c r="T33" s="51">
        <f t="shared" ref="T33:T40" si="453">P33*T$30</f>
        <v>0</v>
      </c>
      <c r="U33" s="54"/>
      <c r="V33" s="51">
        <f t="shared" si="433"/>
        <v>0.92</v>
      </c>
      <c r="W33" s="51"/>
      <c r="X33" s="51">
        <f t="shared" ref="X33:X40" si="454">T33*X$30</f>
        <v>0</v>
      </c>
      <c r="Y33" s="54"/>
      <c r="Z33" s="51">
        <f t="shared" si="434"/>
        <v>0.92</v>
      </c>
      <c r="AA33" s="51"/>
      <c r="AB33" s="51">
        <f t="shared" ref="AB33:AB40" si="455">X33*AB$30</f>
        <v>0</v>
      </c>
      <c r="AC33" s="54"/>
      <c r="AD33" s="51">
        <f t="shared" ref="AD33:AD40" si="456">Z33*$AD$30</f>
        <v>0.92</v>
      </c>
      <c r="AE33" s="51"/>
      <c r="AF33" s="51">
        <f t="shared" ref="AF33:AF40" si="457">AB33*AF$30</f>
        <v>0</v>
      </c>
      <c r="AG33" s="54"/>
      <c r="AH33" s="51">
        <f>AD33*$AH$30</f>
        <v>0.9660000000000001</v>
      </c>
      <c r="AI33" s="51"/>
      <c r="AJ33" s="51">
        <f t="shared" ref="AJ33:AJ40" si="458">AF33*AJ$30</f>
        <v>0</v>
      </c>
      <c r="AK33" s="54"/>
      <c r="AL33" s="51">
        <f>AH33*$AL$30</f>
        <v>0.9660000000000001</v>
      </c>
      <c r="AM33" s="51"/>
      <c r="AN33" s="51">
        <f t="shared" ref="AN33:AN40" si="459">AJ33*AN$30</f>
        <v>0</v>
      </c>
      <c r="AO33" s="54"/>
      <c r="AP33" s="51">
        <f>AL33*$AP$30</f>
        <v>0.9660000000000001</v>
      </c>
      <c r="AQ33" s="51"/>
      <c r="AR33" s="51">
        <f t="shared" ref="AR33:AR40" si="460">AN33*AR$30</f>
        <v>0</v>
      </c>
      <c r="AS33" s="54"/>
      <c r="AT33" s="51">
        <f>AP33*$AT$30</f>
        <v>0.9660000000000001</v>
      </c>
      <c r="AU33" s="51"/>
      <c r="AV33" s="51">
        <f t="shared" ref="AV33:AV40" si="461">AR33*AV$30</f>
        <v>0</v>
      </c>
      <c r="AW33" s="54"/>
      <c r="AX33" s="51">
        <f>AT33*$AX$30</f>
        <v>0.9660000000000001</v>
      </c>
      <c r="AY33" s="51"/>
      <c r="AZ33" s="51">
        <f t="shared" ref="AZ33:AZ40" si="462">AV33*AZ$30</f>
        <v>0</v>
      </c>
      <c r="BA33" s="54"/>
      <c r="BB33" s="51">
        <f t="shared" si="435"/>
        <v>0.9660000000000001</v>
      </c>
      <c r="BC33" s="51"/>
      <c r="BD33" s="51">
        <f t="shared" ref="BD33:BD40" si="463">AZ33*BD$30</f>
        <v>0</v>
      </c>
      <c r="BE33" s="54"/>
      <c r="BF33" s="51">
        <f t="shared" ref="BF33:BF36" si="464">BB33*$BF$30</f>
        <v>0.9660000000000001</v>
      </c>
      <c r="BG33" s="51"/>
      <c r="BH33" s="51">
        <f t="shared" ref="BH33:BH40" si="465">BD33*BH$30</f>
        <v>0</v>
      </c>
      <c r="BI33" s="54"/>
      <c r="BJ33" s="51">
        <f t="shared" ref="BJ33:BJ36" si="466">BF33*$BJ$30</f>
        <v>0.9660000000000001</v>
      </c>
      <c r="BK33" s="51">
        <f t="shared" ref="BK33:BK36" si="467">BG33*$BK$30</f>
        <v>0</v>
      </c>
      <c r="BL33" s="51">
        <f t="shared" ref="BL33:BL40" si="468">BH33*BL$30</f>
        <v>0</v>
      </c>
      <c r="BM33" s="54"/>
      <c r="BN33" s="51">
        <f t="shared" ref="BN33:BN36" si="469">BJ33*$BN$30</f>
        <v>0.9660000000000001</v>
      </c>
      <c r="BO33" s="51">
        <f t="shared" ref="BO33:BO36" si="470">BK33*$BO$30</f>
        <v>0</v>
      </c>
      <c r="BP33" s="51">
        <f t="shared" ref="BP33:BP40" si="471">BL33*BP$30</f>
        <v>0</v>
      </c>
      <c r="BQ33" s="54"/>
      <c r="BR33" s="51">
        <f t="shared" ref="BR33:BR36" si="472">BN33*$BR$30</f>
        <v>0.9660000000000001</v>
      </c>
      <c r="BS33" s="51">
        <f t="shared" ref="BS33:BS36" si="473">BO33*$BS$30</f>
        <v>0</v>
      </c>
      <c r="BT33" s="51">
        <f t="shared" ref="BT33:BT40" si="474">BP33*BT$30</f>
        <v>0</v>
      </c>
      <c r="BU33" s="54"/>
      <c r="BV33" s="51">
        <f t="shared" ref="BV33:BV36" si="475">BR33*$BV$30</f>
        <v>0.9660000000000001</v>
      </c>
      <c r="BW33" s="51">
        <f t="shared" ref="BW33:BW36" si="476">BS33*$BW$30</f>
        <v>0</v>
      </c>
      <c r="BX33" s="51">
        <f t="shared" ref="BX33:BX40" si="477">BT33*BX$30</f>
        <v>0</v>
      </c>
      <c r="BY33" s="54"/>
      <c r="BZ33" s="51">
        <f t="shared" ref="BZ33:BZ36" si="478">BV33*$BZ$30</f>
        <v>0.9660000000000001</v>
      </c>
      <c r="CA33" s="51">
        <f t="shared" ref="CA33:CA36" si="479">BW33*$CA$30</f>
        <v>0</v>
      </c>
      <c r="CB33" s="51">
        <f t="shared" ref="CB33:CB40" si="480">BX33*CB$30</f>
        <v>0</v>
      </c>
      <c r="CC33" s="54"/>
      <c r="CD33" s="51">
        <f t="shared" ref="CD33:CD36" si="481">BZ33*$CD$30</f>
        <v>1.3041000000000003</v>
      </c>
      <c r="CE33" s="51">
        <f t="shared" ref="CE33:CE36" si="482">CA33*$CE$30</f>
        <v>0</v>
      </c>
      <c r="CF33" s="51">
        <f t="shared" ref="CF33:CF40" si="483">CB33*CF$30</f>
        <v>0</v>
      </c>
      <c r="CG33" s="54"/>
      <c r="CH33" s="51">
        <f t="shared" ref="CH33:CH36" si="484">CD33*$CH$30</f>
        <v>1.3041000000000003</v>
      </c>
      <c r="CI33" s="51">
        <f t="shared" ref="CI33:CI36" si="485">CE33*$CI$30</f>
        <v>0</v>
      </c>
      <c r="CJ33" s="51">
        <f t="shared" ref="CJ33:CJ40" si="486">CF33*CJ$30</f>
        <v>0</v>
      </c>
      <c r="CK33" s="54"/>
      <c r="CL33" s="51">
        <f t="shared" ref="CL33:CL36" si="487">CH33*$CL$30</f>
        <v>1.3041000000000003</v>
      </c>
      <c r="CM33" s="51">
        <f t="shared" ref="CM33:CM36" si="488">CI33*$CM$30</f>
        <v>0</v>
      </c>
      <c r="CN33" s="51">
        <f t="shared" ref="CN33:CN40" si="489">CJ33*CN$30</f>
        <v>0</v>
      </c>
      <c r="CO33" s="54"/>
      <c r="CP33" s="51">
        <f t="shared" ref="CP33:CP36" si="490">CL33*$CP$30</f>
        <v>1.3041000000000003</v>
      </c>
      <c r="CQ33" s="51">
        <f t="shared" ref="CQ33:CQ36" si="491">CM33*$CQ$30</f>
        <v>0</v>
      </c>
      <c r="CR33" s="51">
        <f t="shared" ref="CR33:CR40" si="492">CN33*CR$30</f>
        <v>0</v>
      </c>
      <c r="CS33" s="54"/>
      <c r="CT33" s="51">
        <f t="shared" ref="CT33:CT36" si="493">CP33*$CT$30</f>
        <v>1.3041000000000003</v>
      </c>
      <c r="CU33" s="51">
        <f t="shared" ref="CU33:CU36" si="494">CQ33*$CU$30</f>
        <v>0</v>
      </c>
      <c r="CV33" s="51">
        <f t="shared" ref="CV33:CV40" si="495">CR33*CV$30</f>
        <v>0</v>
      </c>
      <c r="CW33" s="54"/>
      <c r="CX33" s="51">
        <f t="shared" si="436"/>
        <v>1.3041000000000003</v>
      </c>
      <c r="CY33" s="51">
        <f t="shared" si="437"/>
        <v>0</v>
      </c>
      <c r="CZ33" s="51">
        <f t="shared" ref="CZ33:CZ40" si="496">CV33*CZ$30</f>
        <v>0</v>
      </c>
      <c r="DA33" s="54"/>
      <c r="DB33" s="51">
        <f t="shared" ref="DB33:DB36" si="497">CX33*$DB$30</f>
        <v>1.3041000000000003</v>
      </c>
      <c r="DC33" s="51">
        <f t="shared" ref="DC33:DC36" si="498">CY33*$DC$30</f>
        <v>0</v>
      </c>
      <c r="DD33" s="51">
        <f t="shared" ref="DD33:DD40" si="499">CZ33*DD$30</f>
        <v>0</v>
      </c>
      <c r="DE33" s="54"/>
      <c r="DF33" s="51">
        <f t="shared" ref="DF33:DF36" si="500">DB33*$DF$30</f>
        <v>1.3041000000000003</v>
      </c>
      <c r="DG33" s="51">
        <f t="shared" ref="DG33:DG36" si="501">DC33*$DG$30</f>
        <v>0</v>
      </c>
      <c r="DH33" s="51">
        <f t="shared" ref="DH33:DH40" si="502">DD33*DH$30</f>
        <v>0</v>
      </c>
      <c r="DI33" s="54"/>
      <c r="DJ33" s="51">
        <f t="shared" ref="DJ33:DJ36" si="503">DF33*$DJ$30</f>
        <v>1.3041000000000003</v>
      </c>
      <c r="DK33" s="51">
        <f t="shared" ref="DK33:DK36" si="504">DG33*$DK$30</f>
        <v>0</v>
      </c>
      <c r="DL33" s="51">
        <f t="shared" ref="DL33:DL40" si="505">DH33*DL$30</f>
        <v>0</v>
      </c>
      <c r="DM33" s="54"/>
      <c r="DN33" s="51">
        <f t="shared" ref="DN33:DN36" si="506">DJ33*$DN$30</f>
        <v>1.3041000000000003</v>
      </c>
      <c r="DO33" s="51">
        <f t="shared" ref="DO33:DO36" si="507">DK33*$DO$30</f>
        <v>0</v>
      </c>
      <c r="DP33" s="51">
        <f t="shared" ref="DP33:DP40" si="508">DL33*DP$30</f>
        <v>0</v>
      </c>
      <c r="DQ33" s="54"/>
      <c r="DR33" s="51">
        <f t="shared" ref="DR33:DR36" si="509">DN33*$DR$30</f>
        <v>1.3041000000000003</v>
      </c>
      <c r="DS33" s="51">
        <f t="shared" ref="DS33:DS36" si="510">DO33*$DS$30</f>
        <v>0</v>
      </c>
      <c r="DT33" s="51">
        <f t="shared" ref="DT33:DT40" si="511">DP33*DT$30</f>
        <v>0</v>
      </c>
      <c r="DU33" s="54"/>
      <c r="DV33" s="51">
        <f t="shared" ref="DV33:DV36" si="512">DR33*$DV$30</f>
        <v>1.3041000000000003</v>
      </c>
      <c r="DW33" s="51">
        <f t="shared" ref="DW33:DW36" si="513">DS33*$DW$30</f>
        <v>0</v>
      </c>
      <c r="DX33" s="51">
        <f t="shared" ref="DX33:DX40" si="514">DT33*DX$30</f>
        <v>0</v>
      </c>
      <c r="DY33" s="54"/>
      <c r="DZ33" s="51">
        <f t="shared" ref="DZ33:DZ36" si="515">DV33*$DZ$30</f>
        <v>1.7605350000000004</v>
      </c>
      <c r="EA33" s="51">
        <f t="shared" ref="EA33:EA36" si="516">DW33*$EA$30</f>
        <v>0</v>
      </c>
      <c r="EB33" s="51">
        <f t="shared" ref="EB33:EB40" si="517">DX33*EB$30</f>
        <v>0</v>
      </c>
      <c r="EC33" s="54"/>
      <c r="ED33" s="51">
        <f t="shared" ref="ED33:ED36" si="518">DZ33*$ED$30</f>
        <v>1.7605350000000004</v>
      </c>
      <c r="EE33" s="51">
        <f t="shared" ref="EE33:EE36" si="519">EA33*$EE$30</f>
        <v>0</v>
      </c>
      <c r="EF33" s="51">
        <f t="shared" ref="EF33:EF40" si="520">EB33*EF$30</f>
        <v>0</v>
      </c>
      <c r="EG33" s="54"/>
      <c r="EH33" s="51">
        <f t="shared" ref="EH33:EH36" si="521">ED33*$EH$30</f>
        <v>1.7605350000000004</v>
      </c>
      <c r="EI33" s="51">
        <f t="shared" ref="EI33:EI36" si="522">EE33*$EI$30</f>
        <v>0</v>
      </c>
      <c r="EJ33" s="51">
        <f t="shared" ref="EJ33:EJ40" si="523">EF33*EJ$30</f>
        <v>0</v>
      </c>
      <c r="EK33" s="54"/>
      <c r="EL33" s="51">
        <f t="shared" ref="EL33:EL36" si="524">EH33*$EL$30</f>
        <v>1.7605350000000004</v>
      </c>
      <c r="EM33" s="51">
        <f t="shared" ref="EM33:EM36" si="525">EI33*$EM$30</f>
        <v>0</v>
      </c>
      <c r="EN33" s="51">
        <f t="shared" ref="EN33:EN40" si="526">EJ33*EN$30</f>
        <v>0</v>
      </c>
      <c r="EO33" s="54"/>
      <c r="EP33" s="51">
        <f t="shared" ref="EP33:EP36" si="527">EL33*$EP$30</f>
        <v>1.7605350000000004</v>
      </c>
      <c r="EQ33" s="51">
        <f t="shared" ref="EQ33:EQ36" si="528">EM33*$EQ$30</f>
        <v>0</v>
      </c>
      <c r="ER33" s="51">
        <f t="shared" ref="ER33:ER40" si="529">EN33*ER$30</f>
        <v>0</v>
      </c>
      <c r="ES33" s="54"/>
      <c r="ET33" s="51">
        <f t="shared" si="438"/>
        <v>1.7605350000000004</v>
      </c>
      <c r="EU33" s="51">
        <f t="shared" si="439"/>
        <v>0</v>
      </c>
      <c r="EV33" s="51">
        <f t="shared" ref="EV33:EV40" si="530">ER33*EV$30</f>
        <v>0</v>
      </c>
      <c r="EW33" s="54"/>
      <c r="EX33" s="51">
        <f t="shared" ref="EX33:EX36" si="531">ET33*$EX$30</f>
        <v>1.7605350000000004</v>
      </c>
      <c r="EY33" s="51">
        <f t="shared" ref="EY33:EY36" si="532">EU33*$EY$30</f>
        <v>0</v>
      </c>
      <c r="EZ33" s="51">
        <f t="shared" ref="EZ33:EZ40" si="533">EV33*EZ$30</f>
        <v>0</v>
      </c>
      <c r="FA33" s="54"/>
      <c r="FB33" s="51">
        <f t="shared" ref="FB33:FB36" si="534">EX33*$FB$30</f>
        <v>1.7605350000000004</v>
      </c>
      <c r="FC33" s="51">
        <f t="shared" ref="FC33:FC36" si="535">EY33*$FC$30</f>
        <v>0</v>
      </c>
      <c r="FD33" s="51">
        <f t="shared" ref="FD33:FD40" si="536">EZ33*FD$30</f>
        <v>0</v>
      </c>
      <c r="FE33" s="54"/>
      <c r="FF33" s="51">
        <f t="shared" ref="FF33:FF36" si="537">FB33*$FF$30</f>
        <v>1.7605350000000004</v>
      </c>
      <c r="FG33" s="51">
        <f t="shared" ref="FG33:FG36" si="538">FC33*$FG$30</f>
        <v>0</v>
      </c>
      <c r="FH33" s="51">
        <f t="shared" ref="FH33:FH40" si="539">FD33*FH$30</f>
        <v>0</v>
      </c>
      <c r="FI33" s="54"/>
      <c r="FJ33" s="51">
        <f>FF33*$FJ$30</f>
        <v>2.2886955000000007</v>
      </c>
      <c r="FK33" s="51">
        <f>FG33*$FK$30</f>
        <v>0</v>
      </c>
      <c r="FL33" s="51">
        <f t="shared" ref="FL33:FL40" si="540">FH33*FL$30</f>
        <v>0</v>
      </c>
      <c r="FM33" s="54"/>
      <c r="FN33" s="51">
        <f t="shared" ref="FN33:FN36" si="541">FJ33*$FN$30</f>
        <v>2.2886955000000007</v>
      </c>
      <c r="FO33" s="51">
        <f t="shared" ref="FO33:FO36" si="542">FK33*$FO$30</f>
        <v>0</v>
      </c>
      <c r="FP33" s="51">
        <f t="shared" ref="FP33:FP40" si="543">FL33*FP$30</f>
        <v>0</v>
      </c>
      <c r="FQ33" s="54"/>
      <c r="FR33" s="51">
        <f t="shared" ref="FR33" si="544">FN33*$FR$30</f>
        <v>2.2886955000000007</v>
      </c>
      <c r="FS33" s="51">
        <f t="shared" ref="FS33" si="545">FO33*$FS$30</f>
        <v>0</v>
      </c>
      <c r="FT33" s="51">
        <f t="shared" ref="FT33:FT40" si="546">FP33*FT$30</f>
        <v>0</v>
      </c>
      <c r="FU33" s="54"/>
      <c r="FV33" s="51">
        <f t="shared" ref="FV33:FV36" si="547">FR33*$FV$30</f>
        <v>2.2886955000000007</v>
      </c>
      <c r="FW33" s="51">
        <f t="shared" ref="FW33:FW36" si="548">FS33*$FW$30</f>
        <v>0</v>
      </c>
      <c r="FX33" s="51">
        <f t="shared" ref="FX33:FX40" si="549">FT33*FX$30</f>
        <v>0</v>
      </c>
      <c r="FY33" s="54"/>
      <c r="FZ33" s="51">
        <f t="shared" ref="FZ33:FZ36" si="550">FV33*$FZ$30</f>
        <v>2.2886955000000007</v>
      </c>
      <c r="GA33" s="51">
        <f t="shared" ref="GA33:GA36" si="551">FW33*$GA$30</f>
        <v>0</v>
      </c>
      <c r="GB33" s="51">
        <f t="shared" ref="GB33:GB40" si="552">FX33*GB$30</f>
        <v>0</v>
      </c>
      <c r="GC33" s="54"/>
      <c r="GD33" s="51">
        <f t="shared" ref="GD33:GD36" si="553">FZ33*$GD$30</f>
        <v>2.2886955000000007</v>
      </c>
      <c r="GE33" s="51">
        <f t="shared" ref="GE33:GE36" si="554">GA33*$GE$30</f>
        <v>0</v>
      </c>
      <c r="GF33" s="51">
        <f t="shared" ref="GF33:GF40" si="555">GB33*GF$30</f>
        <v>0</v>
      </c>
      <c r="GG33" s="54"/>
      <c r="GH33" s="51">
        <f t="shared" ref="GH33:GH36" si="556">GD33*$GH$30</f>
        <v>2.2886955000000007</v>
      </c>
      <c r="GI33" s="51">
        <f t="shared" ref="GI33:GI36" si="557">GE33*$GI$30</f>
        <v>0</v>
      </c>
      <c r="GJ33" s="51">
        <f t="shared" ref="GJ33:GJ40" si="558">GF33*GJ$30</f>
        <v>0</v>
      </c>
      <c r="GK33" s="54"/>
      <c r="GL33" s="51">
        <f t="shared" ref="GL33:GL36" si="559">GH33*$GL$30</f>
        <v>2.2886955000000007</v>
      </c>
      <c r="GM33" s="51">
        <f t="shared" ref="GM33:GM36" si="560">GI33*$GM$30</f>
        <v>0</v>
      </c>
      <c r="GN33" s="51">
        <f t="shared" ref="GN33:GN40" si="561">GJ33*GN$30</f>
        <v>0</v>
      </c>
      <c r="GP33" s="51">
        <f t="shared" si="440"/>
        <v>2.2886955000000007</v>
      </c>
      <c r="GQ33" s="51">
        <f t="shared" si="441"/>
        <v>0</v>
      </c>
      <c r="GR33" s="51">
        <f t="shared" ref="GR33:GR40" si="562">GN33*GR$30</f>
        <v>0</v>
      </c>
      <c r="GS33" s="54"/>
      <c r="GT33" s="51">
        <f>GP33*$GT$30</f>
        <v>2.2886955000000007</v>
      </c>
      <c r="GU33" s="51">
        <f t="shared" ref="GU33" si="563">GQ33*$GU$30</f>
        <v>0</v>
      </c>
      <c r="GV33" s="51">
        <f t="shared" ref="GV33:GV40" si="564">GR33*GV$30</f>
        <v>0</v>
      </c>
      <c r="GW33" s="54"/>
      <c r="GX33" s="51">
        <f t="shared" ref="GX33:GX36" si="565">GT33*$GX$30</f>
        <v>2.2886955000000007</v>
      </c>
      <c r="GY33" s="51">
        <f t="shared" ref="GY33:GY36" si="566">GU33*$GY$30</f>
        <v>0</v>
      </c>
      <c r="GZ33" s="51">
        <f t="shared" ref="GZ33:GZ40" si="567">GV33*GZ$30</f>
        <v>0</v>
      </c>
      <c r="HA33" s="54"/>
      <c r="HB33" s="51">
        <f t="shared" ref="HB33:HB36" si="568">GX33*$HB$30</f>
        <v>2.2886955000000007</v>
      </c>
      <c r="HC33" s="51">
        <f t="shared" ref="HC33" si="569">GY33*$HC$30</f>
        <v>0</v>
      </c>
      <c r="HD33" s="51">
        <f t="shared" ref="HD33:HD40" si="570">GZ33*HD$30</f>
        <v>0</v>
      </c>
      <c r="HE33" s="54"/>
      <c r="HF33" s="51">
        <f t="shared" ref="HF33:HF36" si="571">HB33*$HF$30</f>
        <v>2.975304150000001</v>
      </c>
      <c r="HG33" s="51">
        <f t="shared" ref="HG33:HG36" si="572">HC33*$HG$30</f>
        <v>0</v>
      </c>
      <c r="HH33" s="51">
        <f t="shared" ref="HH33:HH40" si="573">HD33*HH$30</f>
        <v>0</v>
      </c>
      <c r="HI33" s="54"/>
      <c r="HJ33" s="51">
        <f t="shared" ref="HJ33:HJ36" si="574">HF33*$HJ$30</f>
        <v>2.975304150000001</v>
      </c>
      <c r="HK33" s="51">
        <f t="shared" ref="HK33:HK36" si="575">HG33*$HK$30</f>
        <v>0</v>
      </c>
      <c r="HL33" s="51">
        <f t="shared" ref="HL33:HL40" si="576">HH33*HL$30</f>
        <v>0</v>
      </c>
      <c r="HM33" s="54"/>
      <c r="HN33" s="51">
        <f t="shared" ref="HN33:HN36" si="577">HJ33*$HN$30</f>
        <v>2.975304150000001</v>
      </c>
      <c r="HO33" s="51">
        <f t="shared" ref="HO33:HO36" si="578">HK33*$HO$30</f>
        <v>0</v>
      </c>
      <c r="HP33" s="51">
        <f t="shared" ref="HP33:HP40" si="579">HL33*HP$30</f>
        <v>0</v>
      </c>
      <c r="HQ33" s="54"/>
      <c r="HR33" s="51">
        <f t="shared" ref="HR33:HR36" si="580">HN33*$HR$30</f>
        <v>2.975304150000001</v>
      </c>
      <c r="HS33" s="51">
        <f t="shared" ref="HS33:HS36" si="581">HO33*$HS$30</f>
        <v>0</v>
      </c>
      <c r="HT33" s="51">
        <f t="shared" ref="HT33:HT40" si="582">HP33*HT$30</f>
        <v>0</v>
      </c>
      <c r="HU33" s="54"/>
      <c r="HV33" s="51">
        <f t="shared" ref="HV33:HV36" si="583">HR33*$HV$30</f>
        <v>2.975304150000001</v>
      </c>
      <c r="HW33" s="51">
        <f t="shared" ref="HW33:HW36" si="584">HS33*$HW$30</f>
        <v>0</v>
      </c>
      <c r="HX33" s="51">
        <f t="shared" ref="HX33:HX40" si="585">HT33*HX$30</f>
        <v>0</v>
      </c>
      <c r="HY33" s="54"/>
      <c r="HZ33" s="51">
        <f t="shared" ref="HZ33:HZ36" si="586">HV33*$HZ$30</f>
        <v>2.975304150000001</v>
      </c>
      <c r="IA33" s="51">
        <f t="shared" ref="IA33:IA36" si="587">HW33*$IA$30</f>
        <v>0</v>
      </c>
      <c r="IB33" s="51">
        <f t="shared" ref="IB33:IB40" si="588">HX33*IB$30</f>
        <v>0</v>
      </c>
      <c r="IC33" s="54"/>
      <c r="ID33" s="51">
        <f t="shared" ref="ID33:ID36" si="589">HZ33*$ID$30</f>
        <v>2.975304150000001</v>
      </c>
      <c r="IE33" s="51">
        <f t="shared" ref="IE33:IE36" si="590">IA33*$IE$30</f>
        <v>0</v>
      </c>
      <c r="IF33" s="51">
        <f t="shared" ref="IF33:IF40" si="591">IB33*IF$30</f>
        <v>0</v>
      </c>
      <c r="IG33" s="54"/>
      <c r="IH33" s="51">
        <f t="shared" ref="IH33:IH36" si="592">ID33*$IH$30</f>
        <v>2.975304150000001</v>
      </c>
      <c r="II33" s="51">
        <f t="shared" ref="II33:II36" si="593">IE33*$II$30</f>
        <v>0</v>
      </c>
      <c r="IJ33" s="51">
        <f t="shared" ref="IJ33:IJ40" si="594">IF33*IJ$30</f>
        <v>0</v>
      </c>
      <c r="IL33" s="51">
        <f t="shared" si="442"/>
        <v>2.975304150000001</v>
      </c>
      <c r="IM33" s="51">
        <f t="shared" si="443"/>
        <v>0</v>
      </c>
      <c r="IN33" s="51">
        <f t="shared" ref="IN33:IN40" si="595">IJ33*IN$30</f>
        <v>0</v>
      </c>
      <c r="IO33" s="54"/>
      <c r="IP33" s="51">
        <f t="shared" ref="IP33:IP36" si="596">IL33*$IP$30</f>
        <v>2.975304150000001</v>
      </c>
      <c r="IQ33" s="51">
        <f t="shared" ref="IQ33:IQ36" si="597">IM33*$IQ$30</f>
        <v>0</v>
      </c>
      <c r="IR33" s="51">
        <f t="shared" ref="IR33:IR40" si="598">IN33*IR$30</f>
        <v>0</v>
      </c>
      <c r="IS33" s="54"/>
      <c r="IT33" s="51">
        <f t="shared" ref="IT33:IT36" si="599">IP33*$IT$30</f>
        <v>2.975304150000001</v>
      </c>
      <c r="IU33" s="51">
        <f t="shared" ref="IU33:IU36" si="600">IQ33*$IU$30</f>
        <v>0</v>
      </c>
      <c r="IV33" s="51">
        <f t="shared" ref="IV33:IV40" si="601">IR33*IV$30</f>
        <v>0</v>
      </c>
      <c r="IW33" s="54"/>
      <c r="IX33" s="51">
        <f t="shared" ref="IX33:IX36" si="602">IT33*$IX$30</f>
        <v>2.975304150000001</v>
      </c>
      <c r="IY33" s="51">
        <f t="shared" ref="IY33:IY36" si="603">IU33*$IY$30</f>
        <v>0</v>
      </c>
      <c r="IZ33" s="51">
        <f t="shared" ref="IZ33:IZ40" si="604">IV33*IZ$30</f>
        <v>0</v>
      </c>
      <c r="JA33" s="54"/>
      <c r="JB33" s="51" t="e">
        <f t="shared" ref="JB33:JB36" si="605">IX33*$JB$30</f>
        <v>#REF!</v>
      </c>
      <c r="JC33" s="51">
        <f t="shared" ref="JC33:JC36" si="606">IY33*$JC$30</f>
        <v>0</v>
      </c>
      <c r="JD33" s="51">
        <f t="shared" ref="JD33:JD40" si="607">IZ33*JD$30</f>
        <v>0</v>
      </c>
      <c r="JE33" s="54"/>
      <c r="JF33" s="51" t="e">
        <f t="shared" ref="JF33:JF36" si="608">JB33*$JF$30</f>
        <v>#REF!</v>
      </c>
      <c r="JG33" s="51">
        <f t="shared" ref="JG33:JG36" si="609">JC33*$JG$30</f>
        <v>0</v>
      </c>
      <c r="JH33" s="51">
        <f t="shared" ref="JH33:JH40" si="610">JD33*JH$30</f>
        <v>0</v>
      </c>
      <c r="JI33" s="54"/>
      <c r="JJ33" s="51" t="e">
        <f>JF33*$JJ$30</f>
        <v>#REF!</v>
      </c>
      <c r="JK33" s="51">
        <f t="shared" ref="JK33:JK36" si="611">JG33*$JK$30</f>
        <v>0</v>
      </c>
      <c r="JL33" s="51">
        <f t="shared" ref="JL33:JL40" si="612">JH33*JL$30</f>
        <v>0</v>
      </c>
      <c r="JM33" s="54"/>
      <c r="JO33" s="80"/>
      <c r="JP33" s="80"/>
      <c r="JQ33" s="80">
        <f t="shared" si="444"/>
        <v>0</v>
      </c>
      <c r="JS33" s="80"/>
      <c r="JT33" s="80"/>
      <c r="JU33" s="80">
        <f t="shared" si="445"/>
        <v>0</v>
      </c>
      <c r="JW33" s="80"/>
      <c r="JX33" s="80"/>
      <c r="JY33" s="80">
        <f t="shared" si="446"/>
        <v>0</v>
      </c>
      <c r="KA33" s="80"/>
      <c r="KB33" s="80"/>
      <c r="KC33" s="80">
        <f t="shared" si="447"/>
        <v>0</v>
      </c>
      <c r="KE33" s="80"/>
      <c r="KF33" s="80"/>
      <c r="KG33" s="80">
        <f t="shared" si="448"/>
        <v>0</v>
      </c>
      <c r="KI33" s="80"/>
      <c r="KJ33" s="80"/>
      <c r="KK33" s="80">
        <f t="shared" si="449"/>
        <v>0</v>
      </c>
      <c r="KM33" s="80"/>
      <c r="KN33" s="80"/>
      <c r="KO33" s="80">
        <f t="shared" si="450"/>
        <v>0</v>
      </c>
    </row>
    <row r="34" ht="18.75" customHeight="1" spans="2:301" x14ac:dyDescent="0.25">
      <c r="B34" s="5" t="str">
        <f>A.IIOPEX!C34</f>
        <v>3c</v>
      </c>
      <c r="C34" s="29"/>
      <c r="D34" s="29" t="str">
        <f>A.IIOPEX!E34</f>
        <v>Power/ Electricity</v>
      </c>
      <c r="E34" s="30"/>
      <c r="F34" s="51">
        <v>1</v>
      </c>
      <c r="G34" s="51"/>
      <c r="H34" s="51">
        <f>A.IIOPEX!I34</f>
        <v>0</v>
      </c>
      <c r="I34" s="54"/>
      <c r="J34" s="51">
        <f t="shared" si="430"/>
        <v>0.92</v>
      </c>
      <c r="K34" s="51"/>
      <c r="L34" s="51">
        <f t="shared" si="451"/>
        <v>0</v>
      </c>
      <c r="M34" s="54"/>
      <c r="N34" s="51">
        <f t="shared" si="431"/>
        <v>0.92</v>
      </c>
      <c r="O34" s="51"/>
      <c r="P34" s="51">
        <f t="shared" si="452"/>
        <v>0</v>
      </c>
      <c r="Q34" s="54"/>
      <c r="R34" s="51">
        <f t="shared" si="432"/>
        <v>0.92</v>
      </c>
      <c r="S34" s="51"/>
      <c r="T34" s="51">
        <f t="shared" si="453"/>
        <v>0</v>
      </c>
      <c r="U34" s="54"/>
      <c r="V34" s="51">
        <f t="shared" si="433"/>
        <v>0.92</v>
      </c>
      <c r="W34" s="51"/>
      <c r="X34" s="51">
        <f t="shared" si="454"/>
        <v>0</v>
      </c>
      <c r="Y34" s="54"/>
      <c r="Z34" s="51">
        <f t="shared" si="434"/>
        <v>0.92</v>
      </c>
      <c r="AA34" s="51"/>
      <c r="AB34" s="51">
        <f t="shared" si="455"/>
        <v>0</v>
      </c>
      <c r="AC34" s="54"/>
      <c r="AD34" s="51">
        <f t="shared" si="456"/>
        <v>0.92</v>
      </c>
      <c r="AE34" s="51"/>
      <c r="AF34" s="51">
        <f t="shared" si="457"/>
        <v>0</v>
      </c>
      <c r="AG34" s="54"/>
      <c r="AH34" s="51">
        <f>AD34*$AH$30</f>
        <v>0.9660000000000001</v>
      </c>
      <c r="AI34" s="51"/>
      <c r="AJ34" s="51">
        <f t="shared" si="458"/>
        <v>0</v>
      </c>
      <c r="AK34" s="54"/>
      <c r="AL34" s="51">
        <f>AH34*$AL$30</f>
        <v>0.9660000000000001</v>
      </c>
      <c r="AM34" s="51"/>
      <c r="AN34" s="51">
        <f t="shared" si="459"/>
        <v>0</v>
      </c>
      <c r="AO34" s="54"/>
      <c r="AP34" s="51">
        <f>AL34*$AP$30</f>
        <v>0.9660000000000001</v>
      </c>
      <c r="AQ34" s="51"/>
      <c r="AR34" s="51">
        <f t="shared" si="460"/>
        <v>0</v>
      </c>
      <c r="AS34" s="54"/>
      <c r="AT34" s="51">
        <f t="shared" ref="AT34:AT35" si="613">AP34*$AT$30</f>
        <v>0.9660000000000001</v>
      </c>
      <c r="AU34" s="51"/>
      <c r="AV34" s="51">
        <f t="shared" si="461"/>
        <v>0</v>
      </c>
      <c r="AW34" s="54"/>
      <c r="AX34" s="51">
        <f t="shared" ref="AX34:AX36" si="614">AT34*$AX$30</f>
        <v>0.9660000000000001</v>
      </c>
      <c r="AY34" s="51"/>
      <c r="AZ34" s="51">
        <f t="shared" si="462"/>
        <v>0</v>
      </c>
      <c r="BA34" s="54"/>
      <c r="BB34" s="51">
        <f t="shared" si="435"/>
        <v>0.9660000000000001</v>
      </c>
      <c r="BC34" s="51"/>
      <c r="BD34" s="51">
        <f t="shared" si="463"/>
        <v>0</v>
      </c>
      <c r="BE34" s="54"/>
      <c r="BF34" s="51">
        <f t="shared" si="464"/>
        <v>0.9660000000000001</v>
      </c>
      <c r="BG34" s="51"/>
      <c r="BH34" s="51">
        <f t="shared" si="465"/>
        <v>0</v>
      </c>
      <c r="BI34" s="54"/>
      <c r="BJ34" s="51">
        <f t="shared" si="466"/>
        <v>0.9660000000000001</v>
      </c>
      <c r="BK34" s="51">
        <f t="shared" si="467"/>
        <v>0</v>
      </c>
      <c r="BL34" s="51">
        <f t="shared" si="468"/>
        <v>0</v>
      </c>
      <c r="BM34" s="54"/>
      <c r="BN34" s="51">
        <f t="shared" si="469"/>
        <v>0.9660000000000001</v>
      </c>
      <c r="BO34" s="51">
        <f t="shared" si="470"/>
        <v>0</v>
      </c>
      <c r="BP34" s="51">
        <f t="shared" si="471"/>
        <v>0</v>
      </c>
      <c r="BQ34" s="54"/>
      <c r="BR34" s="51">
        <f t="shared" si="472"/>
        <v>0.9660000000000001</v>
      </c>
      <c r="BS34" s="51">
        <f t="shared" si="473"/>
        <v>0</v>
      </c>
      <c r="BT34" s="51">
        <f t="shared" si="474"/>
        <v>0</v>
      </c>
      <c r="BU34" s="54"/>
      <c r="BV34" s="51">
        <f t="shared" si="475"/>
        <v>0.9660000000000001</v>
      </c>
      <c r="BW34" s="51">
        <f t="shared" si="476"/>
        <v>0</v>
      </c>
      <c r="BX34" s="51">
        <f t="shared" si="477"/>
        <v>0</v>
      </c>
      <c r="BY34" s="54"/>
      <c r="BZ34" s="51">
        <f t="shared" si="478"/>
        <v>0.9660000000000001</v>
      </c>
      <c r="CA34" s="51">
        <f t="shared" si="479"/>
        <v>0</v>
      </c>
      <c r="CB34" s="51">
        <f t="shared" si="480"/>
        <v>0</v>
      </c>
      <c r="CC34" s="54"/>
      <c r="CD34" s="51">
        <f t="shared" si="481"/>
        <v>1.3041000000000003</v>
      </c>
      <c r="CE34" s="51">
        <f t="shared" si="482"/>
        <v>0</v>
      </c>
      <c r="CF34" s="51">
        <f t="shared" si="483"/>
        <v>0</v>
      </c>
      <c r="CG34" s="54"/>
      <c r="CH34" s="51">
        <f t="shared" si="484"/>
        <v>1.3041000000000003</v>
      </c>
      <c r="CI34" s="51">
        <f t="shared" si="485"/>
        <v>0</v>
      </c>
      <c r="CJ34" s="51">
        <f t="shared" si="486"/>
        <v>0</v>
      </c>
      <c r="CK34" s="54"/>
      <c r="CL34" s="51">
        <f t="shared" si="487"/>
        <v>1.3041000000000003</v>
      </c>
      <c r="CM34" s="51">
        <f t="shared" si="488"/>
        <v>0</v>
      </c>
      <c r="CN34" s="51">
        <f t="shared" si="489"/>
        <v>0</v>
      </c>
      <c r="CO34" s="54"/>
      <c r="CP34" s="51">
        <f t="shared" si="490"/>
        <v>1.3041000000000003</v>
      </c>
      <c r="CQ34" s="51">
        <f t="shared" si="491"/>
        <v>0</v>
      </c>
      <c r="CR34" s="51">
        <f t="shared" si="492"/>
        <v>0</v>
      </c>
      <c r="CS34" s="54"/>
      <c r="CT34" s="51">
        <f t="shared" si="493"/>
        <v>1.3041000000000003</v>
      </c>
      <c r="CU34" s="51">
        <f t="shared" si="494"/>
        <v>0</v>
      </c>
      <c r="CV34" s="51">
        <f t="shared" si="495"/>
        <v>0</v>
      </c>
      <c r="CW34" s="54"/>
      <c r="CX34" s="51">
        <f t="shared" si="436"/>
        <v>1.3041000000000003</v>
      </c>
      <c r="CY34" s="51">
        <f t="shared" si="437"/>
        <v>0</v>
      </c>
      <c r="CZ34" s="51">
        <f t="shared" si="496"/>
        <v>0</v>
      </c>
      <c r="DA34" s="54"/>
      <c r="DB34" s="51">
        <f t="shared" si="497"/>
        <v>1.3041000000000003</v>
      </c>
      <c r="DC34" s="51">
        <f t="shared" si="498"/>
        <v>0</v>
      </c>
      <c r="DD34" s="51">
        <f t="shared" si="499"/>
        <v>0</v>
      </c>
      <c r="DE34" s="54"/>
      <c r="DF34" s="51">
        <f t="shared" si="500"/>
        <v>1.3041000000000003</v>
      </c>
      <c r="DG34" s="51">
        <f t="shared" si="501"/>
        <v>0</v>
      </c>
      <c r="DH34" s="51">
        <f t="shared" si="502"/>
        <v>0</v>
      </c>
      <c r="DI34" s="54"/>
      <c r="DJ34" s="51">
        <f t="shared" si="503"/>
        <v>1.3041000000000003</v>
      </c>
      <c r="DK34" s="51">
        <f t="shared" si="504"/>
        <v>0</v>
      </c>
      <c r="DL34" s="51">
        <f t="shared" si="505"/>
        <v>0</v>
      </c>
      <c r="DM34" s="54"/>
      <c r="DN34" s="51">
        <f t="shared" si="506"/>
        <v>1.3041000000000003</v>
      </c>
      <c r="DO34" s="51">
        <f t="shared" si="507"/>
        <v>0</v>
      </c>
      <c r="DP34" s="51">
        <f t="shared" si="508"/>
        <v>0</v>
      </c>
      <c r="DQ34" s="54"/>
      <c r="DR34" s="51">
        <f t="shared" si="509"/>
        <v>1.3041000000000003</v>
      </c>
      <c r="DS34" s="51">
        <f t="shared" si="510"/>
        <v>0</v>
      </c>
      <c r="DT34" s="51">
        <f t="shared" si="511"/>
        <v>0</v>
      </c>
      <c r="DU34" s="54"/>
      <c r="DV34" s="51">
        <f t="shared" si="512"/>
        <v>1.3041000000000003</v>
      </c>
      <c r="DW34" s="51">
        <f t="shared" si="513"/>
        <v>0</v>
      </c>
      <c r="DX34" s="51">
        <f t="shared" si="514"/>
        <v>0</v>
      </c>
      <c r="DY34" s="54"/>
      <c r="DZ34" s="51">
        <f t="shared" si="515"/>
        <v>1.7605350000000004</v>
      </c>
      <c r="EA34" s="51">
        <f t="shared" si="516"/>
        <v>0</v>
      </c>
      <c r="EB34" s="51">
        <f t="shared" si="517"/>
        <v>0</v>
      </c>
      <c r="EC34" s="54"/>
      <c r="ED34" s="51">
        <f t="shared" si="518"/>
        <v>1.7605350000000004</v>
      </c>
      <c r="EE34" s="51">
        <f t="shared" si="519"/>
        <v>0</v>
      </c>
      <c r="EF34" s="51">
        <f t="shared" si="520"/>
        <v>0</v>
      </c>
      <c r="EG34" s="54"/>
      <c r="EH34" s="51">
        <f t="shared" si="521"/>
        <v>1.7605350000000004</v>
      </c>
      <c r="EI34" s="51">
        <f t="shared" si="522"/>
        <v>0</v>
      </c>
      <c r="EJ34" s="51">
        <f t="shared" si="523"/>
        <v>0</v>
      </c>
      <c r="EK34" s="54"/>
      <c r="EL34" s="51">
        <f t="shared" si="524"/>
        <v>1.7605350000000004</v>
      </c>
      <c r="EM34" s="51">
        <f t="shared" si="525"/>
        <v>0</v>
      </c>
      <c r="EN34" s="51">
        <f t="shared" si="526"/>
        <v>0</v>
      </c>
      <c r="EO34" s="54"/>
      <c r="EP34" s="51">
        <f t="shared" si="527"/>
        <v>1.7605350000000004</v>
      </c>
      <c r="EQ34" s="51">
        <f t="shared" si="528"/>
        <v>0</v>
      </c>
      <c r="ER34" s="51">
        <f t="shared" si="529"/>
        <v>0</v>
      </c>
      <c r="ES34" s="54"/>
      <c r="ET34" s="51">
        <f t="shared" si="438"/>
        <v>1.7605350000000004</v>
      </c>
      <c r="EU34" s="51">
        <f t="shared" si="439"/>
        <v>0</v>
      </c>
      <c r="EV34" s="51">
        <f t="shared" si="530"/>
        <v>0</v>
      </c>
      <c r="EW34" s="54"/>
      <c r="EX34" s="51">
        <f t="shared" si="531"/>
        <v>1.7605350000000004</v>
      </c>
      <c r="EY34" s="51">
        <f t="shared" si="532"/>
        <v>0</v>
      </c>
      <c r="EZ34" s="51">
        <f t="shared" si="533"/>
        <v>0</v>
      </c>
      <c r="FA34" s="54"/>
      <c r="FB34" s="51">
        <f t="shared" si="534"/>
        <v>1.7605350000000004</v>
      </c>
      <c r="FC34" s="51">
        <f t="shared" si="535"/>
        <v>0</v>
      </c>
      <c r="FD34" s="51">
        <f t="shared" si="536"/>
        <v>0</v>
      </c>
      <c r="FE34" s="54"/>
      <c r="FF34" s="51">
        <f t="shared" si="537"/>
        <v>1.7605350000000004</v>
      </c>
      <c r="FG34" s="51">
        <f t="shared" si="538"/>
        <v>0</v>
      </c>
      <c r="FH34" s="51">
        <f t="shared" si="539"/>
        <v>0</v>
      </c>
      <c r="FI34" s="54"/>
      <c r="FJ34" s="51">
        <f t="shared" ref="FJ34:FJ36" si="615">FF34*$FJ$30</f>
        <v>2.2886955000000007</v>
      </c>
      <c r="FK34" s="51">
        <f t="shared" ref="FK34:FK36" si="616">FG34*$FK$30</f>
        <v>0</v>
      </c>
      <c r="FL34" s="51">
        <f t="shared" si="540"/>
        <v>0</v>
      </c>
      <c r="FM34" s="54"/>
      <c r="FN34" s="51">
        <f t="shared" si="541"/>
        <v>2.2886955000000007</v>
      </c>
      <c r="FO34" s="51">
        <f t="shared" si="542"/>
        <v>0</v>
      </c>
      <c r="FP34" s="51">
        <f t="shared" si="543"/>
        <v>0</v>
      </c>
      <c r="FQ34" s="54"/>
      <c r="FR34" s="51">
        <f>FN34*$FR$30</f>
        <v>2.2886955000000007</v>
      </c>
      <c r="FS34" s="51">
        <f>FO34*$FS$30</f>
        <v>0</v>
      </c>
      <c r="FT34" s="51">
        <f t="shared" si="546"/>
        <v>0</v>
      </c>
      <c r="FU34" s="54"/>
      <c r="FV34" s="51">
        <f t="shared" si="547"/>
        <v>2.2886955000000007</v>
      </c>
      <c r="FW34" s="51">
        <f t="shared" si="548"/>
        <v>0</v>
      </c>
      <c r="FX34" s="51">
        <f t="shared" si="549"/>
        <v>0</v>
      </c>
      <c r="FY34" s="54"/>
      <c r="FZ34" s="51">
        <f t="shared" si="550"/>
        <v>2.2886955000000007</v>
      </c>
      <c r="GA34" s="51">
        <f t="shared" si="551"/>
        <v>0</v>
      </c>
      <c r="GB34" s="51">
        <f t="shared" si="552"/>
        <v>0</v>
      </c>
      <c r="GC34" s="54"/>
      <c r="GD34" s="51">
        <f t="shared" si="553"/>
        <v>2.2886955000000007</v>
      </c>
      <c r="GE34" s="51">
        <f t="shared" si="554"/>
        <v>0</v>
      </c>
      <c r="GF34" s="51">
        <f t="shared" si="555"/>
        <v>0</v>
      </c>
      <c r="GG34" s="54"/>
      <c r="GH34" s="51">
        <f t="shared" si="556"/>
        <v>2.2886955000000007</v>
      </c>
      <c r="GI34" s="51">
        <f t="shared" si="557"/>
        <v>0</v>
      </c>
      <c r="GJ34" s="51">
        <f t="shared" si="558"/>
        <v>0</v>
      </c>
      <c r="GK34" s="54"/>
      <c r="GL34" s="51">
        <f t="shared" si="559"/>
        <v>2.2886955000000007</v>
      </c>
      <c r="GM34" s="51">
        <f t="shared" si="560"/>
        <v>0</v>
      </c>
      <c r="GN34" s="51">
        <f t="shared" si="561"/>
        <v>0</v>
      </c>
      <c r="GP34" s="51">
        <f t="shared" si="440"/>
        <v>2.2886955000000007</v>
      </c>
      <c r="GQ34" s="51">
        <f t="shared" si="441"/>
        <v>0</v>
      </c>
      <c r="GR34" s="51">
        <f t="shared" si="562"/>
        <v>0</v>
      </c>
      <c r="GS34" s="54"/>
      <c r="GT34" s="51">
        <f t="shared" ref="GT34:GT36" si="617">GP34*$GT$30</f>
        <v>2.2886955000000007</v>
      </c>
      <c r="GU34" s="51">
        <f>GQ34*$GU$30</f>
        <v>0</v>
      </c>
      <c r="GV34" s="51">
        <f t="shared" si="564"/>
        <v>0</v>
      </c>
      <c r="GW34" s="54"/>
      <c r="GX34" s="51">
        <f t="shared" si="565"/>
        <v>2.2886955000000007</v>
      </c>
      <c r="GY34" s="51">
        <f t="shared" si="566"/>
        <v>0</v>
      </c>
      <c r="GZ34" s="51">
        <f t="shared" si="567"/>
        <v>0</v>
      </c>
      <c r="HA34" s="54"/>
      <c r="HB34" s="51">
        <f t="shared" si="568"/>
        <v>2.2886955000000007</v>
      </c>
      <c r="HC34" s="51">
        <f>GY34*$HC$30</f>
        <v>0</v>
      </c>
      <c r="HD34" s="51">
        <f t="shared" si="570"/>
        <v>0</v>
      </c>
      <c r="HE34" s="54"/>
      <c r="HF34" s="51">
        <f t="shared" si="571"/>
        <v>2.975304150000001</v>
      </c>
      <c r="HG34" s="51">
        <f t="shared" si="572"/>
        <v>0</v>
      </c>
      <c r="HH34" s="51">
        <f t="shared" si="573"/>
        <v>0</v>
      </c>
      <c r="HI34" s="54"/>
      <c r="HJ34" s="51">
        <f t="shared" si="574"/>
        <v>2.975304150000001</v>
      </c>
      <c r="HK34" s="51">
        <f t="shared" si="575"/>
        <v>0</v>
      </c>
      <c r="HL34" s="51">
        <f t="shared" si="576"/>
        <v>0</v>
      </c>
      <c r="HM34" s="54"/>
      <c r="HN34" s="51">
        <f t="shared" si="577"/>
        <v>2.975304150000001</v>
      </c>
      <c r="HO34" s="51">
        <f t="shared" si="578"/>
        <v>0</v>
      </c>
      <c r="HP34" s="51">
        <f t="shared" si="579"/>
        <v>0</v>
      </c>
      <c r="HQ34" s="54"/>
      <c r="HR34" s="51">
        <f t="shared" si="580"/>
        <v>2.975304150000001</v>
      </c>
      <c r="HS34" s="51">
        <f t="shared" si="581"/>
        <v>0</v>
      </c>
      <c r="HT34" s="51">
        <f t="shared" si="582"/>
        <v>0</v>
      </c>
      <c r="HU34" s="54"/>
      <c r="HV34" s="51">
        <f t="shared" si="583"/>
        <v>2.975304150000001</v>
      </c>
      <c r="HW34" s="51">
        <f t="shared" si="584"/>
        <v>0</v>
      </c>
      <c r="HX34" s="51">
        <f t="shared" si="585"/>
        <v>0</v>
      </c>
      <c r="HY34" s="54"/>
      <c r="HZ34" s="51">
        <f t="shared" si="586"/>
        <v>2.975304150000001</v>
      </c>
      <c r="IA34" s="51">
        <f t="shared" si="587"/>
        <v>0</v>
      </c>
      <c r="IB34" s="51">
        <f t="shared" si="588"/>
        <v>0</v>
      </c>
      <c r="IC34" s="54"/>
      <c r="ID34" s="51">
        <f t="shared" si="589"/>
        <v>2.975304150000001</v>
      </c>
      <c r="IE34" s="51">
        <f t="shared" si="590"/>
        <v>0</v>
      </c>
      <c r="IF34" s="51">
        <f t="shared" si="591"/>
        <v>0</v>
      </c>
      <c r="IG34" s="54"/>
      <c r="IH34" s="51">
        <f t="shared" si="592"/>
        <v>2.975304150000001</v>
      </c>
      <c r="II34" s="51">
        <f t="shared" si="593"/>
        <v>0</v>
      </c>
      <c r="IJ34" s="51">
        <f t="shared" si="594"/>
        <v>0</v>
      </c>
      <c r="IL34" s="51">
        <f t="shared" si="442"/>
        <v>2.975304150000001</v>
      </c>
      <c r="IM34" s="51">
        <f t="shared" si="443"/>
        <v>0</v>
      </c>
      <c r="IN34" s="51">
        <f t="shared" si="595"/>
        <v>0</v>
      </c>
      <c r="IO34" s="54"/>
      <c r="IP34" s="51">
        <f t="shared" si="596"/>
        <v>2.975304150000001</v>
      </c>
      <c r="IQ34" s="51">
        <f t="shared" si="597"/>
        <v>0</v>
      </c>
      <c r="IR34" s="51">
        <f t="shared" si="598"/>
        <v>0</v>
      </c>
      <c r="IS34" s="54"/>
      <c r="IT34" s="51">
        <f t="shared" si="599"/>
        <v>2.975304150000001</v>
      </c>
      <c r="IU34" s="51">
        <f t="shared" si="600"/>
        <v>0</v>
      </c>
      <c r="IV34" s="51">
        <f t="shared" si="601"/>
        <v>0</v>
      </c>
      <c r="IW34" s="54"/>
      <c r="IX34" s="51">
        <f t="shared" si="602"/>
        <v>2.975304150000001</v>
      </c>
      <c r="IY34" s="51">
        <f t="shared" si="603"/>
        <v>0</v>
      </c>
      <c r="IZ34" s="51">
        <f t="shared" si="604"/>
        <v>0</v>
      </c>
      <c r="JA34" s="54"/>
      <c r="JB34" s="51" t="e">
        <f t="shared" si="605"/>
        <v>#REF!</v>
      </c>
      <c r="JC34" s="51">
        <f t="shared" si="606"/>
        <v>0</v>
      </c>
      <c r="JD34" s="51">
        <f t="shared" si="607"/>
        <v>0</v>
      </c>
      <c r="JE34" s="54"/>
      <c r="JF34" s="51" t="e">
        <f t="shared" si="608"/>
        <v>#REF!</v>
      </c>
      <c r="JG34" s="51">
        <f t="shared" si="609"/>
        <v>0</v>
      </c>
      <c r="JH34" s="51">
        <f t="shared" si="610"/>
        <v>0</v>
      </c>
      <c r="JI34" s="54"/>
      <c r="JJ34" s="51" t="e">
        <f>JF34*$JJ$30</f>
        <v>#REF!</v>
      </c>
      <c r="JK34" s="51">
        <f t="shared" si="611"/>
        <v>0</v>
      </c>
      <c r="JL34" s="51">
        <f t="shared" si="612"/>
        <v>0</v>
      </c>
      <c r="JM34" s="54"/>
      <c r="JO34" s="80"/>
      <c r="JP34" s="80"/>
      <c r="JQ34" s="80">
        <f t="shared" si="444"/>
        <v>0</v>
      </c>
      <c r="JS34" s="80"/>
      <c r="JT34" s="80"/>
      <c r="JU34" s="80">
        <f t="shared" si="445"/>
        <v>0</v>
      </c>
      <c r="JW34" s="80"/>
      <c r="JX34" s="80"/>
      <c r="JY34" s="80">
        <f t="shared" si="446"/>
        <v>0</v>
      </c>
      <c r="KA34" s="80"/>
      <c r="KB34" s="80"/>
      <c r="KC34" s="80">
        <f t="shared" si="447"/>
        <v>0</v>
      </c>
      <c r="KE34" s="80"/>
      <c r="KF34" s="80"/>
      <c r="KG34" s="80">
        <f t="shared" si="448"/>
        <v>0</v>
      </c>
      <c r="KI34" s="80"/>
      <c r="KJ34" s="80"/>
      <c r="KK34" s="80">
        <f t="shared" si="449"/>
        <v>0</v>
      </c>
      <c r="KM34" s="80"/>
      <c r="KN34" s="80"/>
      <c r="KO34" s="80">
        <f t="shared" si="450"/>
        <v>0</v>
      </c>
    </row>
    <row r="35" ht="18.75" customHeight="1" spans="2:301" x14ac:dyDescent="0.25">
      <c r="B35" s="5" t="str">
        <f>A.IIOPEX!C35</f>
        <v>3d</v>
      </c>
      <c r="C35" s="29"/>
      <c r="D35" s="29" t="str">
        <f>A.IIOPEX!E35</f>
        <v>Miscellaneous</v>
      </c>
      <c r="E35" s="30"/>
      <c r="F35" s="51">
        <v>1</v>
      </c>
      <c r="G35" s="51"/>
      <c r="H35" s="51">
        <f>A.IIOPEX!I35</f>
        <v>125000</v>
      </c>
      <c r="I35" s="54"/>
      <c r="J35" s="51">
        <f t="shared" si="430"/>
        <v>0.92</v>
      </c>
      <c r="K35" s="51"/>
      <c r="L35" s="51">
        <f>H35*L$30</f>
        <v>115000</v>
      </c>
      <c r="M35" s="54"/>
      <c r="N35" s="51">
        <f t="shared" si="431"/>
        <v>0.92</v>
      </c>
      <c r="O35" s="51"/>
      <c r="P35" s="51">
        <f>L35*P$30</f>
        <v>115000</v>
      </c>
      <c r="Q35" s="54"/>
      <c r="R35" s="51">
        <f t="shared" si="432"/>
        <v>0.92</v>
      </c>
      <c r="S35" s="51"/>
      <c r="T35" s="51">
        <f>P35*T$30</f>
        <v>115000</v>
      </c>
      <c r="U35" s="54"/>
      <c r="V35" s="51">
        <f t="shared" si="433"/>
        <v>0.92</v>
      </c>
      <c r="W35" s="51"/>
      <c r="X35" s="51">
        <f>T35*X$30</f>
        <v>115000</v>
      </c>
      <c r="Y35" s="54"/>
      <c r="Z35" s="51">
        <f t="shared" si="434"/>
        <v>0.92</v>
      </c>
      <c r="AA35" s="51"/>
      <c r="AB35" s="51">
        <f>X35*AB$30</f>
        <v>115000</v>
      </c>
      <c r="AC35" s="54"/>
      <c r="AD35" s="51">
        <f t="shared" si="456"/>
        <v>0.92</v>
      </c>
      <c r="AE35" s="51"/>
      <c r="AF35" s="51">
        <f>AB35*AF$30</f>
        <v>115000</v>
      </c>
      <c r="AG35" s="54"/>
      <c r="AH35" s="51">
        <f>AD35*$AH$30</f>
        <v>0.9660000000000001</v>
      </c>
      <c r="AI35" s="51"/>
      <c r="AJ35" s="51">
        <f>AF35*AJ$30</f>
        <v>120750</v>
      </c>
      <c r="AK35" s="54"/>
      <c r="AL35" s="51">
        <f>AH35*$AL$30</f>
        <v>0.9660000000000001</v>
      </c>
      <c r="AM35" s="51"/>
      <c r="AN35" s="51">
        <f>AJ35*AN$30</f>
        <v>120750</v>
      </c>
      <c r="AO35" s="54"/>
      <c r="AP35" s="51">
        <f>AL35*$AP$30</f>
        <v>0.9660000000000001</v>
      </c>
      <c r="AQ35" s="51"/>
      <c r="AR35" s="51">
        <f>AN35*AR$30</f>
        <v>120750</v>
      </c>
      <c r="AS35" s="54"/>
      <c r="AT35" s="51">
        <f t="shared" si="613"/>
        <v>0.9660000000000001</v>
      </c>
      <c r="AU35" s="51"/>
      <c r="AV35" s="51">
        <f>AR35*AV$30</f>
        <v>120750</v>
      </c>
      <c r="AW35" s="54"/>
      <c r="AX35" s="51">
        <f t="shared" si="614"/>
        <v>0.9660000000000001</v>
      </c>
      <c r="AY35" s="51"/>
      <c r="AZ35" s="51">
        <f>AV35*AZ$30</f>
        <v>120750</v>
      </c>
      <c r="BA35" s="54"/>
      <c r="BB35" s="51">
        <f t="shared" si="435"/>
        <v>0.9660000000000001</v>
      </c>
      <c r="BC35" s="51"/>
      <c r="BD35" s="51">
        <f>AZ35*BD$30</f>
        <v>120750</v>
      </c>
      <c r="BE35" s="54"/>
      <c r="BF35" s="51">
        <f t="shared" si="464"/>
        <v>0.9660000000000001</v>
      </c>
      <c r="BG35" s="51"/>
      <c r="BH35" s="51">
        <f>BD35*BH$30</f>
        <v>120750</v>
      </c>
      <c r="BI35" s="54"/>
      <c r="BJ35" s="51">
        <f t="shared" si="466"/>
        <v>0.9660000000000001</v>
      </c>
      <c r="BK35" s="51">
        <f t="shared" si="467"/>
        <v>0</v>
      </c>
      <c r="BL35" s="51">
        <f>BH35*BL$30</f>
        <v>120750</v>
      </c>
      <c r="BM35" s="54"/>
      <c r="BN35" s="51">
        <f t="shared" si="469"/>
        <v>0.9660000000000001</v>
      </c>
      <c r="BO35" s="51">
        <f t="shared" si="470"/>
        <v>0</v>
      </c>
      <c r="BP35" s="51">
        <f>BL35*BP$30</f>
        <v>120750</v>
      </c>
      <c r="BQ35" s="54"/>
      <c r="BR35" s="51">
        <f t="shared" si="472"/>
        <v>0.9660000000000001</v>
      </c>
      <c r="BS35" s="51">
        <f t="shared" si="473"/>
        <v>0</v>
      </c>
      <c r="BT35" s="51">
        <f>BP35*BT$30</f>
        <v>120750</v>
      </c>
      <c r="BU35" s="54"/>
      <c r="BV35" s="51">
        <f t="shared" si="475"/>
        <v>0.9660000000000001</v>
      </c>
      <c r="BW35" s="51">
        <f t="shared" si="476"/>
        <v>0</v>
      </c>
      <c r="BX35" s="51">
        <f>BT35*BX$30</f>
        <v>120750</v>
      </c>
      <c r="BY35" s="54"/>
      <c r="BZ35" s="51">
        <f t="shared" si="478"/>
        <v>0.9660000000000001</v>
      </c>
      <c r="CA35" s="51">
        <f t="shared" si="479"/>
        <v>0</v>
      </c>
      <c r="CB35" s="51">
        <f>BX35*CB$30</f>
        <v>120750</v>
      </c>
      <c r="CC35" s="54"/>
      <c r="CD35" s="51">
        <f t="shared" si="481"/>
        <v>1.3041000000000003</v>
      </c>
      <c r="CE35" s="51">
        <f t="shared" si="482"/>
        <v>0</v>
      </c>
      <c r="CF35" s="51">
        <f>CB35*CF$30</f>
        <v>163012.5</v>
      </c>
      <c r="CG35" s="54"/>
      <c r="CH35" s="51">
        <f t="shared" si="484"/>
        <v>1.3041000000000003</v>
      </c>
      <c r="CI35" s="51">
        <f t="shared" si="485"/>
        <v>0</v>
      </c>
      <c r="CJ35" s="51">
        <f>CF35*CJ$30</f>
        <v>163012.5</v>
      </c>
      <c r="CK35" s="54"/>
      <c r="CL35" s="51">
        <f t="shared" si="487"/>
        <v>1.3041000000000003</v>
      </c>
      <c r="CM35" s="51">
        <f t="shared" si="488"/>
        <v>0</v>
      </c>
      <c r="CN35" s="51">
        <f>CJ35*CN$30</f>
        <v>163012.5</v>
      </c>
      <c r="CO35" s="54"/>
      <c r="CP35" s="51">
        <f t="shared" si="490"/>
        <v>1.3041000000000003</v>
      </c>
      <c r="CQ35" s="51">
        <f t="shared" si="491"/>
        <v>0</v>
      </c>
      <c r="CR35" s="51">
        <f>CN35*CR$30</f>
        <v>163012.5</v>
      </c>
      <c r="CS35" s="54"/>
      <c r="CT35" s="51">
        <f t="shared" si="493"/>
        <v>1.3041000000000003</v>
      </c>
      <c r="CU35" s="51">
        <f t="shared" si="494"/>
        <v>0</v>
      </c>
      <c r="CV35" s="51">
        <f>CR35*CV$30</f>
        <v>163012.5</v>
      </c>
      <c r="CW35" s="54"/>
      <c r="CX35" s="51">
        <f t="shared" si="436"/>
        <v>1.3041000000000003</v>
      </c>
      <c r="CY35" s="51">
        <f t="shared" si="437"/>
        <v>0</v>
      </c>
      <c r="CZ35" s="51">
        <f>CV35*CZ$30</f>
        <v>163012.5</v>
      </c>
      <c r="DA35" s="54"/>
      <c r="DB35" s="51">
        <f t="shared" si="497"/>
        <v>1.3041000000000003</v>
      </c>
      <c r="DC35" s="51">
        <f t="shared" si="498"/>
        <v>0</v>
      </c>
      <c r="DD35" s="51">
        <f>CZ35*DD$30</f>
        <v>163012.5</v>
      </c>
      <c r="DE35" s="54"/>
      <c r="DF35" s="51">
        <f t="shared" si="500"/>
        <v>1.3041000000000003</v>
      </c>
      <c r="DG35" s="51">
        <f t="shared" si="501"/>
        <v>0</v>
      </c>
      <c r="DH35" s="51">
        <f>DD35*DH$30</f>
        <v>163012.5</v>
      </c>
      <c r="DI35" s="54"/>
      <c r="DJ35" s="51">
        <f t="shared" si="503"/>
        <v>1.3041000000000003</v>
      </c>
      <c r="DK35" s="51">
        <f t="shared" si="504"/>
        <v>0</v>
      </c>
      <c r="DL35" s="51">
        <f>DH35*DL$30</f>
        <v>163012.5</v>
      </c>
      <c r="DM35" s="54"/>
      <c r="DN35" s="51">
        <f t="shared" si="506"/>
        <v>1.3041000000000003</v>
      </c>
      <c r="DO35" s="51">
        <f t="shared" si="507"/>
        <v>0</v>
      </c>
      <c r="DP35" s="51">
        <f>DL35*DP$30</f>
        <v>163012.5</v>
      </c>
      <c r="DQ35" s="54"/>
      <c r="DR35" s="51">
        <f t="shared" si="509"/>
        <v>1.3041000000000003</v>
      </c>
      <c r="DS35" s="51">
        <f t="shared" si="510"/>
        <v>0</v>
      </c>
      <c r="DT35" s="51">
        <f>DP35*DT$30</f>
        <v>163012.5</v>
      </c>
      <c r="DU35" s="54"/>
      <c r="DV35" s="51">
        <f t="shared" si="512"/>
        <v>1.3041000000000003</v>
      </c>
      <c r="DW35" s="51">
        <f t="shared" si="513"/>
        <v>0</v>
      </c>
      <c r="DX35" s="51">
        <f>DT35*DX$30</f>
        <v>163012.5</v>
      </c>
      <c r="DY35" s="54"/>
      <c r="DZ35" s="51">
        <f t="shared" si="515"/>
        <v>1.7605350000000004</v>
      </c>
      <c r="EA35" s="51">
        <f t="shared" si="516"/>
        <v>0</v>
      </c>
      <c r="EB35" s="51">
        <f>DX35*EB$30</f>
        <v>220066.875</v>
      </c>
      <c r="EC35" s="54"/>
      <c r="ED35" s="51">
        <f t="shared" si="518"/>
        <v>1.7605350000000004</v>
      </c>
      <c r="EE35" s="51">
        <f t="shared" si="519"/>
        <v>0</v>
      </c>
      <c r="EF35" s="51">
        <f>EB35*EF$30</f>
        <v>220066.875</v>
      </c>
      <c r="EG35" s="54"/>
      <c r="EH35" s="51">
        <f t="shared" si="521"/>
        <v>1.7605350000000004</v>
      </c>
      <c r="EI35" s="51">
        <f t="shared" si="522"/>
        <v>0</v>
      </c>
      <c r="EJ35" s="51">
        <f>EF35*EJ$30</f>
        <v>220066.875</v>
      </c>
      <c r="EK35" s="54"/>
      <c r="EL35" s="51">
        <f t="shared" si="524"/>
        <v>1.7605350000000004</v>
      </c>
      <c r="EM35" s="51">
        <f t="shared" si="525"/>
        <v>0</v>
      </c>
      <c r="EN35" s="51">
        <f>EJ35*EN$30</f>
        <v>220066.875</v>
      </c>
      <c r="EO35" s="54"/>
      <c r="EP35" s="51">
        <f t="shared" si="527"/>
        <v>1.7605350000000004</v>
      </c>
      <c r="EQ35" s="51">
        <f t="shared" si="528"/>
        <v>0</v>
      </c>
      <c r="ER35" s="51">
        <f>EN35*ER$30</f>
        <v>220066.875</v>
      </c>
      <c r="ES35" s="54"/>
      <c r="ET35" s="51">
        <f t="shared" si="438"/>
        <v>1.7605350000000004</v>
      </c>
      <c r="EU35" s="51">
        <f t="shared" si="439"/>
        <v>0</v>
      </c>
      <c r="EV35" s="51">
        <f>ER35*EV$30</f>
        <v>220066.875</v>
      </c>
      <c r="EW35" s="54"/>
      <c r="EX35" s="51">
        <f t="shared" si="531"/>
        <v>1.7605350000000004</v>
      </c>
      <c r="EY35" s="51">
        <f t="shared" si="532"/>
        <v>0</v>
      </c>
      <c r="EZ35" s="51">
        <f>EV35*EZ$30</f>
        <v>220066.875</v>
      </c>
      <c r="FA35" s="54"/>
      <c r="FB35" s="51">
        <f t="shared" si="534"/>
        <v>1.7605350000000004</v>
      </c>
      <c r="FC35" s="51">
        <f t="shared" si="535"/>
        <v>0</v>
      </c>
      <c r="FD35" s="51">
        <f>EZ35*FD$30</f>
        <v>220066.875</v>
      </c>
      <c r="FE35" s="54"/>
      <c r="FF35" s="51">
        <f t="shared" si="537"/>
        <v>1.7605350000000004</v>
      </c>
      <c r="FG35" s="51">
        <f t="shared" si="538"/>
        <v>0</v>
      </c>
      <c r="FH35" s="51">
        <f>FD35*FH$30</f>
        <v>220066.875</v>
      </c>
      <c r="FI35" s="54"/>
      <c r="FJ35" s="51">
        <f t="shared" si="615"/>
        <v>2.2886955000000007</v>
      </c>
      <c r="FK35" s="51">
        <f t="shared" si="616"/>
        <v>0</v>
      </c>
      <c r="FL35" s="51">
        <f>FH35*FL$30</f>
        <v>220066.875</v>
      </c>
      <c r="FM35" s="54"/>
      <c r="FN35" s="51">
        <f t="shared" si="541"/>
        <v>2.2886955000000007</v>
      </c>
      <c r="FO35" s="51">
        <f t="shared" si="542"/>
        <v>0</v>
      </c>
      <c r="FP35" s="51">
        <f>FL35*FP$30</f>
        <v>220066.875</v>
      </c>
      <c r="FQ35" s="54"/>
      <c r="FR35" s="51">
        <f>FN35*$FR$30</f>
        <v>2.2886955000000007</v>
      </c>
      <c r="FS35" s="51">
        <f>FO35*$FS$30</f>
        <v>0</v>
      </c>
      <c r="FT35" s="51">
        <f>FP35*FT$30</f>
        <v>220066.875</v>
      </c>
      <c r="FU35" s="54"/>
      <c r="FV35" s="51">
        <f t="shared" si="547"/>
        <v>2.2886955000000007</v>
      </c>
      <c r="FW35" s="51">
        <f t="shared" si="548"/>
        <v>0</v>
      </c>
      <c r="FX35" s="51">
        <f>FT35*FX$30</f>
        <v>286086.9375</v>
      </c>
      <c r="FY35" s="54"/>
      <c r="FZ35" s="51">
        <f t="shared" si="550"/>
        <v>2.2886955000000007</v>
      </c>
      <c r="GA35" s="51">
        <f t="shared" si="551"/>
        <v>0</v>
      </c>
      <c r="GB35" s="51">
        <f>FX35*GB$30</f>
        <v>286086.9375</v>
      </c>
      <c r="GC35" s="54"/>
      <c r="GD35" s="51">
        <f t="shared" si="553"/>
        <v>2.2886955000000007</v>
      </c>
      <c r="GE35" s="51">
        <f t="shared" si="554"/>
        <v>0</v>
      </c>
      <c r="GF35" s="51">
        <f>GB35*GF$30</f>
        <v>286086.9375</v>
      </c>
      <c r="GG35" s="54"/>
      <c r="GH35" s="51">
        <f t="shared" si="556"/>
        <v>2.2886955000000007</v>
      </c>
      <c r="GI35" s="51">
        <f t="shared" si="557"/>
        <v>0</v>
      </c>
      <c r="GJ35" s="51">
        <f>GF35*GJ$30</f>
        <v>286086.9375</v>
      </c>
      <c r="GK35" s="54"/>
      <c r="GL35" s="51">
        <f t="shared" si="559"/>
        <v>2.2886955000000007</v>
      </c>
      <c r="GM35" s="51">
        <f t="shared" si="560"/>
        <v>0</v>
      </c>
      <c r="GN35" s="51">
        <f>GJ35*GN$30</f>
        <v>286086.9375</v>
      </c>
      <c r="GP35" s="51">
        <f t="shared" si="440"/>
        <v>2.2886955000000007</v>
      </c>
      <c r="GQ35" s="51">
        <f t="shared" si="441"/>
        <v>0</v>
      </c>
      <c r="GR35" s="51">
        <f>GN35*GR$30</f>
        <v>286086.9375</v>
      </c>
      <c r="GS35" s="54"/>
      <c r="GT35" s="51">
        <f t="shared" si="617"/>
        <v>2.2886955000000007</v>
      </c>
      <c r="GU35" s="51">
        <f>GQ35*$GU$30</f>
        <v>0</v>
      </c>
      <c r="GV35" s="51">
        <f>GR35*GV$30</f>
        <v>286086.9375</v>
      </c>
      <c r="GW35" s="54"/>
      <c r="GX35" s="51">
        <f t="shared" si="565"/>
        <v>2.2886955000000007</v>
      </c>
      <c r="GY35" s="51">
        <f t="shared" si="566"/>
        <v>0</v>
      </c>
      <c r="GZ35" s="51">
        <f>GV35*GZ$30</f>
        <v>286086.9375</v>
      </c>
      <c r="HA35" s="54"/>
      <c r="HB35" s="51">
        <f t="shared" si="568"/>
        <v>2.2886955000000007</v>
      </c>
      <c r="HC35" s="51">
        <f>GY35*$HC$30</f>
        <v>0</v>
      </c>
      <c r="HD35" s="51">
        <f>GZ35*HD$30</f>
        <v>286086.9375</v>
      </c>
      <c r="HE35" s="54"/>
      <c r="HF35" s="51">
        <f t="shared" si="571"/>
        <v>2.975304150000001</v>
      </c>
      <c r="HG35" s="51">
        <f t="shared" si="572"/>
        <v>0</v>
      </c>
      <c r="HH35" s="51">
        <f>HD35*HH$30</f>
        <v>286086.9375</v>
      </c>
      <c r="HI35" s="54"/>
      <c r="HJ35" s="51">
        <f t="shared" si="574"/>
        <v>2.975304150000001</v>
      </c>
      <c r="HK35" s="51">
        <f t="shared" si="575"/>
        <v>0</v>
      </c>
      <c r="HL35" s="51">
        <f>HH35*HL$30</f>
        <v>286086.9375</v>
      </c>
      <c r="HM35" s="54"/>
      <c r="HN35" s="51">
        <f t="shared" si="577"/>
        <v>2.975304150000001</v>
      </c>
      <c r="HO35" s="51">
        <f t="shared" si="578"/>
        <v>0</v>
      </c>
      <c r="HP35" s="51">
        <f>HL35*HP$30</f>
        <v>286086.9375</v>
      </c>
      <c r="HQ35" s="54"/>
      <c r="HR35" s="51">
        <f t="shared" si="580"/>
        <v>2.975304150000001</v>
      </c>
      <c r="HS35" s="51">
        <f t="shared" si="581"/>
        <v>0</v>
      </c>
      <c r="HT35" s="51">
        <f>HP35*HT$30</f>
        <v>371913.01875</v>
      </c>
      <c r="HU35" s="54"/>
      <c r="HV35" s="51">
        <f t="shared" si="583"/>
        <v>2.975304150000001</v>
      </c>
      <c r="HW35" s="51">
        <f t="shared" si="584"/>
        <v>0</v>
      </c>
      <c r="HX35" s="51">
        <f>HT35*HX$30</f>
        <v>371913.01875</v>
      </c>
      <c r="HY35" s="54"/>
      <c r="HZ35" s="51">
        <f t="shared" si="586"/>
        <v>2.975304150000001</v>
      </c>
      <c r="IA35" s="51">
        <f t="shared" si="587"/>
        <v>0</v>
      </c>
      <c r="IB35" s="51">
        <f>HX35*IB$30</f>
        <v>371913.01875</v>
      </c>
      <c r="IC35" s="54"/>
      <c r="ID35" s="51">
        <f t="shared" si="589"/>
        <v>2.975304150000001</v>
      </c>
      <c r="IE35" s="51">
        <f t="shared" si="590"/>
        <v>0</v>
      </c>
      <c r="IF35" s="51">
        <f>IB35*IF$30</f>
        <v>371913.01875</v>
      </c>
      <c r="IG35" s="54"/>
      <c r="IH35" s="51">
        <f t="shared" si="592"/>
        <v>2.975304150000001</v>
      </c>
      <c r="II35" s="51">
        <f t="shared" si="593"/>
        <v>0</v>
      </c>
      <c r="IJ35" s="51">
        <f>IF35*IJ$30</f>
        <v>371913.01875</v>
      </c>
      <c r="IL35" s="51">
        <f t="shared" si="442"/>
        <v>2.975304150000001</v>
      </c>
      <c r="IM35" s="51">
        <f t="shared" si="443"/>
        <v>0</v>
      </c>
      <c r="IN35" s="51">
        <f>IJ35*IN$30</f>
        <v>371913.01875</v>
      </c>
      <c r="IO35" s="54"/>
      <c r="IP35" s="51">
        <f t="shared" si="596"/>
        <v>2.975304150000001</v>
      </c>
      <c r="IQ35" s="51">
        <f t="shared" si="597"/>
        <v>0</v>
      </c>
      <c r="IR35" s="51">
        <f>IN35*IR$30</f>
        <v>371913.01875</v>
      </c>
      <c r="IS35" s="54"/>
      <c r="IT35" s="51">
        <f t="shared" si="599"/>
        <v>2.975304150000001</v>
      </c>
      <c r="IU35" s="51">
        <f t="shared" si="600"/>
        <v>0</v>
      </c>
      <c r="IV35" s="51">
        <f>IR35*IV$30</f>
        <v>371913.01875</v>
      </c>
      <c r="IW35" s="54"/>
      <c r="IX35" s="51">
        <f t="shared" si="602"/>
        <v>2.975304150000001</v>
      </c>
      <c r="IY35" s="51">
        <f t="shared" si="603"/>
        <v>0</v>
      </c>
      <c r="IZ35" s="51">
        <f>IV35*IZ$30</f>
        <v>371913.01875</v>
      </c>
      <c r="JA35" s="54"/>
      <c r="JB35" s="51" t="e">
        <f t="shared" si="605"/>
        <v>#REF!</v>
      </c>
      <c r="JC35" s="51">
        <f t="shared" si="606"/>
        <v>0</v>
      </c>
      <c r="JD35" s="51">
        <f>IZ35*JD$30</f>
        <v>371913.01875</v>
      </c>
      <c r="JE35" s="54"/>
      <c r="JF35" s="51" t="e">
        <f t="shared" si="608"/>
        <v>#REF!</v>
      </c>
      <c r="JG35" s="51">
        <f t="shared" si="609"/>
        <v>0</v>
      </c>
      <c r="JH35" s="51">
        <f>JD35*JH$30</f>
        <v>371913.01875</v>
      </c>
      <c r="JI35" s="54"/>
      <c r="JJ35" s="51" t="e">
        <f t="shared" ref="JJ35" si="618">JF35*$JJ$30</f>
        <v>#REF!</v>
      </c>
      <c r="JK35" s="51">
        <f t="shared" si="611"/>
        <v>0</v>
      </c>
      <c r="JL35" s="51">
        <f>JH35*JL$30</f>
        <v>371913.01875</v>
      </c>
      <c r="JM35" s="54"/>
      <c r="JO35" s="80"/>
      <c r="JP35" s="80"/>
      <c r="JQ35" s="80">
        <f t="shared" si="444"/>
        <v>1056500</v>
      </c>
      <c r="JS35" s="80"/>
      <c r="JT35" s="80"/>
      <c r="JU35" s="80">
        <f t="shared" si="445"/>
        <v>1207500</v>
      </c>
      <c r="JW35" s="80"/>
      <c r="JX35" s="80"/>
      <c r="JY35" s="80">
        <f t="shared" si="446"/>
        <v>1956150</v>
      </c>
      <c r="KA35" s="80"/>
      <c r="KB35" s="80"/>
      <c r="KC35" s="80">
        <f t="shared" si="447"/>
        <v>2640802.5</v>
      </c>
      <c r="KE35" s="80"/>
      <c r="KF35" s="80"/>
      <c r="KG35" s="80">
        <f t="shared" si="448"/>
        <v>3433043.25</v>
      </c>
      <c r="KI35" s="80"/>
      <c r="KJ35" s="80"/>
      <c r="KK35" s="80">
        <f t="shared" si="449"/>
        <v>4462956.224999999</v>
      </c>
      <c r="KM35" s="80"/>
      <c r="KN35" s="80"/>
      <c r="KO35" s="80">
        <f t="shared" si="450"/>
        <v>4462956.224999999</v>
      </c>
    </row>
    <row r="36" ht="18.75" customHeight="1" spans="2:301" x14ac:dyDescent="0.25">
      <c r="B36" s="5" t="str">
        <f>A.IIOPEX!C36</f>
        <v>3e</v>
      </c>
      <c r="C36" s="29"/>
      <c r="D36" s="29">
        <f>A.IIOPEX!E36</f>
        <v>0</v>
      </c>
      <c r="E36" s="30"/>
      <c r="F36" s="51">
        <v>1</v>
      </c>
      <c r="G36" s="51"/>
      <c r="H36" s="51">
        <f>A.IIOPEX!I36</f>
        <v>0</v>
      </c>
      <c r="I36" s="54"/>
      <c r="J36" s="51">
        <f t="shared" si="430"/>
        <v>0.92</v>
      </c>
      <c r="K36" s="51"/>
      <c r="L36" s="51">
        <f t="shared" si="451"/>
        <v>0</v>
      </c>
      <c r="M36" s="54"/>
      <c r="N36" s="51">
        <f t="shared" si="431"/>
        <v>0.92</v>
      </c>
      <c r="O36" s="51"/>
      <c r="P36" s="51">
        <f t="shared" si="452"/>
        <v>0</v>
      </c>
      <c r="Q36" s="54"/>
      <c r="R36" s="51">
        <f t="shared" si="432"/>
        <v>0.92</v>
      </c>
      <c r="S36" s="51"/>
      <c r="T36" s="51">
        <f t="shared" si="453"/>
        <v>0</v>
      </c>
      <c r="U36" s="54"/>
      <c r="V36" s="51">
        <f t="shared" si="433"/>
        <v>0.92</v>
      </c>
      <c r="W36" s="51"/>
      <c r="X36" s="51">
        <f t="shared" si="454"/>
        <v>0</v>
      </c>
      <c r="Y36" s="54"/>
      <c r="Z36" s="51">
        <f t="shared" si="434"/>
        <v>0.92</v>
      </c>
      <c r="AA36" s="51"/>
      <c r="AB36" s="51">
        <f t="shared" si="455"/>
        <v>0</v>
      </c>
      <c r="AC36" s="54"/>
      <c r="AD36" s="51">
        <f t="shared" si="456"/>
        <v>0.92</v>
      </c>
      <c r="AE36" s="51"/>
      <c r="AF36" s="51">
        <f t="shared" si="457"/>
        <v>0</v>
      </c>
      <c r="AG36" s="54"/>
      <c r="AH36" s="51">
        <f>AD36*$AH$30</f>
        <v>0.9660000000000001</v>
      </c>
      <c r="AI36" s="51"/>
      <c r="AJ36" s="51">
        <f t="shared" si="458"/>
        <v>0</v>
      </c>
      <c r="AK36" s="54"/>
      <c r="AL36" s="51">
        <f>AH36*$AL$30</f>
        <v>0.9660000000000001</v>
      </c>
      <c r="AM36" s="51"/>
      <c r="AN36" s="51">
        <f t="shared" si="459"/>
        <v>0</v>
      </c>
      <c r="AO36" s="54"/>
      <c r="AP36" s="51">
        <f t="shared" ref="AP36" si="619">AL36*$AP$30</f>
        <v>0.9660000000000001</v>
      </c>
      <c r="AQ36" s="51"/>
      <c r="AR36" s="51">
        <f t="shared" si="460"/>
        <v>0</v>
      </c>
      <c r="AS36" s="54"/>
      <c r="AT36" s="51">
        <f>AP36*$AT$30</f>
        <v>0.9660000000000001</v>
      </c>
      <c r="AU36" s="51"/>
      <c r="AV36" s="51">
        <f t="shared" si="461"/>
        <v>0</v>
      </c>
      <c r="AW36" s="54"/>
      <c r="AX36" s="51">
        <f t="shared" si="614"/>
        <v>0.9660000000000001</v>
      </c>
      <c r="AY36" s="51"/>
      <c r="AZ36" s="51">
        <f t="shared" si="462"/>
        <v>0</v>
      </c>
      <c r="BA36" s="54"/>
      <c r="BB36" s="51">
        <f t="shared" si="435"/>
        <v>0.9660000000000001</v>
      </c>
      <c r="BC36" s="51"/>
      <c r="BD36" s="51">
        <f t="shared" si="463"/>
        <v>0</v>
      </c>
      <c r="BE36" s="54"/>
      <c r="BF36" s="51">
        <f t="shared" si="464"/>
        <v>0.9660000000000001</v>
      </c>
      <c r="BG36" s="51"/>
      <c r="BH36" s="51">
        <f t="shared" si="465"/>
        <v>0</v>
      </c>
      <c r="BI36" s="54"/>
      <c r="BJ36" s="51">
        <f t="shared" si="466"/>
        <v>0.9660000000000001</v>
      </c>
      <c r="BK36" s="51">
        <f t="shared" si="467"/>
        <v>0</v>
      </c>
      <c r="BL36" s="51">
        <f t="shared" si="468"/>
        <v>0</v>
      </c>
      <c r="BM36" s="54"/>
      <c r="BN36" s="51">
        <f t="shared" si="469"/>
        <v>0.9660000000000001</v>
      </c>
      <c r="BO36" s="51">
        <f t="shared" si="470"/>
        <v>0</v>
      </c>
      <c r="BP36" s="51">
        <f t="shared" si="471"/>
        <v>0</v>
      </c>
      <c r="BQ36" s="54"/>
      <c r="BR36" s="51">
        <f t="shared" si="472"/>
        <v>0.9660000000000001</v>
      </c>
      <c r="BS36" s="51">
        <f t="shared" si="473"/>
        <v>0</v>
      </c>
      <c r="BT36" s="51">
        <f t="shared" si="474"/>
        <v>0</v>
      </c>
      <c r="BU36" s="54"/>
      <c r="BV36" s="51">
        <f t="shared" si="475"/>
        <v>0.9660000000000001</v>
      </c>
      <c r="BW36" s="51">
        <f t="shared" si="476"/>
        <v>0</v>
      </c>
      <c r="BX36" s="51">
        <f t="shared" si="477"/>
        <v>0</v>
      </c>
      <c r="BY36" s="54"/>
      <c r="BZ36" s="51">
        <f t="shared" si="478"/>
        <v>0.9660000000000001</v>
      </c>
      <c r="CA36" s="51">
        <f t="shared" si="479"/>
        <v>0</v>
      </c>
      <c r="CB36" s="51">
        <f t="shared" si="480"/>
        <v>0</v>
      </c>
      <c r="CC36" s="54"/>
      <c r="CD36" s="51">
        <f t="shared" si="481"/>
        <v>1.3041000000000003</v>
      </c>
      <c r="CE36" s="51">
        <f t="shared" si="482"/>
        <v>0</v>
      </c>
      <c r="CF36" s="51">
        <f t="shared" si="483"/>
        <v>0</v>
      </c>
      <c r="CG36" s="54"/>
      <c r="CH36" s="51">
        <f t="shared" si="484"/>
        <v>1.3041000000000003</v>
      </c>
      <c r="CI36" s="51">
        <f t="shared" si="485"/>
        <v>0</v>
      </c>
      <c r="CJ36" s="51">
        <f t="shared" si="486"/>
        <v>0</v>
      </c>
      <c r="CK36" s="54"/>
      <c r="CL36" s="51">
        <f t="shared" si="487"/>
        <v>1.3041000000000003</v>
      </c>
      <c r="CM36" s="51">
        <f t="shared" si="488"/>
        <v>0</v>
      </c>
      <c r="CN36" s="51">
        <f t="shared" si="489"/>
        <v>0</v>
      </c>
      <c r="CO36" s="54"/>
      <c r="CP36" s="51">
        <f t="shared" si="490"/>
        <v>1.3041000000000003</v>
      </c>
      <c r="CQ36" s="51">
        <f t="shared" si="491"/>
        <v>0</v>
      </c>
      <c r="CR36" s="51">
        <f t="shared" si="492"/>
        <v>0</v>
      </c>
      <c r="CS36" s="54"/>
      <c r="CT36" s="51">
        <f t="shared" si="493"/>
        <v>1.3041000000000003</v>
      </c>
      <c r="CU36" s="51">
        <f t="shared" si="494"/>
        <v>0</v>
      </c>
      <c r="CV36" s="51">
        <f t="shared" si="495"/>
        <v>0</v>
      </c>
      <c r="CW36" s="54"/>
      <c r="CX36" s="51">
        <f t="shared" si="436"/>
        <v>1.3041000000000003</v>
      </c>
      <c r="CY36" s="51">
        <f t="shared" si="437"/>
        <v>0</v>
      </c>
      <c r="CZ36" s="51">
        <f t="shared" si="496"/>
        <v>0</v>
      </c>
      <c r="DA36" s="54"/>
      <c r="DB36" s="51">
        <f t="shared" si="497"/>
        <v>1.3041000000000003</v>
      </c>
      <c r="DC36" s="51">
        <f t="shared" si="498"/>
        <v>0</v>
      </c>
      <c r="DD36" s="51">
        <f t="shared" si="499"/>
        <v>0</v>
      </c>
      <c r="DE36" s="54"/>
      <c r="DF36" s="51">
        <f t="shared" si="500"/>
        <v>1.3041000000000003</v>
      </c>
      <c r="DG36" s="51">
        <f t="shared" si="501"/>
        <v>0</v>
      </c>
      <c r="DH36" s="51">
        <f t="shared" si="502"/>
        <v>0</v>
      </c>
      <c r="DI36" s="54"/>
      <c r="DJ36" s="51">
        <f t="shared" si="503"/>
        <v>1.3041000000000003</v>
      </c>
      <c r="DK36" s="51">
        <f t="shared" si="504"/>
        <v>0</v>
      </c>
      <c r="DL36" s="51">
        <f t="shared" si="505"/>
        <v>0</v>
      </c>
      <c r="DM36" s="54"/>
      <c r="DN36" s="51">
        <f t="shared" si="506"/>
        <v>1.3041000000000003</v>
      </c>
      <c r="DO36" s="51">
        <f t="shared" si="507"/>
        <v>0</v>
      </c>
      <c r="DP36" s="51">
        <f t="shared" si="508"/>
        <v>0</v>
      </c>
      <c r="DQ36" s="54"/>
      <c r="DR36" s="51">
        <f t="shared" si="509"/>
        <v>1.3041000000000003</v>
      </c>
      <c r="DS36" s="51">
        <f t="shared" si="510"/>
        <v>0</v>
      </c>
      <c r="DT36" s="51">
        <f t="shared" si="511"/>
        <v>0</v>
      </c>
      <c r="DU36" s="54"/>
      <c r="DV36" s="51">
        <f t="shared" si="512"/>
        <v>1.3041000000000003</v>
      </c>
      <c r="DW36" s="51">
        <f t="shared" si="513"/>
        <v>0</v>
      </c>
      <c r="DX36" s="51">
        <f t="shared" si="514"/>
        <v>0</v>
      </c>
      <c r="DY36" s="54"/>
      <c r="DZ36" s="51">
        <f t="shared" si="515"/>
        <v>1.7605350000000004</v>
      </c>
      <c r="EA36" s="51">
        <f t="shared" si="516"/>
        <v>0</v>
      </c>
      <c r="EB36" s="51">
        <f t="shared" si="517"/>
        <v>0</v>
      </c>
      <c r="EC36" s="54"/>
      <c r="ED36" s="51">
        <f t="shared" si="518"/>
        <v>1.7605350000000004</v>
      </c>
      <c r="EE36" s="51">
        <f t="shared" si="519"/>
        <v>0</v>
      </c>
      <c r="EF36" s="51">
        <f t="shared" si="520"/>
        <v>0</v>
      </c>
      <c r="EG36" s="54"/>
      <c r="EH36" s="51">
        <f t="shared" si="521"/>
        <v>1.7605350000000004</v>
      </c>
      <c r="EI36" s="51">
        <f t="shared" si="522"/>
        <v>0</v>
      </c>
      <c r="EJ36" s="51">
        <f t="shared" si="523"/>
        <v>0</v>
      </c>
      <c r="EK36" s="54"/>
      <c r="EL36" s="51">
        <f t="shared" si="524"/>
        <v>1.7605350000000004</v>
      </c>
      <c r="EM36" s="51">
        <f t="shared" si="525"/>
        <v>0</v>
      </c>
      <c r="EN36" s="51">
        <f t="shared" si="526"/>
        <v>0</v>
      </c>
      <c r="EO36" s="54"/>
      <c r="EP36" s="51">
        <f t="shared" si="527"/>
        <v>1.7605350000000004</v>
      </c>
      <c r="EQ36" s="51">
        <f t="shared" si="528"/>
        <v>0</v>
      </c>
      <c r="ER36" s="51">
        <f t="shared" si="529"/>
        <v>0</v>
      </c>
      <c r="ES36" s="54"/>
      <c r="ET36" s="51">
        <f t="shared" si="438"/>
        <v>1.7605350000000004</v>
      </c>
      <c r="EU36" s="51">
        <f t="shared" si="439"/>
        <v>0</v>
      </c>
      <c r="EV36" s="51">
        <f t="shared" si="530"/>
        <v>0</v>
      </c>
      <c r="EW36" s="54"/>
      <c r="EX36" s="51">
        <f t="shared" si="531"/>
        <v>1.7605350000000004</v>
      </c>
      <c r="EY36" s="51">
        <f t="shared" si="532"/>
        <v>0</v>
      </c>
      <c r="EZ36" s="51">
        <f t="shared" si="533"/>
        <v>0</v>
      </c>
      <c r="FA36" s="54"/>
      <c r="FB36" s="51">
        <f t="shared" si="534"/>
        <v>1.7605350000000004</v>
      </c>
      <c r="FC36" s="51">
        <f t="shared" si="535"/>
        <v>0</v>
      </c>
      <c r="FD36" s="51">
        <f t="shared" si="536"/>
        <v>0</v>
      </c>
      <c r="FE36" s="54"/>
      <c r="FF36" s="51">
        <f t="shared" si="537"/>
        <v>1.7605350000000004</v>
      </c>
      <c r="FG36" s="51">
        <f t="shared" si="538"/>
        <v>0</v>
      </c>
      <c r="FH36" s="51">
        <f t="shared" si="539"/>
        <v>0</v>
      </c>
      <c r="FI36" s="54"/>
      <c r="FJ36" s="51">
        <f t="shared" si="615"/>
        <v>2.2886955000000007</v>
      </c>
      <c r="FK36" s="51">
        <f t="shared" si="616"/>
        <v>0</v>
      </c>
      <c r="FL36" s="51">
        <f t="shared" si="540"/>
        <v>0</v>
      </c>
      <c r="FM36" s="54"/>
      <c r="FN36" s="51">
        <f t="shared" si="541"/>
        <v>2.2886955000000007</v>
      </c>
      <c r="FO36" s="51">
        <f t="shared" si="542"/>
        <v>0</v>
      </c>
      <c r="FP36" s="51">
        <f t="shared" si="543"/>
        <v>0</v>
      </c>
      <c r="FQ36" s="54"/>
      <c r="FR36" s="51">
        <f>FN36*$FR$30</f>
        <v>2.2886955000000007</v>
      </c>
      <c r="FS36" s="51">
        <f>FO36*$FS$30</f>
        <v>0</v>
      </c>
      <c r="FT36" s="51">
        <f t="shared" si="546"/>
        <v>0</v>
      </c>
      <c r="FU36" s="54"/>
      <c r="FV36" s="51">
        <f t="shared" si="547"/>
        <v>2.2886955000000007</v>
      </c>
      <c r="FW36" s="51">
        <f t="shared" si="548"/>
        <v>0</v>
      </c>
      <c r="FX36" s="51">
        <f t="shared" si="549"/>
        <v>0</v>
      </c>
      <c r="FY36" s="54"/>
      <c r="FZ36" s="51">
        <f t="shared" si="550"/>
        <v>2.2886955000000007</v>
      </c>
      <c r="GA36" s="51">
        <f t="shared" si="551"/>
        <v>0</v>
      </c>
      <c r="GB36" s="51">
        <f t="shared" si="552"/>
        <v>0</v>
      </c>
      <c r="GC36" s="54"/>
      <c r="GD36" s="51">
        <f t="shared" si="553"/>
        <v>2.2886955000000007</v>
      </c>
      <c r="GE36" s="51">
        <f t="shared" si="554"/>
        <v>0</v>
      </c>
      <c r="GF36" s="51">
        <f t="shared" si="555"/>
        <v>0</v>
      </c>
      <c r="GG36" s="54"/>
      <c r="GH36" s="51">
        <f t="shared" si="556"/>
        <v>2.2886955000000007</v>
      </c>
      <c r="GI36" s="51">
        <f t="shared" si="557"/>
        <v>0</v>
      </c>
      <c r="GJ36" s="51">
        <f t="shared" si="558"/>
        <v>0</v>
      </c>
      <c r="GK36" s="54"/>
      <c r="GL36" s="51">
        <f t="shared" si="559"/>
        <v>2.2886955000000007</v>
      </c>
      <c r="GM36" s="51">
        <f t="shared" si="560"/>
        <v>0</v>
      </c>
      <c r="GN36" s="51">
        <f t="shared" si="561"/>
        <v>0</v>
      </c>
      <c r="GP36" s="51">
        <f t="shared" si="440"/>
        <v>2.2886955000000007</v>
      </c>
      <c r="GQ36" s="51">
        <f t="shared" si="441"/>
        <v>0</v>
      </c>
      <c r="GR36" s="51">
        <f t="shared" si="562"/>
        <v>0</v>
      </c>
      <c r="GS36" s="54"/>
      <c r="GT36" s="51">
        <f t="shared" si="617"/>
        <v>2.2886955000000007</v>
      </c>
      <c r="GU36" s="51">
        <f>GQ36*$GU$30</f>
        <v>0</v>
      </c>
      <c r="GV36" s="51">
        <f t="shared" si="564"/>
        <v>0</v>
      </c>
      <c r="GW36" s="54"/>
      <c r="GX36" s="51">
        <f t="shared" si="565"/>
        <v>2.2886955000000007</v>
      </c>
      <c r="GY36" s="51">
        <f t="shared" si="566"/>
        <v>0</v>
      </c>
      <c r="GZ36" s="51">
        <f t="shared" si="567"/>
        <v>0</v>
      </c>
      <c r="HA36" s="54"/>
      <c r="HB36" s="51">
        <f t="shared" si="568"/>
        <v>2.2886955000000007</v>
      </c>
      <c r="HC36" s="51">
        <f>GY36*$HC$30</f>
        <v>0</v>
      </c>
      <c r="HD36" s="51">
        <f t="shared" si="570"/>
        <v>0</v>
      </c>
      <c r="HE36" s="54"/>
      <c r="HF36" s="51">
        <f t="shared" si="571"/>
        <v>2.975304150000001</v>
      </c>
      <c r="HG36" s="51">
        <f t="shared" si="572"/>
        <v>0</v>
      </c>
      <c r="HH36" s="51">
        <f t="shared" si="573"/>
        <v>0</v>
      </c>
      <c r="HI36" s="54"/>
      <c r="HJ36" s="51">
        <f t="shared" si="574"/>
        <v>2.975304150000001</v>
      </c>
      <c r="HK36" s="51">
        <f t="shared" si="575"/>
        <v>0</v>
      </c>
      <c r="HL36" s="51">
        <f t="shared" si="576"/>
        <v>0</v>
      </c>
      <c r="HM36" s="54"/>
      <c r="HN36" s="51">
        <f t="shared" si="577"/>
        <v>2.975304150000001</v>
      </c>
      <c r="HO36" s="51">
        <f t="shared" si="578"/>
        <v>0</v>
      </c>
      <c r="HP36" s="51">
        <f t="shared" si="579"/>
        <v>0</v>
      </c>
      <c r="HQ36" s="54"/>
      <c r="HR36" s="51">
        <f t="shared" si="580"/>
        <v>2.975304150000001</v>
      </c>
      <c r="HS36" s="51">
        <f t="shared" si="581"/>
        <v>0</v>
      </c>
      <c r="HT36" s="51">
        <f t="shared" si="582"/>
        <v>0</v>
      </c>
      <c r="HU36" s="54"/>
      <c r="HV36" s="51">
        <f t="shared" si="583"/>
        <v>2.975304150000001</v>
      </c>
      <c r="HW36" s="51">
        <f t="shared" si="584"/>
        <v>0</v>
      </c>
      <c r="HX36" s="51">
        <f t="shared" si="585"/>
        <v>0</v>
      </c>
      <c r="HY36" s="54"/>
      <c r="HZ36" s="51">
        <f t="shared" si="586"/>
        <v>2.975304150000001</v>
      </c>
      <c r="IA36" s="51">
        <f t="shared" si="587"/>
        <v>0</v>
      </c>
      <c r="IB36" s="51">
        <f t="shared" si="588"/>
        <v>0</v>
      </c>
      <c r="IC36" s="54"/>
      <c r="ID36" s="51">
        <f t="shared" si="589"/>
        <v>2.975304150000001</v>
      </c>
      <c r="IE36" s="51">
        <f t="shared" si="590"/>
        <v>0</v>
      </c>
      <c r="IF36" s="51">
        <f t="shared" si="591"/>
        <v>0</v>
      </c>
      <c r="IG36" s="54"/>
      <c r="IH36" s="51">
        <f t="shared" si="592"/>
        <v>2.975304150000001</v>
      </c>
      <c r="II36" s="51">
        <f t="shared" si="593"/>
        <v>0</v>
      </c>
      <c r="IJ36" s="51">
        <f t="shared" si="594"/>
        <v>0</v>
      </c>
      <c r="IL36" s="51">
        <f t="shared" si="442"/>
        <v>2.975304150000001</v>
      </c>
      <c r="IM36" s="51">
        <f t="shared" si="443"/>
        <v>0</v>
      </c>
      <c r="IN36" s="51">
        <f t="shared" si="595"/>
        <v>0</v>
      </c>
      <c r="IO36" s="54"/>
      <c r="IP36" s="51">
        <f t="shared" si="596"/>
        <v>2.975304150000001</v>
      </c>
      <c r="IQ36" s="51">
        <f t="shared" si="597"/>
        <v>0</v>
      </c>
      <c r="IR36" s="51">
        <f t="shared" si="598"/>
        <v>0</v>
      </c>
      <c r="IS36" s="54"/>
      <c r="IT36" s="51">
        <f t="shared" si="599"/>
        <v>2.975304150000001</v>
      </c>
      <c r="IU36" s="51">
        <f t="shared" si="600"/>
        <v>0</v>
      </c>
      <c r="IV36" s="51">
        <f t="shared" si="601"/>
        <v>0</v>
      </c>
      <c r="IW36" s="54"/>
      <c r="IX36" s="51">
        <f t="shared" si="602"/>
        <v>2.975304150000001</v>
      </c>
      <c r="IY36" s="51">
        <f t="shared" si="603"/>
        <v>0</v>
      </c>
      <c r="IZ36" s="51">
        <f t="shared" si="604"/>
        <v>0</v>
      </c>
      <c r="JA36" s="54"/>
      <c r="JB36" s="51" t="e">
        <f t="shared" si="605"/>
        <v>#REF!</v>
      </c>
      <c r="JC36" s="51">
        <f t="shared" si="606"/>
        <v>0</v>
      </c>
      <c r="JD36" s="51">
        <f t="shared" si="607"/>
        <v>0</v>
      </c>
      <c r="JE36" s="54"/>
      <c r="JF36" s="51" t="e">
        <f t="shared" si="608"/>
        <v>#REF!</v>
      </c>
      <c r="JG36" s="51">
        <f t="shared" si="609"/>
        <v>0</v>
      </c>
      <c r="JH36" s="51">
        <f t="shared" si="610"/>
        <v>0</v>
      </c>
      <c r="JI36" s="54"/>
      <c r="JJ36" s="51" t="e">
        <f>JF36*$JJ$30</f>
        <v>#REF!</v>
      </c>
      <c r="JK36" s="51">
        <f t="shared" si="611"/>
        <v>0</v>
      </c>
      <c r="JL36" s="51">
        <f t="shared" si="612"/>
        <v>0</v>
      </c>
      <c r="JM36" s="54"/>
      <c r="JO36" s="80"/>
      <c r="JP36" s="80"/>
      <c r="JQ36" s="80">
        <f t="shared" si="444"/>
        <v>0</v>
      </c>
      <c r="JS36" s="80"/>
      <c r="JT36" s="80"/>
      <c r="JU36" s="80">
        <f t="shared" si="445"/>
        <v>0</v>
      </c>
      <c r="JW36" s="80"/>
      <c r="JX36" s="80"/>
      <c r="JY36" s="80">
        <f t="shared" si="446"/>
        <v>0</v>
      </c>
      <c r="KA36" s="80"/>
      <c r="KB36" s="80"/>
      <c r="KC36" s="80">
        <f t="shared" si="447"/>
        <v>0</v>
      </c>
      <c r="KE36" s="80"/>
      <c r="KF36" s="80"/>
      <c r="KG36" s="80">
        <f t="shared" si="448"/>
        <v>0</v>
      </c>
      <c r="KI36" s="80"/>
      <c r="KJ36" s="80"/>
      <c r="KK36" s="80">
        <f t="shared" si="449"/>
        <v>0</v>
      </c>
      <c r="KM36" s="80"/>
      <c r="KN36" s="80"/>
      <c r="KO36" s="80">
        <f t="shared" si="450"/>
        <v>0</v>
      </c>
    </row>
    <row r="37" ht="18.75" customHeight="1" spans="2:301" x14ac:dyDescent="0.25">
      <c r="B37" s="5" t="str">
        <f>A.IIOPEX!C37</f>
        <v>3f</v>
      </c>
      <c r="C37" s="29"/>
      <c r="D37" s="29">
        <f>A.IIOPEX!E37</f>
        <v>0</v>
      </c>
      <c r="E37" s="30"/>
      <c r="F37" s="51">
        <v>1</v>
      </c>
      <c r="G37" s="51"/>
      <c r="H37" s="51">
        <f>A.IIOPEX!I37</f>
        <v>0</v>
      </c>
      <c r="I37" s="54"/>
      <c r="J37" s="51">
        <f t="shared" si="430"/>
        <v>0.92</v>
      </c>
      <c r="K37" s="51"/>
      <c r="L37" s="51">
        <f t="shared" si="451"/>
        <v>0</v>
      </c>
      <c r="M37" s="54"/>
      <c r="N37" s="51">
        <f t="shared" si="431"/>
        <v>0.92</v>
      </c>
      <c r="O37" s="51"/>
      <c r="P37" s="51">
        <f t="shared" si="452"/>
        <v>0</v>
      </c>
      <c r="Q37" s="54"/>
      <c r="R37" s="51">
        <f t="shared" si="432"/>
        <v>0.92</v>
      </c>
      <c r="S37" s="51"/>
      <c r="T37" s="51">
        <f t="shared" si="453"/>
        <v>0</v>
      </c>
      <c r="U37" s="54"/>
      <c r="V37" s="51">
        <f t="shared" si="433"/>
        <v>0.92</v>
      </c>
      <c r="W37" s="51"/>
      <c r="X37" s="51">
        <f t="shared" si="454"/>
        <v>0</v>
      </c>
      <c r="Y37" s="54"/>
      <c r="Z37" s="51">
        <f t="shared" si="434"/>
        <v>0.92</v>
      </c>
      <c r="AA37" s="51"/>
      <c r="AB37" s="51">
        <f t="shared" si="455"/>
        <v>0</v>
      </c>
      <c r="AC37" s="54"/>
      <c r="AD37" s="51">
        <f t="shared" si="456"/>
        <v>0.92</v>
      </c>
      <c r="AE37" s="51"/>
      <c r="AF37" s="51">
        <f t="shared" si="457"/>
        <v>0</v>
      </c>
      <c r="AG37" s="54"/>
      <c r="AH37" s="51">
        <f t="shared" ref="AH37:AH40" si="620">AD37*$AH$30</f>
        <v>0.9660000000000001</v>
      </c>
      <c r="AI37" s="51"/>
      <c r="AJ37" s="51">
        <f t="shared" si="458"/>
        <v>0</v>
      </c>
      <c r="AK37" s="54"/>
      <c r="AL37" s="51">
        <f t="shared" ref="AL37:AL40" si="621">AH37*$AL$30</f>
        <v>0.9660000000000001</v>
      </c>
      <c r="AM37" s="51"/>
      <c r="AN37" s="51">
        <f t="shared" si="459"/>
        <v>0</v>
      </c>
      <c r="AO37" s="54"/>
      <c r="AP37" s="51">
        <f t="shared" ref="AP37:AP40" si="622">AL37*$AP$30</f>
        <v>0.9660000000000001</v>
      </c>
      <c r="AQ37" s="51"/>
      <c r="AR37" s="51">
        <f t="shared" si="460"/>
        <v>0</v>
      </c>
      <c r="AS37" s="54"/>
      <c r="AT37" s="51">
        <f t="shared" ref="AT37:AT40" si="623">AP37*$AT$30</f>
        <v>0.9660000000000001</v>
      </c>
      <c r="AU37" s="51"/>
      <c r="AV37" s="51">
        <f t="shared" si="461"/>
        <v>0</v>
      </c>
      <c r="AW37" s="54"/>
      <c r="AX37" s="51">
        <f t="shared" ref="AX37:AX40" si="624">AT37*$AX$30</f>
        <v>0.9660000000000001</v>
      </c>
      <c r="AY37" s="51"/>
      <c r="AZ37" s="51">
        <f t="shared" si="462"/>
        <v>0</v>
      </c>
      <c r="BA37" s="54"/>
      <c r="BB37" s="51">
        <f t="shared" si="435"/>
        <v>0.9660000000000001</v>
      </c>
      <c r="BC37" s="51"/>
      <c r="BD37" s="51">
        <f t="shared" si="463"/>
        <v>0</v>
      </c>
      <c r="BE37" s="54"/>
      <c r="BF37" s="51">
        <f t="shared" ref="BF37:BF40" si="625">BB37*$BF$30</f>
        <v>0.9660000000000001</v>
      </c>
      <c r="BG37" s="51"/>
      <c r="BH37" s="51">
        <f t="shared" si="465"/>
        <v>0</v>
      </c>
      <c r="BI37" s="54"/>
      <c r="BJ37" s="51">
        <f t="shared" ref="BJ37:BJ40" si="626">BF37*$BJ$30</f>
        <v>0.9660000000000001</v>
      </c>
      <c r="BK37" s="51">
        <f t="shared" ref="BK37:BK40" si="627">BG37*$BK$30</f>
        <v>0</v>
      </c>
      <c r="BL37" s="51">
        <f t="shared" si="468"/>
        <v>0</v>
      </c>
      <c r="BM37" s="54"/>
      <c r="BN37" s="51">
        <f t="shared" ref="BN37:BN40" si="628">BJ37*$BN$30</f>
        <v>0.9660000000000001</v>
      </c>
      <c r="BO37" s="51">
        <f t="shared" ref="BO37:BO40" si="629">BK37*$BO$30</f>
        <v>0</v>
      </c>
      <c r="BP37" s="51">
        <f t="shared" si="471"/>
        <v>0</v>
      </c>
      <c r="BQ37" s="54"/>
      <c r="BR37" s="51">
        <f t="shared" ref="BR37:BR40" si="630">BN37*$BR$30</f>
        <v>0.9660000000000001</v>
      </c>
      <c r="BS37" s="51">
        <f t="shared" ref="BS37:BS40" si="631">BO37*$BS$30</f>
        <v>0</v>
      </c>
      <c r="BT37" s="51">
        <f t="shared" si="474"/>
        <v>0</v>
      </c>
      <c r="BU37" s="54"/>
      <c r="BV37" s="51">
        <f t="shared" ref="BV37:BV40" si="632">BR37*$BV$30</f>
        <v>0.9660000000000001</v>
      </c>
      <c r="BW37" s="51">
        <f t="shared" ref="BW37:BW40" si="633">BS37*$BW$30</f>
        <v>0</v>
      </c>
      <c r="BX37" s="51">
        <f t="shared" si="477"/>
        <v>0</v>
      </c>
      <c r="BY37" s="54"/>
      <c r="BZ37" s="51">
        <f t="shared" ref="BZ37:BZ40" si="634">BV37*$BZ$30</f>
        <v>0.9660000000000001</v>
      </c>
      <c r="CA37" s="51">
        <f t="shared" ref="CA37:CA40" si="635">BW37*$CA$30</f>
        <v>0</v>
      </c>
      <c r="CB37" s="51">
        <f t="shared" si="480"/>
        <v>0</v>
      </c>
      <c r="CC37" s="54"/>
      <c r="CD37" s="51">
        <f t="shared" ref="CD37:CD40" si="636">BZ37*$CD$30</f>
        <v>1.3041000000000003</v>
      </c>
      <c r="CE37" s="51">
        <f t="shared" ref="CE37:CE40" si="637">CA37*$CE$30</f>
        <v>0</v>
      </c>
      <c r="CF37" s="51">
        <f t="shared" si="483"/>
        <v>0</v>
      </c>
      <c r="CG37" s="54"/>
      <c r="CH37" s="51">
        <f t="shared" ref="CH37:CH40" si="638">CD37*$CH$30</f>
        <v>1.3041000000000003</v>
      </c>
      <c r="CI37" s="51">
        <f t="shared" ref="CI37:CI40" si="639">CE37*$CI$30</f>
        <v>0</v>
      </c>
      <c r="CJ37" s="51">
        <f t="shared" si="486"/>
        <v>0</v>
      </c>
      <c r="CK37" s="54"/>
      <c r="CL37" s="51">
        <f t="shared" ref="CL37:CL40" si="640">CH37*$CL$30</f>
        <v>1.3041000000000003</v>
      </c>
      <c r="CM37" s="51">
        <f t="shared" ref="CM37:CM40" si="641">CI37*$CM$30</f>
        <v>0</v>
      </c>
      <c r="CN37" s="51">
        <f t="shared" si="489"/>
        <v>0</v>
      </c>
      <c r="CO37" s="54"/>
      <c r="CP37" s="51">
        <f t="shared" ref="CP37:CP40" si="642">CL37*$CP$30</f>
        <v>1.3041000000000003</v>
      </c>
      <c r="CQ37" s="51">
        <f t="shared" ref="CQ37:CQ40" si="643">CM37*$CQ$30</f>
        <v>0</v>
      </c>
      <c r="CR37" s="51">
        <f t="shared" si="492"/>
        <v>0</v>
      </c>
      <c r="CS37" s="54"/>
      <c r="CT37" s="51">
        <f t="shared" ref="CT37:CT40" si="644">CP37*$CT$30</f>
        <v>1.3041000000000003</v>
      </c>
      <c r="CU37" s="51">
        <f t="shared" ref="CU37:CU40" si="645">CQ37*$CU$30</f>
        <v>0</v>
      </c>
      <c r="CV37" s="51">
        <f t="shared" si="495"/>
        <v>0</v>
      </c>
      <c r="CW37" s="54"/>
      <c r="CX37" s="51">
        <f t="shared" si="436"/>
        <v>1.3041000000000003</v>
      </c>
      <c r="CY37" s="51">
        <f t="shared" si="437"/>
        <v>0</v>
      </c>
      <c r="CZ37" s="51">
        <f t="shared" si="496"/>
        <v>0</v>
      </c>
      <c r="DA37" s="54"/>
      <c r="DB37" s="51">
        <f t="shared" ref="DB37:DB40" si="646">CX37*$DB$30</f>
        <v>1.3041000000000003</v>
      </c>
      <c r="DC37" s="51">
        <f t="shared" ref="DC37:DC40" si="647">CY37*$DC$30</f>
        <v>0</v>
      </c>
      <c r="DD37" s="51">
        <f t="shared" si="499"/>
        <v>0</v>
      </c>
      <c r="DE37" s="54"/>
      <c r="DF37" s="51">
        <f t="shared" ref="DF37:DF40" si="648">DB37*$DF$30</f>
        <v>1.3041000000000003</v>
      </c>
      <c r="DG37" s="51">
        <f t="shared" ref="DG37:DG40" si="649">DC37*$DG$30</f>
        <v>0</v>
      </c>
      <c r="DH37" s="51">
        <f t="shared" si="502"/>
        <v>0</v>
      </c>
      <c r="DI37" s="54"/>
      <c r="DJ37" s="51">
        <f t="shared" ref="DJ37:DJ40" si="650">DF37*$DJ$30</f>
        <v>1.3041000000000003</v>
      </c>
      <c r="DK37" s="51">
        <f t="shared" ref="DK37:DK40" si="651">DG37*$DK$30</f>
        <v>0</v>
      </c>
      <c r="DL37" s="51">
        <f t="shared" si="505"/>
        <v>0</v>
      </c>
      <c r="DM37" s="54"/>
      <c r="DN37" s="51">
        <f t="shared" ref="DN37:DN40" si="652">DJ37*$DN$30</f>
        <v>1.3041000000000003</v>
      </c>
      <c r="DO37" s="51">
        <f t="shared" ref="DO37:DO40" si="653">DK37*$DO$30</f>
        <v>0</v>
      </c>
      <c r="DP37" s="51">
        <f t="shared" si="508"/>
        <v>0</v>
      </c>
      <c r="DQ37" s="54"/>
      <c r="DR37" s="51">
        <f t="shared" ref="DR37:DR40" si="654">DN37*$DR$30</f>
        <v>1.3041000000000003</v>
      </c>
      <c r="DS37" s="51">
        <f t="shared" ref="DS37:DS40" si="655">DO37*$DS$30</f>
        <v>0</v>
      </c>
      <c r="DT37" s="51">
        <f t="shared" si="511"/>
        <v>0</v>
      </c>
      <c r="DU37" s="54"/>
      <c r="DV37" s="51">
        <f t="shared" ref="DV37:DV40" si="656">DR37*$DV$30</f>
        <v>1.3041000000000003</v>
      </c>
      <c r="DW37" s="51">
        <f t="shared" ref="DW37:DW40" si="657">DS37*$DW$30</f>
        <v>0</v>
      </c>
      <c r="DX37" s="51">
        <f t="shared" si="514"/>
        <v>0</v>
      </c>
      <c r="DY37" s="54"/>
      <c r="DZ37" s="51">
        <f t="shared" ref="DZ37:DZ40" si="658">DV37*$DZ$30</f>
        <v>1.7605350000000004</v>
      </c>
      <c r="EA37" s="51">
        <f t="shared" ref="EA37:EA40" si="659">DW37*$EA$30</f>
        <v>0</v>
      </c>
      <c r="EB37" s="51">
        <f t="shared" si="517"/>
        <v>0</v>
      </c>
      <c r="EC37" s="54"/>
      <c r="ED37" s="51">
        <f t="shared" ref="ED37:ED40" si="660">DZ37*$ED$30</f>
        <v>1.7605350000000004</v>
      </c>
      <c r="EE37" s="51">
        <f t="shared" ref="EE37:EE40" si="661">EA37*$EE$30</f>
        <v>0</v>
      </c>
      <c r="EF37" s="51">
        <f t="shared" si="520"/>
        <v>0</v>
      </c>
      <c r="EG37" s="54"/>
      <c r="EH37" s="51">
        <f t="shared" ref="EH37:EH40" si="662">ED37*$EH$30</f>
        <v>1.7605350000000004</v>
      </c>
      <c r="EI37" s="51">
        <f t="shared" ref="EI37:EI40" si="663">EE37*$EI$30</f>
        <v>0</v>
      </c>
      <c r="EJ37" s="51">
        <f t="shared" si="523"/>
        <v>0</v>
      </c>
      <c r="EK37" s="54"/>
      <c r="EL37" s="51">
        <f t="shared" ref="EL37:EL40" si="664">EH37*$EL$30</f>
        <v>1.7605350000000004</v>
      </c>
      <c r="EM37" s="51">
        <f t="shared" ref="EM37:EM40" si="665">EI37*$EM$30</f>
        <v>0</v>
      </c>
      <c r="EN37" s="51">
        <f t="shared" si="526"/>
        <v>0</v>
      </c>
      <c r="EO37" s="54"/>
      <c r="EP37" s="51">
        <f t="shared" ref="EP37:EP40" si="666">EL37*$EP$30</f>
        <v>1.7605350000000004</v>
      </c>
      <c r="EQ37" s="51">
        <f t="shared" ref="EQ37:EQ40" si="667">EM37*$EQ$30</f>
        <v>0</v>
      </c>
      <c r="ER37" s="51">
        <f t="shared" si="529"/>
        <v>0</v>
      </c>
      <c r="ES37" s="54"/>
      <c r="ET37" s="51">
        <f t="shared" si="438"/>
        <v>1.7605350000000004</v>
      </c>
      <c r="EU37" s="51">
        <f t="shared" si="439"/>
        <v>0</v>
      </c>
      <c r="EV37" s="51">
        <f t="shared" si="530"/>
        <v>0</v>
      </c>
      <c r="EW37" s="54"/>
      <c r="EX37" s="51">
        <f t="shared" ref="EX37:EX40" si="668">ET37*$EX$30</f>
        <v>1.7605350000000004</v>
      </c>
      <c r="EY37" s="51">
        <f t="shared" ref="EY37:EY40" si="669">EU37*$EY$30</f>
        <v>0</v>
      </c>
      <c r="EZ37" s="51">
        <f t="shared" si="533"/>
        <v>0</v>
      </c>
      <c r="FA37" s="54"/>
      <c r="FB37" s="51">
        <f t="shared" ref="FB37:FB40" si="670">EX37*$FB$30</f>
        <v>1.7605350000000004</v>
      </c>
      <c r="FC37" s="51">
        <f t="shared" ref="FC37:FC40" si="671">EY37*$FC$30</f>
        <v>0</v>
      </c>
      <c r="FD37" s="51">
        <f t="shared" si="536"/>
        <v>0</v>
      </c>
      <c r="FE37" s="54"/>
      <c r="FF37" s="51">
        <f t="shared" ref="FF37:FF40" si="672">FB37*$FF$30</f>
        <v>1.7605350000000004</v>
      </c>
      <c r="FG37" s="51">
        <f t="shared" ref="FG37:FG40" si="673">FC37*$FG$30</f>
        <v>0</v>
      </c>
      <c r="FH37" s="51">
        <f t="shared" si="539"/>
        <v>0</v>
      </c>
      <c r="FI37" s="54"/>
      <c r="FJ37" s="51">
        <f t="shared" ref="FJ37:FJ40" si="674">FF37*$FJ$30</f>
        <v>2.2886955000000007</v>
      </c>
      <c r="FK37" s="51">
        <f t="shared" ref="FK37:FK40" si="675">FG37*$FK$30</f>
        <v>0</v>
      </c>
      <c r="FL37" s="51">
        <f t="shared" si="540"/>
        <v>0</v>
      </c>
      <c r="FM37" s="54"/>
      <c r="FN37" s="51">
        <f t="shared" ref="FN37:FN40" si="676">FJ37*$FN$30</f>
        <v>2.2886955000000007</v>
      </c>
      <c r="FO37" s="51">
        <f t="shared" ref="FO37:FO40" si="677">FK37*$FO$30</f>
        <v>0</v>
      </c>
      <c r="FP37" s="51">
        <f t="shared" si="543"/>
        <v>0</v>
      </c>
      <c r="FQ37" s="54"/>
      <c r="FR37" s="51">
        <f t="shared" ref="FR37:FR40" si="678">FN37*$FR$30</f>
        <v>2.2886955000000007</v>
      </c>
      <c r="FS37" s="51">
        <f t="shared" ref="FS37:FS40" si="679">FO37*$FS$30</f>
        <v>0</v>
      </c>
      <c r="FT37" s="51">
        <f t="shared" si="546"/>
        <v>0</v>
      </c>
      <c r="FU37" s="54"/>
      <c r="FV37" s="51">
        <f t="shared" ref="FV37:FV40" si="680">FR37*$FV$30</f>
        <v>2.2886955000000007</v>
      </c>
      <c r="FW37" s="51">
        <f t="shared" ref="FW37:FW40" si="681">FS37*$FW$30</f>
        <v>0</v>
      </c>
      <c r="FX37" s="51">
        <f t="shared" si="549"/>
        <v>0</v>
      </c>
      <c r="FY37" s="54"/>
      <c r="FZ37" s="51">
        <f t="shared" ref="FZ37:FZ40" si="682">FV37*$FZ$30</f>
        <v>2.2886955000000007</v>
      </c>
      <c r="GA37" s="51">
        <f t="shared" ref="GA37:GA40" si="683">FW37*$GA$30</f>
        <v>0</v>
      </c>
      <c r="GB37" s="51">
        <f t="shared" si="552"/>
        <v>0</v>
      </c>
      <c r="GC37" s="54"/>
      <c r="GD37" s="51">
        <f t="shared" ref="GD37:GD40" si="684">FZ37*$GD$30</f>
        <v>2.2886955000000007</v>
      </c>
      <c r="GE37" s="51">
        <f t="shared" ref="GE37:GE40" si="685">GA37*$GE$30</f>
        <v>0</v>
      </c>
      <c r="GF37" s="51">
        <f t="shared" si="555"/>
        <v>0</v>
      </c>
      <c r="GG37" s="54"/>
      <c r="GH37" s="51">
        <f t="shared" ref="GH37:GH40" si="686">GD37*$GH$30</f>
        <v>2.2886955000000007</v>
      </c>
      <c r="GI37" s="51">
        <f t="shared" ref="GI37:GI40" si="687">GE37*$GI$30</f>
        <v>0</v>
      </c>
      <c r="GJ37" s="51">
        <f t="shared" si="558"/>
        <v>0</v>
      </c>
      <c r="GK37" s="54"/>
      <c r="GL37" s="51">
        <f t="shared" ref="GL37:GL40" si="688">GH37*$GL$30</f>
        <v>2.2886955000000007</v>
      </c>
      <c r="GM37" s="51">
        <f t="shared" ref="GM37:GM40" si="689">GI37*$GM$30</f>
        <v>0</v>
      </c>
      <c r="GN37" s="51">
        <f t="shared" si="561"/>
        <v>0</v>
      </c>
      <c r="GP37" s="51">
        <f t="shared" si="440"/>
        <v>2.2886955000000007</v>
      </c>
      <c r="GQ37" s="51">
        <f t="shared" si="441"/>
        <v>0</v>
      </c>
      <c r="GR37" s="51">
        <f t="shared" si="562"/>
        <v>0</v>
      </c>
      <c r="GS37" s="54"/>
      <c r="GT37" s="51">
        <f t="shared" ref="GT37:GT40" si="690">GP37*$GT$30</f>
        <v>2.2886955000000007</v>
      </c>
      <c r="GU37" s="51">
        <f t="shared" ref="GU37:GU40" si="691">GQ37*$GU$30</f>
        <v>0</v>
      </c>
      <c r="GV37" s="51">
        <f t="shared" si="564"/>
        <v>0</v>
      </c>
      <c r="GW37" s="54"/>
      <c r="GX37" s="51">
        <f t="shared" ref="GX37:GX40" si="692">GT37*$GX$30</f>
        <v>2.2886955000000007</v>
      </c>
      <c r="GY37" s="51">
        <f t="shared" ref="GY37:GY40" si="693">GU37*$GY$30</f>
        <v>0</v>
      </c>
      <c r="GZ37" s="51">
        <f t="shared" si="567"/>
        <v>0</v>
      </c>
      <c r="HA37" s="54"/>
      <c r="HB37" s="51">
        <f t="shared" ref="HB37:HB40" si="694">GX37*$HB$30</f>
        <v>2.2886955000000007</v>
      </c>
      <c r="HC37" s="51">
        <f t="shared" ref="HC37:HC40" si="695">GY37*$HC$30</f>
        <v>0</v>
      </c>
      <c r="HD37" s="51">
        <f t="shared" si="570"/>
        <v>0</v>
      </c>
      <c r="HE37" s="54"/>
      <c r="HF37" s="51">
        <f t="shared" ref="HF37:HF40" si="696">HB37*$HF$30</f>
        <v>2.975304150000001</v>
      </c>
      <c r="HG37" s="51">
        <f t="shared" ref="HG37:HG40" si="697">HC37*$HG$30</f>
        <v>0</v>
      </c>
      <c r="HH37" s="51">
        <f t="shared" si="573"/>
        <v>0</v>
      </c>
      <c r="HI37" s="54"/>
      <c r="HJ37" s="51">
        <f t="shared" ref="HJ37:HJ40" si="698">HF37*$HJ$30</f>
        <v>2.975304150000001</v>
      </c>
      <c r="HK37" s="51">
        <f t="shared" ref="HK37:HK40" si="699">HG37*$HK$30</f>
        <v>0</v>
      </c>
      <c r="HL37" s="51">
        <f t="shared" si="576"/>
        <v>0</v>
      </c>
      <c r="HM37" s="54"/>
      <c r="HN37" s="51">
        <f t="shared" ref="HN37:HN40" si="700">HJ37*$HN$30</f>
        <v>2.975304150000001</v>
      </c>
      <c r="HO37" s="51">
        <f t="shared" ref="HO37:HO40" si="701">HK37*$HO$30</f>
        <v>0</v>
      </c>
      <c r="HP37" s="51">
        <f t="shared" si="579"/>
        <v>0</v>
      </c>
      <c r="HQ37" s="54"/>
      <c r="HR37" s="51">
        <f t="shared" ref="HR37:HR40" si="702">HN37*$HR$30</f>
        <v>2.975304150000001</v>
      </c>
      <c r="HS37" s="51">
        <f t="shared" ref="HS37:HS40" si="703">HO37*$HS$30</f>
        <v>0</v>
      </c>
      <c r="HT37" s="51">
        <f t="shared" si="582"/>
        <v>0</v>
      </c>
      <c r="HU37" s="54"/>
      <c r="HV37" s="51">
        <f t="shared" ref="HV37:HV40" si="704">HR37*$HV$30</f>
        <v>2.975304150000001</v>
      </c>
      <c r="HW37" s="51">
        <f t="shared" ref="HW37:HW40" si="705">HS37*$HW$30</f>
        <v>0</v>
      </c>
      <c r="HX37" s="51">
        <f t="shared" si="585"/>
        <v>0</v>
      </c>
      <c r="HY37" s="54"/>
      <c r="HZ37" s="51">
        <f t="shared" ref="HZ37:HZ40" si="706">HV37*$HZ$30</f>
        <v>2.975304150000001</v>
      </c>
      <c r="IA37" s="51">
        <f t="shared" ref="IA37:IA40" si="707">HW37*$IA$30</f>
        <v>0</v>
      </c>
      <c r="IB37" s="51">
        <f t="shared" si="588"/>
        <v>0</v>
      </c>
      <c r="IC37" s="54"/>
      <c r="ID37" s="51">
        <f t="shared" ref="ID37:ID40" si="708">HZ37*$ID$30</f>
        <v>2.975304150000001</v>
      </c>
      <c r="IE37" s="51">
        <f t="shared" ref="IE37:IE40" si="709">IA37*$IE$30</f>
        <v>0</v>
      </c>
      <c r="IF37" s="51">
        <f t="shared" si="591"/>
        <v>0</v>
      </c>
      <c r="IG37" s="54"/>
      <c r="IH37" s="51">
        <f t="shared" ref="IH37:IH40" si="710">ID37*$IH$30</f>
        <v>2.975304150000001</v>
      </c>
      <c r="II37" s="51">
        <f t="shared" ref="II37:II40" si="711">IE37*$II$30</f>
        <v>0</v>
      </c>
      <c r="IJ37" s="51">
        <f t="shared" si="594"/>
        <v>0</v>
      </c>
      <c r="IL37" s="51">
        <f t="shared" si="442"/>
        <v>2.975304150000001</v>
      </c>
      <c r="IM37" s="51">
        <f t="shared" si="443"/>
        <v>0</v>
      </c>
      <c r="IN37" s="51">
        <f t="shared" si="595"/>
        <v>0</v>
      </c>
      <c r="IO37" s="54"/>
      <c r="IP37" s="51">
        <f t="shared" ref="IP37:IP40" si="712">IL37*$IP$30</f>
        <v>2.975304150000001</v>
      </c>
      <c r="IQ37" s="51">
        <f t="shared" ref="IQ37:IQ40" si="713">IM37*$IQ$30</f>
        <v>0</v>
      </c>
      <c r="IR37" s="51">
        <f t="shared" si="598"/>
        <v>0</v>
      </c>
      <c r="IS37" s="54"/>
      <c r="IT37" s="51">
        <f t="shared" ref="IT37:IT40" si="714">IP37*$IT$30</f>
        <v>2.975304150000001</v>
      </c>
      <c r="IU37" s="51">
        <f t="shared" ref="IU37:IU40" si="715">IQ37*$IU$30</f>
        <v>0</v>
      </c>
      <c r="IV37" s="51">
        <f t="shared" si="601"/>
        <v>0</v>
      </c>
      <c r="IW37" s="54"/>
      <c r="IX37" s="51">
        <f t="shared" ref="IX37:IX40" si="716">IT37*$IX$30</f>
        <v>2.975304150000001</v>
      </c>
      <c r="IY37" s="51">
        <f t="shared" ref="IY37:IY40" si="717">IU37*$IY$30</f>
        <v>0</v>
      </c>
      <c r="IZ37" s="51">
        <f t="shared" si="604"/>
        <v>0</v>
      </c>
      <c r="JA37" s="54"/>
      <c r="JB37" s="51" t="e">
        <f t="shared" ref="JB37:JB40" si="718">IX37*$JB$30</f>
        <v>#REF!</v>
      </c>
      <c r="JC37" s="51">
        <f t="shared" ref="JC37:JC40" si="719">IY37*$JC$30</f>
        <v>0</v>
      </c>
      <c r="JD37" s="51">
        <f t="shared" si="607"/>
        <v>0</v>
      </c>
      <c r="JE37" s="54"/>
      <c r="JF37" s="51" t="e">
        <f t="shared" ref="JF37:JF40" si="720">JB37*$JF$30</f>
        <v>#REF!</v>
      </c>
      <c r="JG37" s="51">
        <f t="shared" ref="JG37:JG40" si="721">JC37*$JG$30</f>
        <v>0</v>
      </c>
      <c r="JH37" s="51">
        <f t="shared" si="610"/>
        <v>0</v>
      </c>
      <c r="JI37" s="54"/>
      <c r="JJ37" s="51" t="e">
        <f t="shared" ref="JJ37:JJ40" si="722">JF37*$JJ$30</f>
        <v>#REF!</v>
      </c>
      <c r="JK37" s="51">
        <f t="shared" ref="JK37:JK40" si="723">JG37*$JK$30</f>
        <v>0</v>
      </c>
      <c r="JL37" s="51">
        <f t="shared" si="612"/>
        <v>0</v>
      </c>
      <c r="JM37" s="54"/>
      <c r="JO37" s="80"/>
      <c r="JP37" s="80"/>
      <c r="JQ37" s="80">
        <f t="shared" si="444"/>
        <v>0</v>
      </c>
      <c r="JS37" s="80"/>
      <c r="JT37" s="80"/>
      <c r="JU37" s="80">
        <f t="shared" si="445"/>
        <v>0</v>
      </c>
      <c r="JW37" s="80"/>
      <c r="JX37" s="80"/>
      <c r="JY37" s="80">
        <f t="shared" si="446"/>
        <v>0</v>
      </c>
      <c r="KA37" s="80"/>
      <c r="KB37" s="80"/>
      <c r="KC37" s="80">
        <f t="shared" si="447"/>
        <v>0</v>
      </c>
      <c r="KE37" s="80"/>
      <c r="KF37" s="80"/>
      <c r="KG37" s="80">
        <f t="shared" si="448"/>
        <v>0</v>
      </c>
      <c r="KI37" s="80"/>
      <c r="KJ37" s="80"/>
      <c r="KK37" s="80">
        <f t="shared" si="449"/>
        <v>0</v>
      </c>
      <c r="KM37" s="80"/>
      <c r="KN37" s="80"/>
      <c r="KO37" s="80">
        <f t="shared" si="450"/>
        <v>0</v>
      </c>
    </row>
    <row r="38" ht="18.75" customHeight="1" spans="2:301" x14ac:dyDescent="0.25">
      <c r="B38" s="5" t="str">
        <f>A.IIOPEX!C38</f>
        <v>3g</v>
      </c>
      <c r="C38" s="29"/>
      <c r="D38" s="29">
        <f>A.IIOPEX!E38</f>
        <v>0</v>
      </c>
      <c r="E38" s="30"/>
      <c r="F38" s="51">
        <v>1</v>
      </c>
      <c r="G38" s="51"/>
      <c r="H38" s="51">
        <f>A.IIOPEX!I38</f>
        <v>0</v>
      </c>
      <c r="I38" s="54"/>
      <c r="J38" s="51">
        <f t="shared" si="430"/>
        <v>0.92</v>
      </c>
      <c r="K38" s="51"/>
      <c r="L38" s="51">
        <f t="shared" si="451"/>
        <v>0</v>
      </c>
      <c r="M38" s="54"/>
      <c r="N38" s="51">
        <f t="shared" si="431"/>
        <v>0.92</v>
      </c>
      <c r="O38" s="51"/>
      <c r="P38" s="51">
        <f t="shared" si="452"/>
        <v>0</v>
      </c>
      <c r="Q38" s="54"/>
      <c r="R38" s="51">
        <f t="shared" si="432"/>
        <v>0.92</v>
      </c>
      <c r="S38" s="51"/>
      <c r="T38" s="51">
        <f t="shared" si="453"/>
        <v>0</v>
      </c>
      <c r="U38" s="54"/>
      <c r="V38" s="51">
        <f t="shared" si="433"/>
        <v>0.92</v>
      </c>
      <c r="W38" s="51"/>
      <c r="X38" s="51">
        <f t="shared" si="454"/>
        <v>0</v>
      </c>
      <c r="Y38" s="54"/>
      <c r="Z38" s="51">
        <f t="shared" si="434"/>
        <v>0.92</v>
      </c>
      <c r="AA38" s="51"/>
      <c r="AB38" s="51">
        <f t="shared" si="455"/>
        <v>0</v>
      </c>
      <c r="AC38" s="54"/>
      <c r="AD38" s="51">
        <f t="shared" si="456"/>
        <v>0.92</v>
      </c>
      <c r="AE38" s="51"/>
      <c r="AF38" s="51">
        <f t="shared" si="457"/>
        <v>0</v>
      </c>
      <c r="AG38" s="54"/>
      <c r="AH38" s="51">
        <f t="shared" si="620"/>
        <v>0.9660000000000001</v>
      </c>
      <c r="AI38" s="51"/>
      <c r="AJ38" s="51">
        <f t="shared" si="458"/>
        <v>0</v>
      </c>
      <c r="AK38" s="54"/>
      <c r="AL38" s="51">
        <f t="shared" si="621"/>
        <v>0.9660000000000001</v>
      </c>
      <c r="AM38" s="51"/>
      <c r="AN38" s="51">
        <f t="shared" si="459"/>
        <v>0</v>
      </c>
      <c r="AO38" s="54"/>
      <c r="AP38" s="51">
        <f t="shared" si="622"/>
        <v>0.9660000000000001</v>
      </c>
      <c r="AQ38" s="51"/>
      <c r="AR38" s="51">
        <f t="shared" si="460"/>
        <v>0</v>
      </c>
      <c r="AS38" s="54"/>
      <c r="AT38" s="51">
        <f t="shared" si="623"/>
        <v>0.9660000000000001</v>
      </c>
      <c r="AU38" s="51"/>
      <c r="AV38" s="51">
        <f t="shared" si="461"/>
        <v>0</v>
      </c>
      <c r="AW38" s="54"/>
      <c r="AX38" s="51">
        <f t="shared" si="624"/>
        <v>0.9660000000000001</v>
      </c>
      <c r="AY38" s="51"/>
      <c r="AZ38" s="51">
        <f t="shared" si="462"/>
        <v>0</v>
      </c>
      <c r="BA38" s="54"/>
      <c r="BB38" s="51">
        <f t="shared" si="435"/>
        <v>0.9660000000000001</v>
      </c>
      <c r="BC38" s="51"/>
      <c r="BD38" s="51">
        <f t="shared" si="463"/>
        <v>0</v>
      </c>
      <c r="BE38" s="54"/>
      <c r="BF38" s="51">
        <f t="shared" si="625"/>
        <v>0.9660000000000001</v>
      </c>
      <c r="BG38" s="51"/>
      <c r="BH38" s="51">
        <f t="shared" si="465"/>
        <v>0</v>
      </c>
      <c r="BI38" s="54"/>
      <c r="BJ38" s="51">
        <f t="shared" si="626"/>
        <v>0.9660000000000001</v>
      </c>
      <c r="BK38" s="51">
        <f t="shared" si="627"/>
        <v>0</v>
      </c>
      <c r="BL38" s="51">
        <f t="shared" si="468"/>
        <v>0</v>
      </c>
      <c r="BM38" s="54"/>
      <c r="BN38" s="51">
        <f t="shared" si="628"/>
        <v>0.9660000000000001</v>
      </c>
      <c r="BO38" s="51">
        <f t="shared" si="629"/>
        <v>0</v>
      </c>
      <c r="BP38" s="51">
        <f t="shared" si="471"/>
        <v>0</v>
      </c>
      <c r="BQ38" s="54"/>
      <c r="BR38" s="51">
        <f t="shared" si="630"/>
        <v>0.9660000000000001</v>
      </c>
      <c r="BS38" s="51">
        <f t="shared" si="631"/>
        <v>0</v>
      </c>
      <c r="BT38" s="51">
        <f t="shared" si="474"/>
        <v>0</v>
      </c>
      <c r="BU38" s="54"/>
      <c r="BV38" s="51">
        <f t="shared" si="632"/>
        <v>0.9660000000000001</v>
      </c>
      <c r="BW38" s="51">
        <f t="shared" si="633"/>
        <v>0</v>
      </c>
      <c r="BX38" s="51">
        <f t="shared" si="477"/>
        <v>0</v>
      </c>
      <c r="BY38" s="54"/>
      <c r="BZ38" s="51">
        <f t="shared" si="634"/>
        <v>0.9660000000000001</v>
      </c>
      <c r="CA38" s="51">
        <f t="shared" si="635"/>
        <v>0</v>
      </c>
      <c r="CB38" s="51">
        <f t="shared" si="480"/>
        <v>0</v>
      </c>
      <c r="CC38" s="54"/>
      <c r="CD38" s="51">
        <f t="shared" si="636"/>
        <v>1.3041000000000003</v>
      </c>
      <c r="CE38" s="51">
        <f t="shared" si="637"/>
        <v>0</v>
      </c>
      <c r="CF38" s="51">
        <f t="shared" si="483"/>
        <v>0</v>
      </c>
      <c r="CG38" s="54"/>
      <c r="CH38" s="51">
        <f t="shared" si="638"/>
        <v>1.3041000000000003</v>
      </c>
      <c r="CI38" s="51">
        <f t="shared" si="639"/>
        <v>0</v>
      </c>
      <c r="CJ38" s="51">
        <f t="shared" si="486"/>
        <v>0</v>
      </c>
      <c r="CK38" s="54"/>
      <c r="CL38" s="51">
        <f t="shared" si="640"/>
        <v>1.3041000000000003</v>
      </c>
      <c r="CM38" s="51">
        <f t="shared" si="641"/>
        <v>0</v>
      </c>
      <c r="CN38" s="51">
        <f t="shared" si="489"/>
        <v>0</v>
      </c>
      <c r="CO38" s="54"/>
      <c r="CP38" s="51">
        <f t="shared" si="642"/>
        <v>1.3041000000000003</v>
      </c>
      <c r="CQ38" s="51">
        <f t="shared" si="643"/>
        <v>0</v>
      </c>
      <c r="CR38" s="51">
        <f t="shared" si="492"/>
        <v>0</v>
      </c>
      <c r="CS38" s="54"/>
      <c r="CT38" s="51">
        <f t="shared" si="644"/>
        <v>1.3041000000000003</v>
      </c>
      <c r="CU38" s="51">
        <f t="shared" si="645"/>
        <v>0</v>
      </c>
      <c r="CV38" s="51">
        <f t="shared" si="495"/>
        <v>0</v>
      </c>
      <c r="CW38" s="54"/>
      <c r="CX38" s="51">
        <f t="shared" si="436"/>
        <v>1.3041000000000003</v>
      </c>
      <c r="CY38" s="51">
        <f t="shared" si="437"/>
        <v>0</v>
      </c>
      <c r="CZ38" s="51">
        <f t="shared" si="496"/>
        <v>0</v>
      </c>
      <c r="DA38" s="54"/>
      <c r="DB38" s="51">
        <f t="shared" si="646"/>
        <v>1.3041000000000003</v>
      </c>
      <c r="DC38" s="51">
        <f t="shared" si="647"/>
        <v>0</v>
      </c>
      <c r="DD38" s="51">
        <f t="shared" si="499"/>
        <v>0</v>
      </c>
      <c r="DE38" s="54"/>
      <c r="DF38" s="51">
        <f t="shared" si="648"/>
        <v>1.3041000000000003</v>
      </c>
      <c r="DG38" s="51">
        <f t="shared" si="649"/>
        <v>0</v>
      </c>
      <c r="DH38" s="51">
        <f t="shared" si="502"/>
        <v>0</v>
      </c>
      <c r="DI38" s="54"/>
      <c r="DJ38" s="51">
        <f t="shared" si="650"/>
        <v>1.3041000000000003</v>
      </c>
      <c r="DK38" s="51">
        <f t="shared" si="651"/>
        <v>0</v>
      </c>
      <c r="DL38" s="51">
        <f t="shared" si="505"/>
        <v>0</v>
      </c>
      <c r="DM38" s="54"/>
      <c r="DN38" s="51">
        <f t="shared" si="652"/>
        <v>1.3041000000000003</v>
      </c>
      <c r="DO38" s="51">
        <f t="shared" si="653"/>
        <v>0</v>
      </c>
      <c r="DP38" s="51">
        <f t="shared" si="508"/>
        <v>0</v>
      </c>
      <c r="DQ38" s="54"/>
      <c r="DR38" s="51">
        <f t="shared" si="654"/>
        <v>1.3041000000000003</v>
      </c>
      <c r="DS38" s="51">
        <f t="shared" si="655"/>
        <v>0</v>
      </c>
      <c r="DT38" s="51">
        <f t="shared" si="511"/>
        <v>0</v>
      </c>
      <c r="DU38" s="54"/>
      <c r="DV38" s="51">
        <f t="shared" si="656"/>
        <v>1.3041000000000003</v>
      </c>
      <c r="DW38" s="51">
        <f t="shared" si="657"/>
        <v>0</v>
      </c>
      <c r="DX38" s="51">
        <f t="shared" si="514"/>
        <v>0</v>
      </c>
      <c r="DY38" s="54"/>
      <c r="DZ38" s="51">
        <f t="shared" si="658"/>
        <v>1.7605350000000004</v>
      </c>
      <c r="EA38" s="51">
        <f t="shared" si="659"/>
        <v>0</v>
      </c>
      <c r="EB38" s="51">
        <f t="shared" si="517"/>
        <v>0</v>
      </c>
      <c r="EC38" s="54"/>
      <c r="ED38" s="51">
        <f t="shared" si="660"/>
        <v>1.7605350000000004</v>
      </c>
      <c r="EE38" s="51">
        <f t="shared" si="661"/>
        <v>0</v>
      </c>
      <c r="EF38" s="51">
        <f t="shared" si="520"/>
        <v>0</v>
      </c>
      <c r="EG38" s="54"/>
      <c r="EH38" s="51">
        <f t="shared" si="662"/>
        <v>1.7605350000000004</v>
      </c>
      <c r="EI38" s="51">
        <f t="shared" si="663"/>
        <v>0</v>
      </c>
      <c r="EJ38" s="51">
        <f t="shared" si="523"/>
        <v>0</v>
      </c>
      <c r="EK38" s="54"/>
      <c r="EL38" s="51">
        <f t="shared" si="664"/>
        <v>1.7605350000000004</v>
      </c>
      <c r="EM38" s="51">
        <f t="shared" si="665"/>
        <v>0</v>
      </c>
      <c r="EN38" s="51">
        <f t="shared" si="526"/>
        <v>0</v>
      </c>
      <c r="EO38" s="54"/>
      <c r="EP38" s="51">
        <f t="shared" si="666"/>
        <v>1.7605350000000004</v>
      </c>
      <c r="EQ38" s="51">
        <f t="shared" si="667"/>
        <v>0</v>
      </c>
      <c r="ER38" s="51">
        <f t="shared" si="529"/>
        <v>0</v>
      </c>
      <c r="ES38" s="54"/>
      <c r="ET38" s="51">
        <f t="shared" si="438"/>
        <v>1.7605350000000004</v>
      </c>
      <c r="EU38" s="51">
        <f t="shared" si="439"/>
        <v>0</v>
      </c>
      <c r="EV38" s="51">
        <f t="shared" si="530"/>
        <v>0</v>
      </c>
      <c r="EW38" s="54"/>
      <c r="EX38" s="51">
        <f t="shared" si="668"/>
        <v>1.7605350000000004</v>
      </c>
      <c r="EY38" s="51">
        <f t="shared" si="669"/>
        <v>0</v>
      </c>
      <c r="EZ38" s="51">
        <f t="shared" si="533"/>
        <v>0</v>
      </c>
      <c r="FA38" s="54"/>
      <c r="FB38" s="51">
        <f t="shared" si="670"/>
        <v>1.7605350000000004</v>
      </c>
      <c r="FC38" s="51">
        <f t="shared" si="671"/>
        <v>0</v>
      </c>
      <c r="FD38" s="51">
        <f t="shared" si="536"/>
        <v>0</v>
      </c>
      <c r="FE38" s="54"/>
      <c r="FF38" s="51">
        <f t="shared" si="672"/>
        <v>1.7605350000000004</v>
      </c>
      <c r="FG38" s="51">
        <f t="shared" si="673"/>
        <v>0</v>
      </c>
      <c r="FH38" s="51">
        <f t="shared" si="539"/>
        <v>0</v>
      </c>
      <c r="FI38" s="54"/>
      <c r="FJ38" s="51">
        <f t="shared" si="674"/>
        <v>2.2886955000000007</v>
      </c>
      <c r="FK38" s="51">
        <f t="shared" si="675"/>
        <v>0</v>
      </c>
      <c r="FL38" s="51">
        <f t="shared" si="540"/>
        <v>0</v>
      </c>
      <c r="FM38" s="54"/>
      <c r="FN38" s="51">
        <f t="shared" si="676"/>
        <v>2.2886955000000007</v>
      </c>
      <c r="FO38" s="51">
        <f t="shared" si="677"/>
        <v>0</v>
      </c>
      <c r="FP38" s="51">
        <f t="shared" si="543"/>
        <v>0</v>
      </c>
      <c r="FQ38" s="54"/>
      <c r="FR38" s="51">
        <f t="shared" si="678"/>
        <v>2.2886955000000007</v>
      </c>
      <c r="FS38" s="51">
        <f t="shared" si="679"/>
        <v>0</v>
      </c>
      <c r="FT38" s="51">
        <f t="shared" si="546"/>
        <v>0</v>
      </c>
      <c r="FU38" s="54"/>
      <c r="FV38" s="51">
        <f t="shared" si="680"/>
        <v>2.2886955000000007</v>
      </c>
      <c r="FW38" s="51">
        <f t="shared" si="681"/>
        <v>0</v>
      </c>
      <c r="FX38" s="51">
        <f t="shared" si="549"/>
        <v>0</v>
      </c>
      <c r="FY38" s="54"/>
      <c r="FZ38" s="51">
        <f t="shared" si="682"/>
        <v>2.2886955000000007</v>
      </c>
      <c r="GA38" s="51">
        <f t="shared" si="683"/>
        <v>0</v>
      </c>
      <c r="GB38" s="51">
        <f t="shared" si="552"/>
        <v>0</v>
      </c>
      <c r="GC38" s="54"/>
      <c r="GD38" s="51">
        <f t="shared" si="684"/>
        <v>2.2886955000000007</v>
      </c>
      <c r="GE38" s="51">
        <f t="shared" si="685"/>
        <v>0</v>
      </c>
      <c r="GF38" s="51">
        <f t="shared" si="555"/>
        <v>0</v>
      </c>
      <c r="GG38" s="54"/>
      <c r="GH38" s="51">
        <f t="shared" si="686"/>
        <v>2.2886955000000007</v>
      </c>
      <c r="GI38" s="51">
        <f t="shared" si="687"/>
        <v>0</v>
      </c>
      <c r="GJ38" s="51">
        <f t="shared" si="558"/>
        <v>0</v>
      </c>
      <c r="GK38" s="54"/>
      <c r="GL38" s="51">
        <f t="shared" si="688"/>
        <v>2.2886955000000007</v>
      </c>
      <c r="GM38" s="51">
        <f t="shared" si="689"/>
        <v>0</v>
      </c>
      <c r="GN38" s="51">
        <f t="shared" si="561"/>
        <v>0</v>
      </c>
      <c r="GP38" s="51">
        <f t="shared" si="440"/>
        <v>2.2886955000000007</v>
      </c>
      <c r="GQ38" s="51">
        <f t="shared" si="441"/>
        <v>0</v>
      </c>
      <c r="GR38" s="51">
        <f t="shared" si="562"/>
        <v>0</v>
      </c>
      <c r="GS38" s="54"/>
      <c r="GT38" s="51">
        <f t="shared" si="690"/>
        <v>2.2886955000000007</v>
      </c>
      <c r="GU38" s="51">
        <f t="shared" si="691"/>
        <v>0</v>
      </c>
      <c r="GV38" s="51">
        <f t="shared" si="564"/>
        <v>0</v>
      </c>
      <c r="GW38" s="54"/>
      <c r="GX38" s="51">
        <f t="shared" si="692"/>
        <v>2.2886955000000007</v>
      </c>
      <c r="GY38" s="51">
        <f t="shared" si="693"/>
        <v>0</v>
      </c>
      <c r="GZ38" s="51">
        <f t="shared" si="567"/>
        <v>0</v>
      </c>
      <c r="HA38" s="54"/>
      <c r="HB38" s="51">
        <f t="shared" si="694"/>
        <v>2.2886955000000007</v>
      </c>
      <c r="HC38" s="51">
        <f t="shared" si="695"/>
        <v>0</v>
      </c>
      <c r="HD38" s="51">
        <f t="shared" si="570"/>
        <v>0</v>
      </c>
      <c r="HE38" s="54"/>
      <c r="HF38" s="51">
        <f t="shared" si="696"/>
        <v>2.975304150000001</v>
      </c>
      <c r="HG38" s="51">
        <f t="shared" si="697"/>
        <v>0</v>
      </c>
      <c r="HH38" s="51">
        <f t="shared" si="573"/>
        <v>0</v>
      </c>
      <c r="HI38" s="54"/>
      <c r="HJ38" s="51">
        <f t="shared" si="698"/>
        <v>2.975304150000001</v>
      </c>
      <c r="HK38" s="51">
        <f t="shared" si="699"/>
        <v>0</v>
      </c>
      <c r="HL38" s="51">
        <f t="shared" si="576"/>
        <v>0</v>
      </c>
      <c r="HM38" s="54"/>
      <c r="HN38" s="51">
        <f t="shared" si="700"/>
        <v>2.975304150000001</v>
      </c>
      <c r="HO38" s="51">
        <f t="shared" si="701"/>
        <v>0</v>
      </c>
      <c r="HP38" s="51">
        <f t="shared" si="579"/>
        <v>0</v>
      </c>
      <c r="HQ38" s="54"/>
      <c r="HR38" s="51">
        <f t="shared" si="702"/>
        <v>2.975304150000001</v>
      </c>
      <c r="HS38" s="51">
        <f t="shared" si="703"/>
        <v>0</v>
      </c>
      <c r="HT38" s="51">
        <f t="shared" si="582"/>
        <v>0</v>
      </c>
      <c r="HU38" s="54"/>
      <c r="HV38" s="51">
        <f t="shared" si="704"/>
        <v>2.975304150000001</v>
      </c>
      <c r="HW38" s="51">
        <f t="shared" si="705"/>
        <v>0</v>
      </c>
      <c r="HX38" s="51">
        <f t="shared" si="585"/>
        <v>0</v>
      </c>
      <c r="HY38" s="54"/>
      <c r="HZ38" s="51">
        <f t="shared" si="706"/>
        <v>2.975304150000001</v>
      </c>
      <c r="IA38" s="51">
        <f t="shared" si="707"/>
        <v>0</v>
      </c>
      <c r="IB38" s="51">
        <f t="shared" si="588"/>
        <v>0</v>
      </c>
      <c r="IC38" s="54"/>
      <c r="ID38" s="51">
        <f t="shared" si="708"/>
        <v>2.975304150000001</v>
      </c>
      <c r="IE38" s="51">
        <f t="shared" si="709"/>
        <v>0</v>
      </c>
      <c r="IF38" s="51">
        <f t="shared" si="591"/>
        <v>0</v>
      </c>
      <c r="IG38" s="54"/>
      <c r="IH38" s="51">
        <f t="shared" si="710"/>
        <v>2.975304150000001</v>
      </c>
      <c r="II38" s="51">
        <f t="shared" si="711"/>
        <v>0</v>
      </c>
      <c r="IJ38" s="51">
        <f t="shared" si="594"/>
        <v>0</v>
      </c>
      <c r="IL38" s="51">
        <f t="shared" si="442"/>
        <v>2.975304150000001</v>
      </c>
      <c r="IM38" s="51">
        <f t="shared" si="443"/>
        <v>0</v>
      </c>
      <c r="IN38" s="51">
        <f t="shared" si="595"/>
        <v>0</v>
      </c>
      <c r="IO38" s="54"/>
      <c r="IP38" s="51">
        <f t="shared" si="712"/>
        <v>2.975304150000001</v>
      </c>
      <c r="IQ38" s="51">
        <f t="shared" si="713"/>
        <v>0</v>
      </c>
      <c r="IR38" s="51">
        <f t="shared" si="598"/>
        <v>0</v>
      </c>
      <c r="IS38" s="54"/>
      <c r="IT38" s="51">
        <f t="shared" si="714"/>
        <v>2.975304150000001</v>
      </c>
      <c r="IU38" s="51">
        <f t="shared" si="715"/>
        <v>0</v>
      </c>
      <c r="IV38" s="51">
        <f t="shared" si="601"/>
        <v>0</v>
      </c>
      <c r="IW38" s="54"/>
      <c r="IX38" s="51">
        <f t="shared" si="716"/>
        <v>2.975304150000001</v>
      </c>
      <c r="IY38" s="51">
        <f t="shared" si="717"/>
        <v>0</v>
      </c>
      <c r="IZ38" s="51">
        <f t="shared" si="604"/>
        <v>0</v>
      </c>
      <c r="JA38" s="54"/>
      <c r="JB38" s="51" t="e">
        <f t="shared" si="718"/>
        <v>#REF!</v>
      </c>
      <c r="JC38" s="51">
        <f t="shared" si="719"/>
        <v>0</v>
      </c>
      <c r="JD38" s="51">
        <f t="shared" si="607"/>
        <v>0</v>
      </c>
      <c r="JE38" s="54"/>
      <c r="JF38" s="51" t="e">
        <f t="shared" si="720"/>
        <v>#REF!</v>
      </c>
      <c r="JG38" s="51">
        <f t="shared" si="721"/>
        <v>0</v>
      </c>
      <c r="JH38" s="51">
        <f t="shared" si="610"/>
        <v>0</v>
      </c>
      <c r="JI38" s="54"/>
      <c r="JJ38" s="51" t="e">
        <f t="shared" si="722"/>
        <v>#REF!</v>
      </c>
      <c r="JK38" s="51">
        <f t="shared" si="723"/>
        <v>0</v>
      </c>
      <c r="JL38" s="51">
        <f t="shared" si="612"/>
        <v>0</v>
      </c>
      <c r="JM38" s="54"/>
      <c r="JO38" s="80"/>
      <c r="JP38" s="80"/>
      <c r="JQ38" s="80">
        <f t="shared" si="444"/>
        <v>0</v>
      </c>
      <c r="JS38" s="80"/>
      <c r="JT38" s="80"/>
      <c r="JU38" s="80">
        <f t="shared" si="445"/>
        <v>0</v>
      </c>
      <c r="JW38" s="80"/>
      <c r="JX38" s="80"/>
      <c r="JY38" s="80">
        <f t="shared" si="446"/>
        <v>0</v>
      </c>
      <c r="KA38" s="80"/>
      <c r="KB38" s="80"/>
      <c r="KC38" s="80">
        <f t="shared" si="447"/>
        <v>0</v>
      </c>
      <c r="KE38" s="80"/>
      <c r="KF38" s="80"/>
      <c r="KG38" s="80">
        <f t="shared" si="448"/>
        <v>0</v>
      </c>
      <c r="KI38" s="80"/>
      <c r="KJ38" s="80"/>
      <c r="KK38" s="80">
        <f t="shared" si="449"/>
        <v>0</v>
      </c>
      <c r="KM38" s="80"/>
      <c r="KN38" s="80"/>
      <c r="KO38" s="80">
        <f t="shared" si="450"/>
        <v>0</v>
      </c>
    </row>
    <row r="39" ht="18.75" customHeight="1" spans="2:301" x14ac:dyDescent="0.25">
      <c r="B39" s="5" t="str">
        <f>A.IIOPEX!C39</f>
        <v>3h</v>
      </c>
      <c r="C39" s="29"/>
      <c r="D39" s="29">
        <f>A.IIOPEX!E39</f>
        <v>0</v>
      </c>
      <c r="E39" s="30"/>
      <c r="F39" s="51">
        <v>1</v>
      </c>
      <c r="G39" s="51"/>
      <c r="H39" s="51">
        <f>A.IIOPEX!I39</f>
        <v>0</v>
      </c>
      <c r="I39" s="54"/>
      <c r="J39" s="51">
        <f t="shared" si="430"/>
        <v>0.92</v>
      </c>
      <c r="K39" s="51"/>
      <c r="L39" s="51">
        <f t="shared" si="451"/>
        <v>0</v>
      </c>
      <c r="M39" s="54"/>
      <c r="N39" s="51">
        <f t="shared" si="431"/>
        <v>0.92</v>
      </c>
      <c r="O39" s="51"/>
      <c r="P39" s="51">
        <f t="shared" si="452"/>
        <v>0</v>
      </c>
      <c r="Q39" s="54"/>
      <c r="R39" s="51">
        <f t="shared" si="432"/>
        <v>0.92</v>
      </c>
      <c r="S39" s="51"/>
      <c r="T39" s="51">
        <f t="shared" si="453"/>
        <v>0</v>
      </c>
      <c r="U39" s="54"/>
      <c r="V39" s="51">
        <f t="shared" si="433"/>
        <v>0.92</v>
      </c>
      <c r="W39" s="51"/>
      <c r="X39" s="51">
        <f t="shared" si="454"/>
        <v>0</v>
      </c>
      <c r="Y39" s="54"/>
      <c r="Z39" s="51">
        <f t="shared" si="434"/>
        <v>0.92</v>
      </c>
      <c r="AA39" s="51"/>
      <c r="AB39" s="51">
        <f t="shared" si="455"/>
        <v>0</v>
      </c>
      <c r="AC39" s="54"/>
      <c r="AD39" s="51">
        <f t="shared" si="456"/>
        <v>0.92</v>
      </c>
      <c r="AE39" s="51"/>
      <c r="AF39" s="51">
        <f t="shared" si="457"/>
        <v>0</v>
      </c>
      <c r="AG39" s="54"/>
      <c r="AH39" s="51">
        <f t="shared" si="620"/>
        <v>0.9660000000000001</v>
      </c>
      <c r="AI39" s="51"/>
      <c r="AJ39" s="51">
        <f t="shared" si="458"/>
        <v>0</v>
      </c>
      <c r="AK39" s="54"/>
      <c r="AL39" s="51">
        <f t="shared" si="621"/>
        <v>0.9660000000000001</v>
      </c>
      <c r="AM39" s="51"/>
      <c r="AN39" s="51">
        <f t="shared" si="459"/>
        <v>0</v>
      </c>
      <c r="AO39" s="54"/>
      <c r="AP39" s="51">
        <f t="shared" si="622"/>
        <v>0.9660000000000001</v>
      </c>
      <c r="AQ39" s="51"/>
      <c r="AR39" s="51">
        <f t="shared" si="460"/>
        <v>0</v>
      </c>
      <c r="AS39" s="54"/>
      <c r="AT39" s="51">
        <f t="shared" si="623"/>
        <v>0.9660000000000001</v>
      </c>
      <c r="AU39" s="51"/>
      <c r="AV39" s="51">
        <f t="shared" si="461"/>
        <v>0</v>
      </c>
      <c r="AW39" s="54"/>
      <c r="AX39" s="51">
        <f t="shared" si="624"/>
        <v>0.9660000000000001</v>
      </c>
      <c r="AY39" s="51"/>
      <c r="AZ39" s="51">
        <f t="shared" si="462"/>
        <v>0</v>
      </c>
      <c r="BA39" s="54"/>
      <c r="BB39" s="51">
        <f t="shared" si="435"/>
        <v>0.9660000000000001</v>
      </c>
      <c r="BC39" s="51"/>
      <c r="BD39" s="51">
        <f t="shared" si="463"/>
        <v>0</v>
      </c>
      <c r="BE39" s="54"/>
      <c r="BF39" s="51">
        <f t="shared" si="625"/>
        <v>0.9660000000000001</v>
      </c>
      <c r="BG39" s="51"/>
      <c r="BH39" s="51">
        <f t="shared" si="465"/>
        <v>0</v>
      </c>
      <c r="BI39" s="54"/>
      <c r="BJ39" s="51">
        <f t="shared" si="626"/>
        <v>0.9660000000000001</v>
      </c>
      <c r="BK39" s="51">
        <f t="shared" si="627"/>
        <v>0</v>
      </c>
      <c r="BL39" s="51">
        <f t="shared" si="468"/>
        <v>0</v>
      </c>
      <c r="BM39" s="54"/>
      <c r="BN39" s="51">
        <f t="shared" si="628"/>
        <v>0.9660000000000001</v>
      </c>
      <c r="BO39" s="51">
        <f t="shared" si="629"/>
        <v>0</v>
      </c>
      <c r="BP39" s="51">
        <f t="shared" si="471"/>
        <v>0</v>
      </c>
      <c r="BQ39" s="54"/>
      <c r="BR39" s="51">
        <f t="shared" si="630"/>
        <v>0.9660000000000001</v>
      </c>
      <c r="BS39" s="51">
        <f t="shared" si="631"/>
        <v>0</v>
      </c>
      <c r="BT39" s="51">
        <f t="shared" si="474"/>
        <v>0</v>
      </c>
      <c r="BU39" s="54"/>
      <c r="BV39" s="51">
        <f t="shared" si="632"/>
        <v>0.9660000000000001</v>
      </c>
      <c r="BW39" s="51">
        <f t="shared" si="633"/>
        <v>0</v>
      </c>
      <c r="BX39" s="51">
        <f t="shared" si="477"/>
        <v>0</v>
      </c>
      <c r="BY39" s="54"/>
      <c r="BZ39" s="51">
        <f t="shared" si="634"/>
        <v>0.9660000000000001</v>
      </c>
      <c r="CA39" s="51">
        <f t="shared" si="635"/>
        <v>0</v>
      </c>
      <c r="CB39" s="51">
        <f t="shared" si="480"/>
        <v>0</v>
      </c>
      <c r="CC39" s="54"/>
      <c r="CD39" s="51">
        <f t="shared" si="636"/>
        <v>1.3041000000000003</v>
      </c>
      <c r="CE39" s="51">
        <f t="shared" si="637"/>
        <v>0</v>
      </c>
      <c r="CF39" s="51">
        <f t="shared" si="483"/>
        <v>0</v>
      </c>
      <c r="CG39" s="54"/>
      <c r="CH39" s="51">
        <f t="shared" si="638"/>
        <v>1.3041000000000003</v>
      </c>
      <c r="CI39" s="51">
        <f t="shared" si="639"/>
        <v>0</v>
      </c>
      <c r="CJ39" s="51">
        <f t="shared" si="486"/>
        <v>0</v>
      </c>
      <c r="CK39" s="54"/>
      <c r="CL39" s="51">
        <f t="shared" si="640"/>
        <v>1.3041000000000003</v>
      </c>
      <c r="CM39" s="51">
        <f t="shared" si="641"/>
        <v>0</v>
      </c>
      <c r="CN39" s="51">
        <f t="shared" si="489"/>
        <v>0</v>
      </c>
      <c r="CO39" s="54"/>
      <c r="CP39" s="51">
        <f t="shared" si="642"/>
        <v>1.3041000000000003</v>
      </c>
      <c r="CQ39" s="51">
        <f t="shared" si="643"/>
        <v>0</v>
      </c>
      <c r="CR39" s="51">
        <f t="shared" si="492"/>
        <v>0</v>
      </c>
      <c r="CS39" s="54"/>
      <c r="CT39" s="51">
        <f t="shared" si="644"/>
        <v>1.3041000000000003</v>
      </c>
      <c r="CU39" s="51">
        <f t="shared" si="645"/>
        <v>0</v>
      </c>
      <c r="CV39" s="51">
        <f t="shared" si="495"/>
        <v>0</v>
      </c>
      <c r="CW39" s="54"/>
      <c r="CX39" s="51">
        <f t="shared" si="436"/>
        <v>1.3041000000000003</v>
      </c>
      <c r="CY39" s="51">
        <f t="shared" si="437"/>
        <v>0</v>
      </c>
      <c r="CZ39" s="51">
        <f t="shared" si="496"/>
        <v>0</v>
      </c>
      <c r="DA39" s="54"/>
      <c r="DB39" s="51">
        <f t="shared" si="646"/>
        <v>1.3041000000000003</v>
      </c>
      <c r="DC39" s="51">
        <f t="shared" si="647"/>
        <v>0</v>
      </c>
      <c r="DD39" s="51">
        <f t="shared" si="499"/>
        <v>0</v>
      </c>
      <c r="DE39" s="54"/>
      <c r="DF39" s="51">
        <f t="shared" si="648"/>
        <v>1.3041000000000003</v>
      </c>
      <c r="DG39" s="51">
        <f t="shared" si="649"/>
        <v>0</v>
      </c>
      <c r="DH39" s="51">
        <f t="shared" si="502"/>
        <v>0</v>
      </c>
      <c r="DI39" s="54"/>
      <c r="DJ39" s="51">
        <f t="shared" si="650"/>
        <v>1.3041000000000003</v>
      </c>
      <c r="DK39" s="51">
        <f t="shared" si="651"/>
        <v>0</v>
      </c>
      <c r="DL39" s="51">
        <f t="shared" si="505"/>
        <v>0</v>
      </c>
      <c r="DM39" s="54"/>
      <c r="DN39" s="51">
        <f t="shared" si="652"/>
        <v>1.3041000000000003</v>
      </c>
      <c r="DO39" s="51">
        <f t="shared" si="653"/>
        <v>0</v>
      </c>
      <c r="DP39" s="51">
        <f t="shared" si="508"/>
        <v>0</v>
      </c>
      <c r="DQ39" s="54"/>
      <c r="DR39" s="51">
        <f t="shared" si="654"/>
        <v>1.3041000000000003</v>
      </c>
      <c r="DS39" s="51">
        <f t="shared" si="655"/>
        <v>0</v>
      </c>
      <c r="DT39" s="51">
        <f t="shared" si="511"/>
        <v>0</v>
      </c>
      <c r="DU39" s="54"/>
      <c r="DV39" s="51">
        <f t="shared" si="656"/>
        <v>1.3041000000000003</v>
      </c>
      <c r="DW39" s="51">
        <f t="shared" si="657"/>
        <v>0</v>
      </c>
      <c r="DX39" s="51">
        <f t="shared" si="514"/>
        <v>0</v>
      </c>
      <c r="DY39" s="54"/>
      <c r="DZ39" s="51">
        <f t="shared" si="658"/>
        <v>1.7605350000000004</v>
      </c>
      <c r="EA39" s="51">
        <f t="shared" si="659"/>
        <v>0</v>
      </c>
      <c r="EB39" s="51">
        <f t="shared" si="517"/>
        <v>0</v>
      </c>
      <c r="EC39" s="54"/>
      <c r="ED39" s="51">
        <f t="shared" si="660"/>
        <v>1.7605350000000004</v>
      </c>
      <c r="EE39" s="51">
        <f t="shared" si="661"/>
        <v>0</v>
      </c>
      <c r="EF39" s="51">
        <f t="shared" si="520"/>
        <v>0</v>
      </c>
      <c r="EG39" s="54"/>
      <c r="EH39" s="51">
        <f t="shared" si="662"/>
        <v>1.7605350000000004</v>
      </c>
      <c r="EI39" s="51">
        <f t="shared" si="663"/>
        <v>0</v>
      </c>
      <c r="EJ39" s="51">
        <f t="shared" si="523"/>
        <v>0</v>
      </c>
      <c r="EK39" s="54"/>
      <c r="EL39" s="51">
        <f t="shared" si="664"/>
        <v>1.7605350000000004</v>
      </c>
      <c r="EM39" s="51">
        <f t="shared" si="665"/>
        <v>0</v>
      </c>
      <c r="EN39" s="51">
        <f t="shared" si="526"/>
        <v>0</v>
      </c>
      <c r="EO39" s="54"/>
      <c r="EP39" s="51">
        <f t="shared" si="666"/>
        <v>1.7605350000000004</v>
      </c>
      <c r="EQ39" s="51">
        <f t="shared" si="667"/>
        <v>0</v>
      </c>
      <c r="ER39" s="51">
        <f t="shared" si="529"/>
        <v>0</v>
      </c>
      <c r="ES39" s="54"/>
      <c r="ET39" s="51">
        <f t="shared" si="438"/>
        <v>1.7605350000000004</v>
      </c>
      <c r="EU39" s="51">
        <f t="shared" si="439"/>
        <v>0</v>
      </c>
      <c r="EV39" s="51">
        <f t="shared" si="530"/>
        <v>0</v>
      </c>
      <c r="EW39" s="54"/>
      <c r="EX39" s="51">
        <f t="shared" si="668"/>
        <v>1.7605350000000004</v>
      </c>
      <c r="EY39" s="51">
        <f t="shared" si="669"/>
        <v>0</v>
      </c>
      <c r="EZ39" s="51">
        <f t="shared" si="533"/>
        <v>0</v>
      </c>
      <c r="FA39" s="54"/>
      <c r="FB39" s="51">
        <f t="shared" si="670"/>
        <v>1.7605350000000004</v>
      </c>
      <c r="FC39" s="51">
        <f t="shared" si="671"/>
        <v>0</v>
      </c>
      <c r="FD39" s="51">
        <f t="shared" si="536"/>
        <v>0</v>
      </c>
      <c r="FE39" s="54"/>
      <c r="FF39" s="51">
        <f t="shared" si="672"/>
        <v>1.7605350000000004</v>
      </c>
      <c r="FG39" s="51">
        <f t="shared" si="673"/>
        <v>0</v>
      </c>
      <c r="FH39" s="51">
        <f t="shared" si="539"/>
        <v>0</v>
      </c>
      <c r="FI39" s="54"/>
      <c r="FJ39" s="51">
        <f t="shared" si="674"/>
        <v>2.2886955000000007</v>
      </c>
      <c r="FK39" s="51">
        <f t="shared" si="675"/>
        <v>0</v>
      </c>
      <c r="FL39" s="51">
        <f t="shared" si="540"/>
        <v>0</v>
      </c>
      <c r="FM39" s="54"/>
      <c r="FN39" s="51">
        <f t="shared" si="676"/>
        <v>2.2886955000000007</v>
      </c>
      <c r="FO39" s="51">
        <f t="shared" si="677"/>
        <v>0</v>
      </c>
      <c r="FP39" s="51">
        <f t="shared" si="543"/>
        <v>0</v>
      </c>
      <c r="FQ39" s="54"/>
      <c r="FR39" s="51">
        <f t="shared" si="678"/>
        <v>2.2886955000000007</v>
      </c>
      <c r="FS39" s="51">
        <f t="shared" si="679"/>
        <v>0</v>
      </c>
      <c r="FT39" s="51">
        <f t="shared" si="546"/>
        <v>0</v>
      </c>
      <c r="FU39" s="54"/>
      <c r="FV39" s="51">
        <f t="shared" si="680"/>
        <v>2.2886955000000007</v>
      </c>
      <c r="FW39" s="51">
        <f t="shared" si="681"/>
        <v>0</v>
      </c>
      <c r="FX39" s="51">
        <f t="shared" si="549"/>
        <v>0</v>
      </c>
      <c r="FY39" s="54"/>
      <c r="FZ39" s="51">
        <f t="shared" si="682"/>
        <v>2.2886955000000007</v>
      </c>
      <c r="GA39" s="51">
        <f t="shared" si="683"/>
        <v>0</v>
      </c>
      <c r="GB39" s="51">
        <f t="shared" si="552"/>
        <v>0</v>
      </c>
      <c r="GC39" s="54"/>
      <c r="GD39" s="51">
        <f t="shared" si="684"/>
        <v>2.2886955000000007</v>
      </c>
      <c r="GE39" s="51">
        <f t="shared" si="685"/>
        <v>0</v>
      </c>
      <c r="GF39" s="51">
        <f t="shared" si="555"/>
        <v>0</v>
      </c>
      <c r="GG39" s="54"/>
      <c r="GH39" s="51">
        <f t="shared" si="686"/>
        <v>2.2886955000000007</v>
      </c>
      <c r="GI39" s="51">
        <f t="shared" si="687"/>
        <v>0</v>
      </c>
      <c r="GJ39" s="51">
        <f t="shared" si="558"/>
        <v>0</v>
      </c>
      <c r="GK39" s="54"/>
      <c r="GL39" s="51">
        <f t="shared" si="688"/>
        <v>2.2886955000000007</v>
      </c>
      <c r="GM39" s="51">
        <f t="shared" si="689"/>
        <v>0</v>
      </c>
      <c r="GN39" s="51">
        <f t="shared" si="561"/>
        <v>0</v>
      </c>
      <c r="GP39" s="51">
        <f t="shared" si="440"/>
        <v>2.2886955000000007</v>
      </c>
      <c r="GQ39" s="51">
        <f t="shared" si="441"/>
        <v>0</v>
      </c>
      <c r="GR39" s="51">
        <f t="shared" si="562"/>
        <v>0</v>
      </c>
      <c r="GS39" s="54"/>
      <c r="GT39" s="51">
        <f t="shared" si="690"/>
        <v>2.2886955000000007</v>
      </c>
      <c r="GU39" s="51">
        <f t="shared" si="691"/>
        <v>0</v>
      </c>
      <c r="GV39" s="51">
        <f t="shared" si="564"/>
        <v>0</v>
      </c>
      <c r="GW39" s="54"/>
      <c r="GX39" s="51">
        <f t="shared" si="692"/>
        <v>2.2886955000000007</v>
      </c>
      <c r="GY39" s="51">
        <f t="shared" si="693"/>
        <v>0</v>
      </c>
      <c r="GZ39" s="51">
        <f t="shared" si="567"/>
        <v>0</v>
      </c>
      <c r="HA39" s="54"/>
      <c r="HB39" s="51">
        <f t="shared" si="694"/>
        <v>2.2886955000000007</v>
      </c>
      <c r="HC39" s="51">
        <f t="shared" si="695"/>
        <v>0</v>
      </c>
      <c r="HD39" s="51">
        <f t="shared" si="570"/>
        <v>0</v>
      </c>
      <c r="HE39" s="54"/>
      <c r="HF39" s="51">
        <f t="shared" si="696"/>
        <v>2.975304150000001</v>
      </c>
      <c r="HG39" s="51">
        <f t="shared" si="697"/>
        <v>0</v>
      </c>
      <c r="HH39" s="51">
        <f t="shared" si="573"/>
        <v>0</v>
      </c>
      <c r="HI39" s="54"/>
      <c r="HJ39" s="51">
        <f t="shared" si="698"/>
        <v>2.975304150000001</v>
      </c>
      <c r="HK39" s="51">
        <f t="shared" si="699"/>
        <v>0</v>
      </c>
      <c r="HL39" s="51">
        <f t="shared" si="576"/>
        <v>0</v>
      </c>
      <c r="HM39" s="54"/>
      <c r="HN39" s="51">
        <f t="shared" si="700"/>
        <v>2.975304150000001</v>
      </c>
      <c r="HO39" s="51">
        <f t="shared" si="701"/>
        <v>0</v>
      </c>
      <c r="HP39" s="51">
        <f t="shared" si="579"/>
        <v>0</v>
      </c>
      <c r="HQ39" s="54"/>
      <c r="HR39" s="51">
        <f t="shared" si="702"/>
        <v>2.975304150000001</v>
      </c>
      <c r="HS39" s="51">
        <f t="shared" si="703"/>
        <v>0</v>
      </c>
      <c r="HT39" s="51">
        <f t="shared" si="582"/>
        <v>0</v>
      </c>
      <c r="HU39" s="54"/>
      <c r="HV39" s="51">
        <f t="shared" si="704"/>
        <v>2.975304150000001</v>
      </c>
      <c r="HW39" s="51">
        <f t="shared" si="705"/>
        <v>0</v>
      </c>
      <c r="HX39" s="51">
        <f t="shared" si="585"/>
        <v>0</v>
      </c>
      <c r="HY39" s="54"/>
      <c r="HZ39" s="51">
        <f t="shared" si="706"/>
        <v>2.975304150000001</v>
      </c>
      <c r="IA39" s="51">
        <f t="shared" si="707"/>
        <v>0</v>
      </c>
      <c r="IB39" s="51">
        <f t="shared" si="588"/>
        <v>0</v>
      </c>
      <c r="IC39" s="54"/>
      <c r="ID39" s="51">
        <f t="shared" si="708"/>
        <v>2.975304150000001</v>
      </c>
      <c r="IE39" s="51">
        <f t="shared" si="709"/>
        <v>0</v>
      </c>
      <c r="IF39" s="51">
        <f t="shared" si="591"/>
        <v>0</v>
      </c>
      <c r="IG39" s="54"/>
      <c r="IH39" s="51">
        <f t="shared" si="710"/>
        <v>2.975304150000001</v>
      </c>
      <c r="II39" s="51">
        <f t="shared" si="711"/>
        <v>0</v>
      </c>
      <c r="IJ39" s="51">
        <f t="shared" si="594"/>
        <v>0</v>
      </c>
      <c r="IL39" s="51">
        <f t="shared" si="442"/>
        <v>2.975304150000001</v>
      </c>
      <c r="IM39" s="51">
        <f t="shared" si="443"/>
        <v>0</v>
      </c>
      <c r="IN39" s="51">
        <f t="shared" si="595"/>
        <v>0</v>
      </c>
      <c r="IO39" s="54"/>
      <c r="IP39" s="51">
        <f t="shared" si="712"/>
        <v>2.975304150000001</v>
      </c>
      <c r="IQ39" s="51">
        <f t="shared" si="713"/>
        <v>0</v>
      </c>
      <c r="IR39" s="51">
        <f t="shared" si="598"/>
        <v>0</v>
      </c>
      <c r="IS39" s="54"/>
      <c r="IT39" s="51">
        <f t="shared" si="714"/>
        <v>2.975304150000001</v>
      </c>
      <c r="IU39" s="51">
        <f t="shared" si="715"/>
        <v>0</v>
      </c>
      <c r="IV39" s="51">
        <f t="shared" si="601"/>
        <v>0</v>
      </c>
      <c r="IW39" s="54"/>
      <c r="IX39" s="51">
        <f t="shared" si="716"/>
        <v>2.975304150000001</v>
      </c>
      <c r="IY39" s="51">
        <f t="shared" si="717"/>
        <v>0</v>
      </c>
      <c r="IZ39" s="51">
        <f t="shared" si="604"/>
        <v>0</v>
      </c>
      <c r="JA39" s="54"/>
      <c r="JB39" s="51" t="e">
        <f t="shared" si="718"/>
        <v>#REF!</v>
      </c>
      <c r="JC39" s="51">
        <f t="shared" si="719"/>
        <v>0</v>
      </c>
      <c r="JD39" s="51">
        <f t="shared" si="607"/>
        <v>0</v>
      </c>
      <c r="JE39" s="54"/>
      <c r="JF39" s="51" t="e">
        <f t="shared" si="720"/>
        <v>#REF!</v>
      </c>
      <c r="JG39" s="51">
        <f t="shared" si="721"/>
        <v>0</v>
      </c>
      <c r="JH39" s="51">
        <f t="shared" si="610"/>
        <v>0</v>
      </c>
      <c r="JI39" s="54"/>
      <c r="JJ39" s="51" t="e">
        <f t="shared" si="722"/>
        <v>#REF!</v>
      </c>
      <c r="JK39" s="51">
        <f t="shared" si="723"/>
        <v>0</v>
      </c>
      <c r="JL39" s="51">
        <f t="shared" si="612"/>
        <v>0</v>
      </c>
      <c r="JM39" s="54"/>
      <c r="JO39" s="80"/>
      <c r="JP39" s="80"/>
      <c r="JQ39" s="80">
        <f t="shared" si="444"/>
        <v>0</v>
      </c>
      <c r="JS39" s="80"/>
      <c r="JT39" s="80"/>
      <c r="JU39" s="80">
        <f t="shared" si="445"/>
        <v>0</v>
      </c>
      <c r="JW39" s="80"/>
      <c r="JX39" s="80"/>
      <c r="JY39" s="80">
        <f t="shared" si="446"/>
        <v>0</v>
      </c>
      <c r="KA39" s="80"/>
      <c r="KB39" s="80"/>
      <c r="KC39" s="80">
        <f t="shared" si="447"/>
        <v>0</v>
      </c>
      <c r="KE39" s="80"/>
      <c r="KF39" s="80"/>
      <c r="KG39" s="80">
        <f t="shared" si="448"/>
        <v>0</v>
      </c>
      <c r="KI39" s="80"/>
      <c r="KJ39" s="80"/>
      <c r="KK39" s="80">
        <f t="shared" si="449"/>
        <v>0</v>
      </c>
      <c r="KM39" s="80"/>
      <c r="KN39" s="80"/>
      <c r="KO39" s="80">
        <f t="shared" si="450"/>
        <v>0</v>
      </c>
    </row>
    <row r="40" ht="18.75" customHeight="1" spans="2:301" x14ac:dyDescent="0.25">
      <c r="B40" s="5" t="str">
        <f>A.IIOPEX!C40</f>
        <v>3i</v>
      </c>
      <c r="C40" s="29"/>
      <c r="D40" s="29">
        <f>A.IIOPEX!E40</f>
        <v>0</v>
      </c>
      <c r="E40" s="30"/>
      <c r="F40" s="51">
        <v>1</v>
      </c>
      <c r="G40" s="51"/>
      <c r="H40" s="51">
        <f>A.IIOPEX!I40</f>
        <v>0</v>
      </c>
      <c r="I40" s="54"/>
      <c r="J40" s="51">
        <f t="shared" si="430"/>
        <v>0.92</v>
      </c>
      <c r="K40" s="51"/>
      <c r="L40" s="51">
        <f t="shared" si="451"/>
        <v>0</v>
      </c>
      <c r="M40" s="54"/>
      <c r="N40" s="51">
        <f t="shared" si="431"/>
        <v>0.92</v>
      </c>
      <c r="O40" s="51"/>
      <c r="P40" s="51">
        <f t="shared" si="452"/>
        <v>0</v>
      </c>
      <c r="Q40" s="54"/>
      <c r="R40" s="51">
        <f t="shared" si="432"/>
        <v>0.92</v>
      </c>
      <c r="S40" s="51"/>
      <c r="T40" s="51">
        <f t="shared" si="453"/>
        <v>0</v>
      </c>
      <c r="U40" s="54"/>
      <c r="V40" s="51">
        <f t="shared" si="433"/>
        <v>0.92</v>
      </c>
      <c r="W40" s="51"/>
      <c r="X40" s="51">
        <f t="shared" si="454"/>
        <v>0</v>
      </c>
      <c r="Y40" s="54"/>
      <c r="Z40" s="51">
        <f t="shared" si="434"/>
        <v>0.92</v>
      </c>
      <c r="AA40" s="51"/>
      <c r="AB40" s="51">
        <f t="shared" si="455"/>
        <v>0</v>
      </c>
      <c r="AC40" s="54"/>
      <c r="AD40" s="51">
        <f t="shared" si="456"/>
        <v>0.92</v>
      </c>
      <c r="AE40" s="51"/>
      <c r="AF40" s="51">
        <f t="shared" si="457"/>
        <v>0</v>
      </c>
      <c r="AG40" s="54"/>
      <c r="AH40" s="51">
        <f t="shared" si="620"/>
        <v>0.9660000000000001</v>
      </c>
      <c r="AI40" s="51"/>
      <c r="AJ40" s="51">
        <f t="shared" si="458"/>
        <v>0</v>
      </c>
      <c r="AK40" s="54"/>
      <c r="AL40" s="51">
        <f t="shared" si="621"/>
        <v>0.9660000000000001</v>
      </c>
      <c r="AM40" s="51"/>
      <c r="AN40" s="51">
        <f t="shared" si="459"/>
        <v>0</v>
      </c>
      <c r="AO40" s="54"/>
      <c r="AP40" s="51">
        <f t="shared" si="622"/>
        <v>0.9660000000000001</v>
      </c>
      <c r="AQ40" s="51"/>
      <c r="AR40" s="51">
        <f t="shared" si="460"/>
        <v>0</v>
      </c>
      <c r="AS40" s="54"/>
      <c r="AT40" s="51">
        <f t="shared" si="623"/>
        <v>0.9660000000000001</v>
      </c>
      <c r="AU40" s="51"/>
      <c r="AV40" s="51">
        <f t="shared" si="461"/>
        <v>0</v>
      </c>
      <c r="AW40" s="54"/>
      <c r="AX40" s="51">
        <f t="shared" si="624"/>
        <v>0.9660000000000001</v>
      </c>
      <c r="AY40" s="51"/>
      <c r="AZ40" s="51">
        <f t="shared" si="462"/>
        <v>0</v>
      </c>
      <c r="BA40" s="54"/>
      <c r="BB40" s="51">
        <f t="shared" si="435"/>
        <v>0.9660000000000001</v>
      </c>
      <c r="BC40" s="51"/>
      <c r="BD40" s="51">
        <f t="shared" si="463"/>
        <v>0</v>
      </c>
      <c r="BE40" s="54"/>
      <c r="BF40" s="51">
        <f t="shared" si="625"/>
        <v>0.9660000000000001</v>
      </c>
      <c r="BG40" s="51"/>
      <c r="BH40" s="51">
        <f t="shared" si="465"/>
        <v>0</v>
      </c>
      <c r="BI40" s="54"/>
      <c r="BJ40" s="51">
        <f t="shared" si="626"/>
        <v>0.9660000000000001</v>
      </c>
      <c r="BK40" s="51">
        <f t="shared" si="627"/>
        <v>0</v>
      </c>
      <c r="BL40" s="51">
        <f t="shared" si="468"/>
        <v>0</v>
      </c>
      <c r="BM40" s="54"/>
      <c r="BN40" s="51">
        <f t="shared" si="628"/>
        <v>0.9660000000000001</v>
      </c>
      <c r="BO40" s="51">
        <f t="shared" si="629"/>
        <v>0</v>
      </c>
      <c r="BP40" s="51">
        <f t="shared" si="471"/>
        <v>0</v>
      </c>
      <c r="BQ40" s="54"/>
      <c r="BR40" s="51">
        <f t="shared" si="630"/>
        <v>0.9660000000000001</v>
      </c>
      <c r="BS40" s="51">
        <f t="shared" si="631"/>
        <v>0</v>
      </c>
      <c r="BT40" s="51">
        <f t="shared" si="474"/>
        <v>0</v>
      </c>
      <c r="BU40" s="54"/>
      <c r="BV40" s="51">
        <f t="shared" si="632"/>
        <v>0.9660000000000001</v>
      </c>
      <c r="BW40" s="51">
        <f t="shared" si="633"/>
        <v>0</v>
      </c>
      <c r="BX40" s="51">
        <f t="shared" si="477"/>
        <v>0</v>
      </c>
      <c r="BY40" s="54"/>
      <c r="BZ40" s="51">
        <f t="shared" si="634"/>
        <v>0.9660000000000001</v>
      </c>
      <c r="CA40" s="51">
        <f t="shared" si="635"/>
        <v>0</v>
      </c>
      <c r="CB40" s="51">
        <f t="shared" si="480"/>
        <v>0</v>
      </c>
      <c r="CC40" s="54"/>
      <c r="CD40" s="51">
        <f t="shared" si="636"/>
        <v>1.3041000000000003</v>
      </c>
      <c r="CE40" s="51">
        <f t="shared" si="637"/>
        <v>0</v>
      </c>
      <c r="CF40" s="51">
        <f t="shared" si="483"/>
        <v>0</v>
      </c>
      <c r="CG40" s="54"/>
      <c r="CH40" s="51">
        <f t="shared" si="638"/>
        <v>1.3041000000000003</v>
      </c>
      <c r="CI40" s="51">
        <f t="shared" si="639"/>
        <v>0</v>
      </c>
      <c r="CJ40" s="51">
        <f t="shared" si="486"/>
        <v>0</v>
      </c>
      <c r="CK40" s="54"/>
      <c r="CL40" s="51">
        <f t="shared" si="640"/>
        <v>1.3041000000000003</v>
      </c>
      <c r="CM40" s="51">
        <f t="shared" si="641"/>
        <v>0</v>
      </c>
      <c r="CN40" s="51">
        <f t="shared" si="489"/>
        <v>0</v>
      </c>
      <c r="CO40" s="54"/>
      <c r="CP40" s="51">
        <f t="shared" si="642"/>
        <v>1.3041000000000003</v>
      </c>
      <c r="CQ40" s="51">
        <f t="shared" si="643"/>
        <v>0</v>
      </c>
      <c r="CR40" s="51">
        <f t="shared" si="492"/>
        <v>0</v>
      </c>
      <c r="CS40" s="54"/>
      <c r="CT40" s="51">
        <f t="shared" si="644"/>
        <v>1.3041000000000003</v>
      </c>
      <c r="CU40" s="51">
        <f t="shared" si="645"/>
        <v>0</v>
      </c>
      <c r="CV40" s="51">
        <f t="shared" si="495"/>
        <v>0</v>
      </c>
      <c r="CW40" s="54"/>
      <c r="CX40" s="51">
        <f t="shared" si="436"/>
        <v>1.3041000000000003</v>
      </c>
      <c r="CY40" s="51">
        <f t="shared" si="437"/>
        <v>0</v>
      </c>
      <c r="CZ40" s="51">
        <f t="shared" si="496"/>
        <v>0</v>
      </c>
      <c r="DA40" s="54"/>
      <c r="DB40" s="51">
        <f t="shared" si="646"/>
        <v>1.3041000000000003</v>
      </c>
      <c r="DC40" s="51">
        <f t="shared" si="647"/>
        <v>0</v>
      </c>
      <c r="DD40" s="51">
        <f t="shared" si="499"/>
        <v>0</v>
      </c>
      <c r="DE40" s="54"/>
      <c r="DF40" s="51">
        <f t="shared" si="648"/>
        <v>1.3041000000000003</v>
      </c>
      <c r="DG40" s="51">
        <f t="shared" si="649"/>
        <v>0</v>
      </c>
      <c r="DH40" s="51">
        <f t="shared" si="502"/>
        <v>0</v>
      </c>
      <c r="DI40" s="54"/>
      <c r="DJ40" s="51">
        <f t="shared" si="650"/>
        <v>1.3041000000000003</v>
      </c>
      <c r="DK40" s="51">
        <f t="shared" si="651"/>
        <v>0</v>
      </c>
      <c r="DL40" s="51">
        <f t="shared" si="505"/>
        <v>0</v>
      </c>
      <c r="DM40" s="54"/>
      <c r="DN40" s="51">
        <f t="shared" si="652"/>
        <v>1.3041000000000003</v>
      </c>
      <c r="DO40" s="51">
        <f t="shared" si="653"/>
        <v>0</v>
      </c>
      <c r="DP40" s="51">
        <f t="shared" si="508"/>
        <v>0</v>
      </c>
      <c r="DQ40" s="54"/>
      <c r="DR40" s="51">
        <f t="shared" si="654"/>
        <v>1.3041000000000003</v>
      </c>
      <c r="DS40" s="51">
        <f t="shared" si="655"/>
        <v>0</v>
      </c>
      <c r="DT40" s="51">
        <f t="shared" si="511"/>
        <v>0</v>
      </c>
      <c r="DU40" s="54"/>
      <c r="DV40" s="51">
        <f t="shared" si="656"/>
        <v>1.3041000000000003</v>
      </c>
      <c r="DW40" s="51">
        <f t="shared" si="657"/>
        <v>0</v>
      </c>
      <c r="DX40" s="51">
        <f t="shared" si="514"/>
        <v>0</v>
      </c>
      <c r="DY40" s="54"/>
      <c r="DZ40" s="51">
        <f t="shared" si="658"/>
        <v>1.7605350000000004</v>
      </c>
      <c r="EA40" s="51">
        <f t="shared" si="659"/>
        <v>0</v>
      </c>
      <c r="EB40" s="51">
        <f t="shared" si="517"/>
        <v>0</v>
      </c>
      <c r="EC40" s="54"/>
      <c r="ED40" s="51">
        <f t="shared" si="660"/>
        <v>1.7605350000000004</v>
      </c>
      <c r="EE40" s="51">
        <f t="shared" si="661"/>
        <v>0</v>
      </c>
      <c r="EF40" s="51">
        <f t="shared" si="520"/>
        <v>0</v>
      </c>
      <c r="EG40" s="54"/>
      <c r="EH40" s="51">
        <f t="shared" si="662"/>
        <v>1.7605350000000004</v>
      </c>
      <c r="EI40" s="51">
        <f t="shared" si="663"/>
        <v>0</v>
      </c>
      <c r="EJ40" s="51">
        <f t="shared" si="523"/>
        <v>0</v>
      </c>
      <c r="EK40" s="54"/>
      <c r="EL40" s="51">
        <f t="shared" si="664"/>
        <v>1.7605350000000004</v>
      </c>
      <c r="EM40" s="51">
        <f t="shared" si="665"/>
        <v>0</v>
      </c>
      <c r="EN40" s="51">
        <f t="shared" si="526"/>
        <v>0</v>
      </c>
      <c r="EO40" s="54"/>
      <c r="EP40" s="51">
        <f t="shared" si="666"/>
        <v>1.7605350000000004</v>
      </c>
      <c r="EQ40" s="51">
        <f t="shared" si="667"/>
        <v>0</v>
      </c>
      <c r="ER40" s="51">
        <f t="shared" si="529"/>
        <v>0</v>
      </c>
      <c r="ES40" s="54"/>
      <c r="ET40" s="51">
        <f t="shared" si="438"/>
        <v>1.7605350000000004</v>
      </c>
      <c r="EU40" s="51">
        <f t="shared" si="439"/>
        <v>0</v>
      </c>
      <c r="EV40" s="51">
        <f t="shared" si="530"/>
        <v>0</v>
      </c>
      <c r="EW40" s="54"/>
      <c r="EX40" s="51">
        <f t="shared" si="668"/>
        <v>1.7605350000000004</v>
      </c>
      <c r="EY40" s="51">
        <f t="shared" si="669"/>
        <v>0</v>
      </c>
      <c r="EZ40" s="51">
        <f t="shared" si="533"/>
        <v>0</v>
      </c>
      <c r="FA40" s="54"/>
      <c r="FB40" s="51">
        <f t="shared" si="670"/>
        <v>1.7605350000000004</v>
      </c>
      <c r="FC40" s="51">
        <f t="shared" si="671"/>
        <v>0</v>
      </c>
      <c r="FD40" s="51">
        <f t="shared" si="536"/>
        <v>0</v>
      </c>
      <c r="FE40" s="54"/>
      <c r="FF40" s="51">
        <f t="shared" si="672"/>
        <v>1.7605350000000004</v>
      </c>
      <c r="FG40" s="51">
        <f t="shared" si="673"/>
        <v>0</v>
      </c>
      <c r="FH40" s="51">
        <f t="shared" si="539"/>
        <v>0</v>
      </c>
      <c r="FI40" s="54"/>
      <c r="FJ40" s="51">
        <f t="shared" si="674"/>
        <v>2.2886955000000007</v>
      </c>
      <c r="FK40" s="51">
        <f t="shared" si="675"/>
        <v>0</v>
      </c>
      <c r="FL40" s="51">
        <f t="shared" si="540"/>
        <v>0</v>
      </c>
      <c r="FM40" s="54"/>
      <c r="FN40" s="51">
        <f t="shared" si="676"/>
        <v>2.2886955000000007</v>
      </c>
      <c r="FO40" s="51">
        <f t="shared" si="677"/>
        <v>0</v>
      </c>
      <c r="FP40" s="51">
        <f t="shared" si="543"/>
        <v>0</v>
      </c>
      <c r="FQ40" s="54"/>
      <c r="FR40" s="51">
        <f t="shared" si="678"/>
        <v>2.2886955000000007</v>
      </c>
      <c r="FS40" s="51">
        <f t="shared" si="679"/>
        <v>0</v>
      </c>
      <c r="FT40" s="51">
        <f t="shared" si="546"/>
        <v>0</v>
      </c>
      <c r="FU40" s="54"/>
      <c r="FV40" s="51">
        <f t="shared" si="680"/>
        <v>2.2886955000000007</v>
      </c>
      <c r="FW40" s="51">
        <f t="shared" si="681"/>
        <v>0</v>
      </c>
      <c r="FX40" s="51">
        <f t="shared" si="549"/>
        <v>0</v>
      </c>
      <c r="FY40" s="54"/>
      <c r="FZ40" s="51">
        <f t="shared" si="682"/>
        <v>2.2886955000000007</v>
      </c>
      <c r="GA40" s="51">
        <f t="shared" si="683"/>
        <v>0</v>
      </c>
      <c r="GB40" s="51">
        <f t="shared" si="552"/>
        <v>0</v>
      </c>
      <c r="GC40" s="54"/>
      <c r="GD40" s="51">
        <f t="shared" si="684"/>
        <v>2.2886955000000007</v>
      </c>
      <c r="GE40" s="51">
        <f t="shared" si="685"/>
        <v>0</v>
      </c>
      <c r="GF40" s="51">
        <f t="shared" si="555"/>
        <v>0</v>
      </c>
      <c r="GG40" s="54"/>
      <c r="GH40" s="51">
        <f t="shared" si="686"/>
        <v>2.2886955000000007</v>
      </c>
      <c r="GI40" s="51">
        <f t="shared" si="687"/>
        <v>0</v>
      </c>
      <c r="GJ40" s="51">
        <f t="shared" si="558"/>
        <v>0</v>
      </c>
      <c r="GK40" s="54"/>
      <c r="GL40" s="51">
        <f t="shared" si="688"/>
        <v>2.2886955000000007</v>
      </c>
      <c r="GM40" s="51">
        <f t="shared" si="689"/>
        <v>0</v>
      </c>
      <c r="GN40" s="51">
        <f t="shared" si="561"/>
        <v>0</v>
      </c>
      <c r="GP40" s="51">
        <f t="shared" si="440"/>
        <v>2.2886955000000007</v>
      </c>
      <c r="GQ40" s="51">
        <f t="shared" si="441"/>
        <v>0</v>
      </c>
      <c r="GR40" s="51">
        <f t="shared" si="562"/>
        <v>0</v>
      </c>
      <c r="GS40" s="54"/>
      <c r="GT40" s="51">
        <f t="shared" si="690"/>
        <v>2.2886955000000007</v>
      </c>
      <c r="GU40" s="51">
        <f t="shared" si="691"/>
        <v>0</v>
      </c>
      <c r="GV40" s="51">
        <f t="shared" si="564"/>
        <v>0</v>
      </c>
      <c r="GW40" s="54"/>
      <c r="GX40" s="51">
        <f t="shared" si="692"/>
        <v>2.2886955000000007</v>
      </c>
      <c r="GY40" s="51">
        <f t="shared" si="693"/>
        <v>0</v>
      </c>
      <c r="GZ40" s="51">
        <f t="shared" si="567"/>
        <v>0</v>
      </c>
      <c r="HA40" s="54"/>
      <c r="HB40" s="51">
        <f t="shared" si="694"/>
        <v>2.2886955000000007</v>
      </c>
      <c r="HC40" s="51">
        <f t="shared" si="695"/>
        <v>0</v>
      </c>
      <c r="HD40" s="51">
        <f t="shared" si="570"/>
        <v>0</v>
      </c>
      <c r="HE40" s="54"/>
      <c r="HF40" s="51">
        <f t="shared" si="696"/>
        <v>2.975304150000001</v>
      </c>
      <c r="HG40" s="51">
        <f t="shared" si="697"/>
        <v>0</v>
      </c>
      <c r="HH40" s="51">
        <f t="shared" si="573"/>
        <v>0</v>
      </c>
      <c r="HI40" s="54"/>
      <c r="HJ40" s="51">
        <f t="shared" si="698"/>
        <v>2.975304150000001</v>
      </c>
      <c r="HK40" s="51">
        <f t="shared" si="699"/>
        <v>0</v>
      </c>
      <c r="HL40" s="51">
        <f t="shared" si="576"/>
        <v>0</v>
      </c>
      <c r="HM40" s="54"/>
      <c r="HN40" s="51">
        <f t="shared" si="700"/>
        <v>2.975304150000001</v>
      </c>
      <c r="HO40" s="51">
        <f t="shared" si="701"/>
        <v>0</v>
      </c>
      <c r="HP40" s="51">
        <f t="shared" si="579"/>
        <v>0</v>
      </c>
      <c r="HQ40" s="54"/>
      <c r="HR40" s="51">
        <f t="shared" si="702"/>
        <v>2.975304150000001</v>
      </c>
      <c r="HS40" s="51">
        <f t="shared" si="703"/>
        <v>0</v>
      </c>
      <c r="HT40" s="51">
        <f t="shared" si="582"/>
        <v>0</v>
      </c>
      <c r="HU40" s="54"/>
      <c r="HV40" s="51">
        <f t="shared" si="704"/>
        <v>2.975304150000001</v>
      </c>
      <c r="HW40" s="51">
        <f t="shared" si="705"/>
        <v>0</v>
      </c>
      <c r="HX40" s="51">
        <f t="shared" si="585"/>
        <v>0</v>
      </c>
      <c r="HY40" s="54"/>
      <c r="HZ40" s="51">
        <f t="shared" si="706"/>
        <v>2.975304150000001</v>
      </c>
      <c r="IA40" s="51">
        <f t="shared" si="707"/>
        <v>0</v>
      </c>
      <c r="IB40" s="51">
        <f t="shared" si="588"/>
        <v>0</v>
      </c>
      <c r="IC40" s="54"/>
      <c r="ID40" s="51">
        <f t="shared" si="708"/>
        <v>2.975304150000001</v>
      </c>
      <c r="IE40" s="51">
        <f t="shared" si="709"/>
        <v>0</v>
      </c>
      <c r="IF40" s="51">
        <f t="shared" si="591"/>
        <v>0</v>
      </c>
      <c r="IG40" s="54"/>
      <c r="IH40" s="51">
        <f t="shared" si="710"/>
        <v>2.975304150000001</v>
      </c>
      <c r="II40" s="51">
        <f t="shared" si="711"/>
        <v>0</v>
      </c>
      <c r="IJ40" s="51">
        <f t="shared" si="594"/>
        <v>0</v>
      </c>
      <c r="IL40" s="51">
        <f t="shared" si="442"/>
        <v>2.975304150000001</v>
      </c>
      <c r="IM40" s="51">
        <f t="shared" si="443"/>
        <v>0</v>
      </c>
      <c r="IN40" s="51">
        <f t="shared" si="595"/>
        <v>0</v>
      </c>
      <c r="IO40" s="54"/>
      <c r="IP40" s="51">
        <f t="shared" si="712"/>
        <v>2.975304150000001</v>
      </c>
      <c r="IQ40" s="51">
        <f t="shared" si="713"/>
        <v>0</v>
      </c>
      <c r="IR40" s="51">
        <f t="shared" si="598"/>
        <v>0</v>
      </c>
      <c r="IS40" s="54"/>
      <c r="IT40" s="51">
        <f t="shared" si="714"/>
        <v>2.975304150000001</v>
      </c>
      <c r="IU40" s="51">
        <f t="shared" si="715"/>
        <v>0</v>
      </c>
      <c r="IV40" s="51">
        <f t="shared" si="601"/>
        <v>0</v>
      </c>
      <c r="IW40" s="54"/>
      <c r="IX40" s="51">
        <f t="shared" si="716"/>
        <v>2.975304150000001</v>
      </c>
      <c r="IY40" s="51">
        <f t="shared" si="717"/>
        <v>0</v>
      </c>
      <c r="IZ40" s="51">
        <f t="shared" si="604"/>
        <v>0</v>
      </c>
      <c r="JA40" s="54"/>
      <c r="JB40" s="51" t="e">
        <f t="shared" si="718"/>
        <v>#REF!</v>
      </c>
      <c r="JC40" s="51">
        <f t="shared" si="719"/>
        <v>0</v>
      </c>
      <c r="JD40" s="51">
        <f t="shared" si="607"/>
        <v>0</v>
      </c>
      <c r="JE40" s="54"/>
      <c r="JF40" s="51" t="e">
        <f t="shared" si="720"/>
        <v>#REF!</v>
      </c>
      <c r="JG40" s="51">
        <f t="shared" si="721"/>
        <v>0</v>
      </c>
      <c r="JH40" s="51">
        <f t="shared" si="610"/>
        <v>0</v>
      </c>
      <c r="JI40" s="54"/>
      <c r="JJ40" s="51" t="e">
        <f t="shared" si="722"/>
        <v>#REF!</v>
      </c>
      <c r="JK40" s="51">
        <f t="shared" si="723"/>
        <v>0</v>
      </c>
      <c r="JL40" s="51">
        <f t="shared" si="612"/>
        <v>0</v>
      </c>
      <c r="JM40" s="54"/>
      <c r="JO40" s="80"/>
      <c r="JP40" s="80"/>
      <c r="JQ40" s="80">
        <f t="shared" si="444"/>
        <v>0</v>
      </c>
      <c r="JS40" s="80"/>
      <c r="JT40" s="80"/>
      <c r="JU40" s="80">
        <f t="shared" si="445"/>
        <v>0</v>
      </c>
      <c r="JW40" s="80"/>
      <c r="JX40" s="80"/>
      <c r="JY40" s="80">
        <f t="shared" si="446"/>
        <v>0</v>
      </c>
      <c r="KA40" s="80"/>
      <c r="KB40" s="80"/>
      <c r="KC40" s="80">
        <f t="shared" si="447"/>
        <v>0</v>
      </c>
      <c r="KE40" s="80"/>
      <c r="KF40" s="80"/>
      <c r="KG40" s="80">
        <f t="shared" si="448"/>
        <v>0</v>
      </c>
      <c r="KI40" s="80"/>
      <c r="KJ40" s="80"/>
      <c r="KK40" s="80">
        <f t="shared" si="449"/>
        <v>0</v>
      </c>
      <c r="KM40" s="80"/>
      <c r="KN40" s="80"/>
      <c r="KO40" s="80">
        <f t="shared" si="450"/>
        <v>0</v>
      </c>
    </row>
    <row r="41" ht="18.75" customHeight="1" spans="2:301" x14ac:dyDescent="0.25">
      <c r="B41" s="34" t="s">
        <v>58</v>
      </c>
      <c r="C41" s="34"/>
      <c r="D41" s="34"/>
      <c r="E41" s="30"/>
      <c r="F41" s="81">
        <f>SUM(F32:F40)</f>
        <v>9</v>
      </c>
      <c r="G41" s="81"/>
      <c r="H41" s="81">
        <f>SUM(H32:H40)</f>
        <v>225000</v>
      </c>
      <c r="I41" s="81"/>
      <c r="J41" s="81">
        <f>SUM(J32:J40)</f>
        <v>8.280000000000001</v>
      </c>
      <c r="K41" s="81"/>
      <c r="L41" s="81">
        <f>SUM(L32:L40)</f>
        <v>207000</v>
      </c>
      <c r="M41" s="81"/>
      <c r="N41" s="81">
        <f>SUM(N32:N40)</f>
        <v>8.280000000000001</v>
      </c>
      <c r="O41" s="81"/>
      <c r="P41" s="81">
        <f>SUM(P32:P40)</f>
        <v>207000</v>
      </c>
      <c r="Q41" s="81"/>
      <c r="R41" s="81">
        <f>SUM(R32:R40)</f>
        <v>8.280000000000001</v>
      </c>
      <c r="S41" s="81"/>
      <c r="T41" s="81">
        <f>SUM(T32:T40)</f>
        <v>207000</v>
      </c>
      <c r="U41" s="81"/>
      <c r="V41" s="81">
        <f>SUM(V32:V40)</f>
        <v>8.280000000000001</v>
      </c>
      <c r="W41" s="81"/>
      <c r="X41" s="81">
        <f>SUM(X32:X40)</f>
        <v>207000</v>
      </c>
      <c r="Y41" s="81"/>
      <c r="Z41" s="81">
        <f>SUM(Z32:Z40)</f>
        <v>8.280000000000001</v>
      </c>
      <c r="AA41" s="81"/>
      <c r="AB41" s="81">
        <f>SUM(AB32:AB40)</f>
        <v>207000</v>
      </c>
      <c r="AC41" s="81"/>
      <c r="AD41" s="81">
        <f>SUM(AD32:AD40)</f>
        <v>8.280000000000001</v>
      </c>
      <c r="AE41" s="81"/>
      <c r="AF41" s="81">
        <f>SUM(AF32:AF40)</f>
        <v>207000</v>
      </c>
      <c r="AG41" s="81"/>
      <c r="AH41" s="81">
        <f>SUM(AH32:AH40)</f>
        <v>8.694</v>
      </c>
      <c r="AI41" s="81"/>
      <c r="AJ41" s="81">
        <f>SUM(AJ32:AJ40)</f>
        <v>217350</v>
      </c>
      <c r="AK41" s="81"/>
      <c r="AL41" s="81">
        <f>SUM(AL32:AL40)</f>
        <v>8.694</v>
      </c>
      <c r="AM41" s="81"/>
      <c r="AN41" s="81">
        <f>SUM(AN32:AN40)</f>
        <v>217350</v>
      </c>
      <c r="AO41" s="81"/>
      <c r="AP41" s="81">
        <f>SUM(AP32:AP40)</f>
        <v>8.694</v>
      </c>
      <c r="AQ41" s="81"/>
      <c r="AR41" s="81">
        <f>SUM(AR32:AR40)</f>
        <v>217350</v>
      </c>
      <c r="AS41" s="81"/>
      <c r="AT41" s="81">
        <f>SUM(AT32:AT40)</f>
        <v>8.694</v>
      </c>
      <c r="AU41" s="81"/>
      <c r="AV41" s="81">
        <f>SUM(AV32:AV40)</f>
        <v>217350</v>
      </c>
      <c r="AW41" s="81"/>
      <c r="AX41" s="81">
        <f>SUM(AX32:AX40)</f>
        <v>8.694</v>
      </c>
      <c r="AY41" s="81"/>
      <c r="AZ41" s="81">
        <f>SUM(AZ32:AZ40)</f>
        <v>217350</v>
      </c>
      <c r="BA41" s="81"/>
      <c r="BB41" s="81">
        <f>SUM(BB32:BB40)</f>
        <v>8.694</v>
      </c>
      <c r="BC41" s="81"/>
      <c r="BD41" s="81">
        <f>SUM(BD32:BD40)</f>
        <v>217350</v>
      </c>
      <c r="BE41" s="81"/>
      <c r="BF41" s="81">
        <f>SUM(BF32:BF40)</f>
        <v>8.694</v>
      </c>
      <c r="BG41" s="81"/>
      <c r="BH41" s="81">
        <f>SUM(BH32:BH40)</f>
        <v>217350</v>
      </c>
      <c r="BI41" s="81"/>
      <c r="BJ41" s="81">
        <f>SUM(BJ32:BJ40)</f>
        <v>8.694</v>
      </c>
      <c r="BK41" s="81"/>
      <c r="BL41" s="81">
        <f>SUM(BL32:BL40)</f>
        <v>217350</v>
      </c>
      <c r="BM41" s="81"/>
      <c r="BN41" s="81">
        <f>SUM(BN32:BN40)</f>
        <v>8.694</v>
      </c>
      <c r="BO41" s="81"/>
      <c r="BP41" s="81">
        <f>SUM(BP32:BP40)</f>
        <v>217350</v>
      </c>
      <c r="BQ41" s="81"/>
      <c r="BR41" s="81">
        <f>SUM(BR32:BR40)</f>
        <v>8.694</v>
      </c>
      <c r="BS41" s="81"/>
      <c r="BT41" s="81">
        <f>SUM(BT32:BT40)</f>
        <v>217350</v>
      </c>
      <c r="BU41" s="81"/>
      <c r="BV41" s="81">
        <f>SUM(BV32:BV40)</f>
        <v>8.694</v>
      </c>
      <c r="BW41" s="81"/>
      <c r="BX41" s="81">
        <f>SUM(BX32:BX40)</f>
        <v>217350</v>
      </c>
      <c r="BY41" s="81"/>
      <c r="BZ41" s="81">
        <f>SUM(BZ32:BZ40)</f>
        <v>8.694</v>
      </c>
      <c r="CA41" s="81"/>
      <c r="CB41" s="81">
        <f>SUM(CB32:CB40)</f>
        <v>217350</v>
      </c>
      <c r="CC41" s="81"/>
      <c r="CD41" s="81">
        <f>SUM(CD32:CD40)</f>
        <v>11.736900000000002</v>
      </c>
      <c r="CE41" s="81"/>
      <c r="CF41" s="81">
        <f>SUM(CF32:CF40)</f>
        <v>293422.5</v>
      </c>
      <c r="CG41" s="81"/>
      <c r="CH41" s="81">
        <f>SUM(CH32:CH40)</f>
        <v>11.736900000000002</v>
      </c>
      <c r="CI41" s="81"/>
      <c r="CJ41" s="81">
        <f>SUM(CJ32:CJ40)</f>
        <v>293422.5</v>
      </c>
      <c r="CK41" s="81"/>
      <c r="CL41" s="81">
        <f>SUM(CL32:CL40)</f>
        <v>11.736900000000002</v>
      </c>
      <c r="CM41" s="81"/>
      <c r="CN41" s="81">
        <f>SUM(CN32:CN40)</f>
        <v>293422.5</v>
      </c>
      <c r="CO41" s="81"/>
      <c r="CP41" s="81">
        <f>SUM(CP32:CP40)</f>
        <v>11.736900000000002</v>
      </c>
      <c r="CQ41" s="81"/>
      <c r="CR41" s="81">
        <f>SUM(CR32:CR40)</f>
        <v>293422.5</v>
      </c>
      <c r="CS41" s="81"/>
      <c r="CT41" s="81">
        <f>SUM(CT32:CT40)</f>
        <v>11.736900000000002</v>
      </c>
      <c r="CU41" s="81"/>
      <c r="CV41" s="81">
        <f>SUM(CV32:CV40)</f>
        <v>293422.5</v>
      </c>
      <c r="CW41" s="81"/>
      <c r="CX41" s="81">
        <f>SUM(CX32:CX40)</f>
        <v>11.736900000000002</v>
      </c>
      <c r="CY41" s="81"/>
      <c r="CZ41" s="81">
        <f>SUM(CZ32:CZ40)</f>
        <v>293422.5</v>
      </c>
      <c r="DA41" s="81"/>
      <c r="DB41" s="81">
        <f>SUM(DB32:DB40)</f>
        <v>11.736900000000002</v>
      </c>
      <c r="DC41" s="81"/>
      <c r="DD41" s="81">
        <f>SUM(DD32:DD40)</f>
        <v>293422.5</v>
      </c>
      <c r="DE41" s="81"/>
      <c r="DF41" s="81">
        <f>SUM(DF32:DF40)</f>
        <v>11.736900000000002</v>
      </c>
      <c r="DG41" s="81"/>
      <c r="DH41" s="81">
        <f>SUM(DH32:DH40)</f>
        <v>293422.5</v>
      </c>
      <c r="DI41" s="81"/>
      <c r="DJ41" s="81">
        <f>SUM(DJ32:DJ40)</f>
        <v>11.736900000000002</v>
      </c>
      <c r="DK41" s="81"/>
      <c r="DL41" s="81">
        <f>SUM(DL32:DL40)</f>
        <v>293422.5</v>
      </c>
      <c r="DM41" s="81"/>
      <c r="DN41" s="81">
        <f>SUM(DN32:DN40)</f>
        <v>11.736900000000002</v>
      </c>
      <c r="DO41" s="81"/>
      <c r="DP41" s="81">
        <f>SUM(DP32:DP40)</f>
        <v>293422.5</v>
      </c>
      <c r="DQ41" s="81"/>
      <c r="DR41" s="81">
        <f>SUM(DR32:DR40)</f>
        <v>11.736900000000002</v>
      </c>
      <c r="DS41" s="81"/>
      <c r="DT41" s="81">
        <f>SUM(DT32:DT40)</f>
        <v>293422.5</v>
      </c>
      <c r="DU41" s="81"/>
      <c r="DV41" s="81">
        <f>SUM(DV32:DV40)</f>
        <v>11.736900000000002</v>
      </c>
      <c r="DW41" s="81"/>
      <c r="DX41" s="81">
        <f>SUM(DX32:DX40)</f>
        <v>293422.5</v>
      </c>
      <c r="DY41" s="81"/>
      <c r="DZ41" s="81">
        <f>SUM(DZ32:DZ40)</f>
        <v>15.844815000000006</v>
      </c>
      <c r="EA41" s="81"/>
      <c r="EB41" s="81">
        <f>SUM(EB32:EB40)</f>
        <v>396120.375</v>
      </c>
      <c r="EC41" s="81"/>
      <c r="ED41" s="81">
        <f>SUM(ED32:ED40)</f>
        <v>15.844815000000006</v>
      </c>
      <c r="EE41" s="81"/>
      <c r="EF41" s="81">
        <f>SUM(EF32:EF40)</f>
        <v>396120.375</v>
      </c>
      <c r="EG41" s="81"/>
      <c r="EH41" s="81">
        <f>SUM(EH32:EH40)</f>
        <v>15.844815000000006</v>
      </c>
      <c r="EI41" s="81"/>
      <c r="EJ41" s="81">
        <f>SUM(EJ32:EJ40)</f>
        <v>396120.375</v>
      </c>
      <c r="EK41" s="81"/>
      <c r="EL41" s="81">
        <f>SUM(EL32:EL40)</f>
        <v>15.844815000000006</v>
      </c>
      <c r="EM41" s="81"/>
      <c r="EN41" s="81">
        <f>SUM(EN32:EN40)</f>
        <v>396120.375</v>
      </c>
      <c r="EO41" s="81"/>
      <c r="EP41" s="81">
        <f>SUM(EP32:EP40)</f>
        <v>15.844815000000006</v>
      </c>
      <c r="EQ41" s="81"/>
      <c r="ER41" s="81">
        <f>SUM(ER32:ER40)</f>
        <v>396120.375</v>
      </c>
      <c r="ES41" s="81"/>
      <c r="ET41" s="81">
        <f>SUM(ET32:ET40)</f>
        <v>15.844815000000006</v>
      </c>
      <c r="EU41" s="81"/>
      <c r="EV41" s="81">
        <f>SUM(EV32:EV40)</f>
        <v>396120.375</v>
      </c>
      <c r="EW41" s="81"/>
      <c r="EX41" s="81">
        <f>SUM(EX32:EX40)</f>
        <v>15.844815000000006</v>
      </c>
      <c r="EY41" s="81"/>
      <c r="EZ41" s="81">
        <f>SUM(EZ32:EZ40)</f>
        <v>396120.375</v>
      </c>
      <c r="FA41" s="81"/>
      <c r="FB41" s="81">
        <f>SUM(FB32:FB40)</f>
        <v>15.844815000000006</v>
      </c>
      <c r="FC41" s="81"/>
      <c r="FD41" s="81">
        <f>SUM(FD32:FD40)</f>
        <v>396120.375</v>
      </c>
      <c r="FE41" s="81"/>
      <c r="FF41" s="81">
        <f>SUM(FF32:FF40)</f>
        <v>15.844815000000006</v>
      </c>
      <c r="FG41" s="81"/>
      <c r="FH41" s="81">
        <f>SUM(FH32:FH40)</f>
        <v>396120.375</v>
      </c>
      <c r="FI41" s="81"/>
      <c r="FJ41" s="81">
        <f>SUM(FJ32:FJ40)</f>
        <v>20.598259500000005</v>
      </c>
      <c r="FK41" s="81"/>
      <c r="FL41" s="81">
        <f>SUM(FL32:FL40)</f>
        <v>396120.375</v>
      </c>
      <c r="FM41" s="81"/>
      <c r="FN41" s="81">
        <f>SUM(FN32:FN40)</f>
        <v>20.598259500000005</v>
      </c>
      <c r="FO41" s="81"/>
      <c r="FP41" s="81">
        <f>SUM(FP32:FP40)</f>
        <v>396120.375</v>
      </c>
      <c r="FQ41" s="81"/>
      <c r="FR41" s="81">
        <f>SUM(FR32:FR40)</f>
        <v>20.598259500000005</v>
      </c>
      <c r="FS41" s="81"/>
      <c r="FT41" s="81">
        <f>SUM(FT32:FT40)</f>
        <v>396120.375</v>
      </c>
      <c r="FU41" s="81"/>
      <c r="FV41" s="81">
        <f>SUM(FV32:FV40)</f>
        <v>20.598259500000005</v>
      </c>
      <c r="FW41" s="81"/>
      <c r="FX41" s="81">
        <f>SUM(FX32:FX40)</f>
        <v>514956.48750000005</v>
      </c>
      <c r="FY41" s="81"/>
      <c r="FZ41" s="81">
        <f>SUM(FZ32:FZ40)</f>
        <v>20.598259500000005</v>
      </c>
      <c r="GA41" s="81"/>
      <c r="GB41" s="81">
        <f>SUM(GB32:GB40)</f>
        <v>514956.48750000005</v>
      </c>
      <c r="GC41" s="81"/>
      <c r="GD41" s="81">
        <f>SUM(GD32:GD40)</f>
        <v>20.598259500000005</v>
      </c>
      <c r="GE41" s="81"/>
      <c r="GF41" s="81">
        <f>SUM(GF32:GF40)</f>
        <v>514956.48750000005</v>
      </c>
      <c r="GG41" s="81"/>
      <c r="GH41" s="81">
        <f>SUM(GH32:GH40)</f>
        <v>20.598259500000005</v>
      </c>
      <c r="GI41" s="81"/>
      <c r="GJ41" s="81">
        <f>SUM(GJ32:GJ40)</f>
        <v>514956.48750000005</v>
      </c>
      <c r="GK41" s="81"/>
      <c r="GL41" s="81">
        <f>SUM(GL32:GL40)</f>
        <v>20.598259500000005</v>
      </c>
      <c r="GM41" s="81"/>
      <c r="GN41" s="81">
        <f>SUM(GN32:GN40)</f>
        <v>514956.48750000005</v>
      </c>
      <c r="GO41" s="9"/>
      <c r="GP41" s="81">
        <f>SUM(GP32:GP40)</f>
        <v>20.598259500000005</v>
      </c>
      <c r="GQ41" s="81"/>
      <c r="GR41" s="81">
        <f>SUM(GR32:GR40)</f>
        <v>514956.48750000005</v>
      </c>
      <c r="GS41" s="81"/>
      <c r="GT41" s="81">
        <f>SUM(GT32:GT40)</f>
        <v>20.598259500000005</v>
      </c>
      <c r="GU41" s="81"/>
      <c r="GV41" s="81">
        <f>SUM(GV32:GV40)</f>
        <v>514956.48750000005</v>
      </c>
      <c r="GW41" s="81"/>
      <c r="GX41" s="81">
        <f>SUM(GX32:GX40)</f>
        <v>20.598259500000005</v>
      </c>
      <c r="GY41" s="81"/>
      <c r="GZ41" s="81">
        <f>SUM(GZ32:GZ40)</f>
        <v>514956.48750000005</v>
      </c>
      <c r="HA41" s="81"/>
      <c r="HB41" s="81">
        <f>SUM(HB32:HB40)</f>
        <v>20.598259500000005</v>
      </c>
      <c r="HC41" s="81"/>
      <c r="HD41" s="81">
        <f>SUM(HD32:HD40)</f>
        <v>514956.48750000005</v>
      </c>
      <c r="HE41" s="81"/>
      <c r="HF41" s="81">
        <f>SUM(HF32:HF40)</f>
        <v>26.777737350000002</v>
      </c>
      <c r="HG41" s="81"/>
      <c r="HH41" s="81">
        <f>SUM(HH32:HH40)</f>
        <v>514956.48750000005</v>
      </c>
      <c r="HI41" s="81"/>
      <c r="HJ41" s="81">
        <f>SUM(HJ32:HJ40)</f>
        <v>26.777737350000002</v>
      </c>
      <c r="HK41" s="81"/>
      <c r="HL41" s="81">
        <f>SUM(HL32:HL40)</f>
        <v>514956.48750000005</v>
      </c>
      <c r="HM41" s="81"/>
      <c r="HN41" s="81">
        <f>SUM(HN32:HN40)</f>
        <v>26.777737350000002</v>
      </c>
      <c r="HO41" s="81"/>
      <c r="HP41" s="81">
        <f>SUM(HP32:HP40)</f>
        <v>514956.48750000005</v>
      </c>
      <c r="HQ41" s="81"/>
      <c r="HR41" s="81">
        <f>SUM(HR32:HR40)</f>
        <v>26.777737350000002</v>
      </c>
      <c r="HS41" s="81"/>
      <c r="HT41" s="81">
        <f>SUM(HT32:HT40)</f>
        <v>669443.4337500001</v>
      </c>
      <c r="HU41" s="81"/>
      <c r="HV41" s="81">
        <f>SUM(HV32:HV40)</f>
        <v>26.777737350000002</v>
      </c>
      <c r="HW41" s="81"/>
      <c r="HX41" s="81">
        <f>SUM(HX32:HX40)</f>
        <v>669443.4337500001</v>
      </c>
      <c r="HY41" s="81"/>
      <c r="HZ41" s="81">
        <f>SUM(HZ32:HZ40)</f>
        <v>26.777737350000002</v>
      </c>
      <c r="IA41" s="81"/>
      <c r="IB41" s="81">
        <f>SUM(IB32:IB40)</f>
        <v>669443.4337500001</v>
      </c>
      <c r="IC41" s="81"/>
      <c r="ID41" s="81">
        <f>SUM(ID32:ID40)</f>
        <v>26.777737350000002</v>
      </c>
      <c r="IE41" s="81"/>
      <c r="IF41" s="81">
        <f>SUM(IF32:IF40)</f>
        <v>669443.4337500001</v>
      </c>
      <c r="IG41" s="81"/>
      <c r="IH41" s="81">
        <f>SUM(IH32:IH40)</f>
        <v>26.777737350000002</v>
      </c>
      <c r="II41" s="81"/>
      <c r="IJ41" s="81">
        <f>SUM(IJ32:IJ40)</f>
        <v>669443.4337500001</v>
      </c>
      <c r="IK41" s="9"/>
      <c r="IL41" s="81">
        <f>SUM(IL32:IL40)</f>
        <v>26.777737350000002</v>
      </c>
      <c r="IM41" s="81"/>
      <c r="IN41" s="81">
        <f>SUM(IN32:IN40)</f>
        <v>669443.4337500001</v>
      </c>
      <c r="IO41" s="81"/>
      <c r="IP41" s="81">
        <f>SUM(IP32:IP40)</f>
        <v>26.777737350000002</v>
      </c>
      <c r="IQ41" s="81"/>
      <c r="IR41" s="81">
        <f>SUM(IR32:IR40)</f>
        <v>669443.4337500001</v>
      </c>
      <c r="IS41" s="81"/>
      <c r="IT41" s="81">
        <f>SUM(IT32:IT40)</f>
        <v>26.777737350000002</v>
      </c>
      <c r="IU41" s="81"/>
      <c r="IV41" s="81">
        <f>SUM(IV32:IV40)</f>
        <v>669443.4337500001</v>
      </c>
      <c r="IW41" s="81"/>
      <c r="IX41" s="81">
        <f>SUM(IX32:IX40)</f>
        <v>26.777737350000002</v>
      </c>
      <c r="IY41" s="81"/>
      <c r="IZ41" s="81">
        <f>SUM(IZ32:IZ40)</f>
        <v>669443.4337500001</v>
      </c>
      <c r="JA41" s="81"/>
      <c r="JB41" s="81" t="e">
        <f>SUM(JB32:JB40)</f>
        <v>#REF!</v>
      </c>
      <c r="JC41" s="81"/>
      <c r="JD41" s="81">
        <f>SUM(JD32:JD40)</f>
        <v>669443.4337500001</v>
      </c>
      <c r="JE41" s="81"/>
      <c r="JF41" s="81" t="e">
        <f>SUM(JF32:JF40)</f>
        <v>#REF!</v>
      </c>
      <c r="JG41" s="81"/>
      <c r="JH41" s="81">
        <f>SUM(JH32:JH40)</f>
        <v>669443.4337500001</v>
      </c>
      <c r="JI41" s="81"/>
      <c r="JJ41" s="81" t="e">
        <f>SUM(JJ32:JJ40)</f>
        <v>#REF!</v>
      </c>
      <c r="JK41" s="81"/>
      <c r="JL41" s="81">
        <f>SUM(JL32:JL40)</f>
        <v>669443.4337500001</v>
      </c>
      <c r="JM41" s="81"/>
      <c r="JN41" s="9"/>
      <c r="JO41" s="81"/>
      <c r="JP41" s="81"/>
      <c r="JQ41" s="80">
        <f t="shared" si="444"/>
        <v>1901700</v>
      </c>
      <c r="JS41" s="81"/>
      <c r="JT41" s="81"/>
      <c r="JU41" s="80">
        <f t="shared" si="445"/>
        <v>2173500</v>
      </c>
      <c r="JW41" s="81"/>
      <c r="JX41" s="81"/>
      <c r="JY41" s="80">
        <f t="shared" si="446"/>
        <v>3521070</v>
      </c>
      <c r="KA41" s="81"/>
      <c r="KB41" s="81"/>
      <c r="KC41" s="80">
        <f t="shared" si="447"/>
        <v>4753444.5</v>
      </c>
      <c r="KE41" s="81"/>
      <c r="KF41" s="81"/>
      <c r="KG41" s="80">
        <f t="shared" si="448"/>
        <v>6179477.849999999</v>
      </c>
      <c r="KI41" s="81"/>
      <c r="KJ41" s="81"/>
      <c r="KK41" s="80">
        <f t="shared" si="449"/>
        <v>8033321.204999999</v>
      </c>
      <c r="KM41" s="81"/>
      <c r="KN41" s="81"/>
      <c r="KO41" s="80">
        <f t="shared" si="450"/>
        <v>8033321.204999999</v>
      </c>
    </row>
    <row r="42" ht="9.75" customHeight="1" spans="2:301" x14ac:dyDescent="0.25">
      <c r="B42" s="9"/>
      <c r="C42" s="30"/>
      <c r="D42" s="30"/>
      <c r="E42" s="30"/>
      <c r="F42" s="54"/>
      <c r="G42" s="54"/>
      <c r="H42" s="54"/>
      <c r="I42" s="54"/>
      <c r="J42" s="54"/>
      <c r="K42" s="54"/>
      <c r="L42" s="54"/>
      <c r="M42" s="54"/>
      <c r="N42" s="54"/>
      <c r="O42" s="54"/>
      <c r="P42" s="54"/>
      <c r="Q42" s="54"/>
      <c r="R42" s="54"/>
      <c r="S42" s="54"/>
      <c r="T42" s="54"/>
      <c r="U42" s="54"/>
      <c r="V42" s="54"/>
      <c r="W42" s="54"/>
      <c r="X42" s="54"/>
      <c r="Y42" s="54"/>
      <c r="Z42" s="54"/>
      <c r="AA42" s="54"/>
      <c r="AB42" s="54"/>
      <c r="AC42" s="54"/>
      <c r="AD42" s="54"/>
      <c r="AE42" s="54"/>
      <c r="AF42" s="54"/>
      <c r="AG42" s="54"/>
      <c r="AH42" s="54"/>
      <c r="AI42" s="54"/>
      <c r="AJ42" s="54"/>
      <c r="AK42" s="54"/>
      <c r="AL42" s="54"/>
      <c r="AM42" s="54"/>
      <c r="AN42" s="54"/>
      <c r="AO42" s="54"/>
      <c r="AP42" s="54"/>
      <c r="AQ42" s="54"/>
      <c r="AR42" s="54"/>
      <c r="AS42" s="54"/>
      <c r="AT42" s="54"/>
      <c r="AU42" s="54"/>
      <c r="AV42" s="54"/>
      <c r="AW42" s="54"/>
      <c r="AX42" s="54"/>
      <c r="AY42" s="54"/>
      <c r="AZ42" s="54"/>
      <c r="BA42" s="54"/>
      <c r="BB42" s="54"/>
      <c r="BC42" s="54"/>
      <c r="BD42" s="54"/>
      <c r="BE42" s="54"/>
      <c r="BF42" s="54"/>
      <c r="BG42" s="54"/>
      <c r="BH42" s="54"/>
      <c r="BI42" s="54"/>
      <c r="BJ42" s="54"/>
      <c r="BK42" s="54"/>
      <c r="BL42" s="54"/>
      <c r="BM42" s="54"/>
      <c r="BN42" s="54"/>
      <c r="BO42" s="54"/>
      <c r="BP42" s="54"/>
      <c r="BQ42" s="54"/>
      <c r="BR42" s="54"/>
      <c r="BS42" s="54"/>
      <c r="BT42" s="54"/>
      <c r="BU42" s="54"/>
      <c r="BV42" s="54"/>
      <c r="BW42" s="54"/>
      <c r="BX42" s="54"/>
      <c r="BY42" s="54"/>
      <c r="BZ42" s="54"/>
      <c r="CA42" s="54"/>
      <c r="CB42" s="54"/>
      <c r="CC42" s="54"/>
      <c r="CD42" s="54"/>
      <c r="CE42" s="54"/>
      <c r="CF42" s="54"/>
      <c r="CG42" s="54"/>
      <c r="CH42" s="54"/>
      <c r="CI42" s="54"/>
      <c r="CJ42" s="54"/>
      <c r="CK42" s="54"/>
      <c r="CL42" s="54"/>
      <c r="CM42" s="54"/>
      <c r="CN42" s="54"/>
      <c r="CO42" s="54"/>
      <c r="CP42" s="54"/>
      <c r="CQ42" s="54"/>
      <c r="CR42" s="54"/>
      <c r="CS42" s="54"/>
      <c r="CT42" s="54"/>
      <c r="CU42" s="54"/>
      <c r="CV42" s="54"/>
      <c r="CW42" s="54"/>
      <c r="CX42" s="54"/>
      <c r="CY42" s="54"/>
      <c r="CZ42" s="54"/>
      <c r="DA42" s="54"/>
      <c r="DB42" s="54"/>
      <c r="DC42" s="54"/>
      <c r="DD42" s="54"/>
      <c r="DE42" s="54"/>
      <c r="DF42" s="54"/>
      <c r="DG42" s="54"/>
      <c r="DH42" s="54"/>
      <c r="DI42" s="54"/>
      <c r="DJ42" s="54"/>
      <c r="DK42" s="54"/>
      <c r="DL42" s="54"/>
      <c r="DM42" s="54"/>
      <c r="DN42" s="54"/>
      <c r="DO42" s="54"/>
      <c r="DP42" s="54"/>
      <c r="DQ42" s="54"/>
      <c r="DR42" s="54"/>
      <c r="DS42" s="54"/>
      <c r="DT42" s="54"/>
      <c r="DU42" s="54"/>
      <c r="DV42" s="54"/>
      <c r="DW42" s="54"/>
      <c r="DX42" s="54"/>
      <c r="DY42" s="54"/>
      <c r="DZ42" s="54"/>
      <c r="EA42" s="54"/>
      <c r="EB42" s="54"/>
      <c r="EC42" s="54"/>
      <c r="ED42" s="54"/>
      <c r="EE42" s="54"/>
      <c r="EF42" s="54"/>
      <c r="EG42" s="54"/>
      <c r="EH42" s="54"/>
      <c r="EI42" s="54"/>
      <c r="EJ42" s="54"/>
      <c r="EK42" s="54"/>
      <c r="EL42" s="54"/>
      <c r="EM42" s="54"/>
      <c r="EN42" s="54"/>
      <c r="EO42" s="54"/>
      <c r="EP42" s="54"/>
      <c r="EQ42" s="54"/>
      <c r="ER42" s="54"/>
      <c r="ES42" s="54"/>
      <c r="ET42" s="54"/>
      <c r="EU42" s="54"/>
      <c r="EV42" s="54"/>
      <c r="EW42" s="54"/>
      <c r="EX42" s="54"/>
      <c r="EY42" s="54"/>
      <c r="EZ42" s="54"/>
      <c r="FA42" s="54"/>
      <c r="FB42" s="54"/>
      <c r="FC42" s="54"/>
      <c r="FD42" s="54"/>
      <c r="FE42" s="54"/>
      <c r="FF42" s="54"/>
      <c r="FG42" s="54"/>
      <c r="FH42" s="54"/>
      <c r="FI42" s="54"/>
      <c r="FJ42" s="54"/>
      <c r="FK42" s="54"/>
      <c r="FL42" s="54"/>
      <c r="FM42" s="54"/>
      <c r="FN42" s="54"/>
      <c r="FO42" s="54"/>
      <c r="FP42" s="54"/>
      <c r="FQ42" s="54"/>
      <c r="FR42" s="54"/>
      <c r="FS42" s="54"/>
      <c r="FT42" s="54"/>
      <c r="FU42" s="54"/>
      <c r="FV42" s="54"/>
      <c r="FW42" s="54"/>
      <c r="FX42" s="54"/>
      <c r="FY42" s="54"/>
      <c r="FZ42" s="54"/>
      <c r="GA42" s="54"/>
      <c r="GB42" s="54"/>
      <c r="GC42" s="54"/>
      <c r="GD42" s="54"/>
      <c r="GE42" s="54"/>
      <c r="GF42" s="54"/>
      <c r="GG42" s="54"/>
      <c r="GH42" s="54"/>
      <c r="GI42" s="54"/>
      <c r="GJ42" s="54"/>
      <c r="GK42" s="54"/>
      <c r="GL42" s="54"/>
      <c r="GM42" s="54"/>
      <c r="GN42" s="54"/>
      <c r="GP42" s="54"/>
      <c r="GQ42" s="54"/>
      <c r="GR42" s="54"/>
      <c r="GS42" s="54"/>
      <c r="GT42" s="54"/>
      <c r="GU42" s="54"/>
      <c r="GV42" s="54"/>
      <c r="GW42" s="54"/>
      <c r="GX42" s="54"/>
      <c r="GY42" s="54"/>
      <c r="GZ42" s="54"/>
      <c r="HA42" s="54"/>
      <c r="HB42" s="54"/>
      <c r="HC42" s="54"/>
      <c r="HD42" s="54"/>
      <c r="HE42" s="54"/>
      <c r="HF42" s="54"/>
      <c r="HG42" s="54"/>
      <c r="HH42" s="54"/>
      <c r="HI42" s="54"/>
      <c r="HJ42" s="54"/>
      <c r="HK42" s="54"/>
      <c r="HL42" s="54"/>
      <c r="HM42" s="54"/>
      <c r="HN42" s="54"/>
      <c r="HO42" s="54"/>
      <c r="HP42" s="54"/>
      <c r="HQ42" s="54"/>
      <c r="HR42" s="54"/>
      <c r="HS42" s="54"/>
      <c r="HT42" s="54"/>
      <c r="HU42" s="54"/>
      <c r="HV42" s="54"/>
      <c r="HW42" s="54"/>
      <c r="HX42" s="54"/>
      <c r="HY42" s="54"/>
      <c r="HZ42" s="54"/>
      <c r="IA42" s="54"/>
      <c r="IB42" s="54"/>
      <c r="IC42" s="54"/>
      <c r="ID42" s="54"/>
      <c r="IE42" s="54"/>
      <c r="IF42" s="54"/>
      <c r="IG42" s="54"/>
      <c r="IH42" s="54"/>
      <c r="II42" s="54"/>
      <c r="IJ42" s="54"/>
      <c r="IL42" s="54"/>
      <c r="IM42" s="54"/>
      <c r="IN42" s="54"/>
      <c r="IO42" s="54"/>
      <c r="IP42" s="54"/>
      <c r="IQ42" s="54"/>
      <c r="IR42" s="54"/>
      <c r="IS42" s="54"/>
      <c r="IT42" s="54"/>
      <c r="IU42" s="54"/>
      <c r="IV42" s="54"/>
      <c r="IW42" s="54"/>
      <c r="IX42" s="54"/>
      <c r="IY42" s="54"/>
      <c r="IZ42" s="54"/>
      <c r="JA42" s="54"/>
      <c r="JB42" s="54"/>
      <c r="JC42" s="54"/>
      <c r="JD42" s="54"/>
      <c r="JE42" s="54"/>
      <c r="JF42" s="54"/>
      <c r="JG42" s="54"/>
      <c r="JH42" s="54"/>
      <c r="JI42" s="54"/>
      <c r="JJ42" s="54"/>
      <c r="JK42" s="54"/>
      <c r="JL42" s="54"/>
      <c r="JM42" s="54"/>
      <c r="JO42" s="54"/>
      <c r="JP42" s="54"/>
      <c r="JQ42" s="54"/>
      <c r="JS42" s="54"/>
      <c r="JT42" s="54"/>
      <c r="JU42" s="54"/>
      <c r="JW42" s="54"/>
      <c r="JX42" s="54"/>
      <c r="JY42" s="54"/>
      <c r="KA42" s="54"/>
      <c r="KB42" s="54"/>
      <c r="KC42" s="54"/>
      <c r="KE42" s="54"/>
      <c r="KF42" s="54"/>
      <c r="KG42" s="54"/>
      <c r="KI42" s="54"/>
      <c r="KJ42" s="54"/>
      <c r="KK42" s="54"/>
      <c r="KM42" s="54"/>
      <c r="KN42" s="54"/>
      <c r="KO42" s="54"/>
    </row>
    <row r="43" ht="12" customHeight="1" spans="2:301" s="101" customFormat="1" x14ac:dyDescent="0.25">
      <c r="B43" s="102"/>
      <c r="C43" s="104"/>
      <c r="G43" s="103"/>
      <c r="H43" s="105"/>
      <c r="I43" s="103"/>
      <c r="J43" s="78">
        <f>A.IIOPEX!K45+100%</f>
        <v>0.5</v>
      </c>
      <c r="K43" s="78">
        <f>$K$8</f>
        <v>1</v>
      </c>
      <c r="L43" s="78">
        <f>A.IIOPEX!K45+100%</f>
        <v>0.5</v>
      </c>
      <c r="M43" s="103"/>
      <c r="N43" s="78">
        <v>1</v>
      </c>
      <c r="O43" s="78">
        <v>1</v>
      </c>
      <c r="P43" s="78">
        <v>1</v>
      </c>
      <c r="Q43" s="103"/>
      <c r="R43" s="78">
        <f>N43</f>
        <v>1</v>
      </c>
      <c r="S43" s="78">
        <v>1</v>
      </c>
      <c r="T43" s="78">
        <f>P43</f>
        <v>1</v>
      </c>
      <c r="U43" s="103"/>
      <c r="V43" s="78">
        <f>R43</f>
        <v>1</v>
      </c>
      <c r="W43" s="78">
        <v>1</v>
      </c>
      <c r="X43" s="78">
        <f>T43</f>
        <v>1</v>
      </c>
      <c r="Y43" s="103"/>
      <c r="Z43" s="78">
        <v>1</v>
      </c>
      <c r="AA43" s="78">
        <v>1</v>
      </c>
      <c r="AB43" s="78">
        <f>X43</f>
        <v>1</v>
      </c>
      <c r="AC43" s="103"/>
      <c r="AD43" s="78">
        <f>Z43</f>
        <v>1</v>
      </c>
      <c r="AE43" s="78">
        <v>1</v>
      </c>
      <c r="AF43" s="78">
        <f>AB43</f>
        <v>1</v>
      </c>
      <c r="AG43" s="103"/>
      <c r="AH43" s="78">
        <f>A.IIOPEX!M45+100%</f>
        <v>1.15</v>
      </c>
      <c r="AI43" s="78">
        <v>1</v>
      </c>
      <c r="AJ43" s="78">
        <f>A.IIOPEX!M45+100%</f>
        <v>1.15</v>
      </c>
      <c r="AK43" s="103"/>
      <c r="AL43" s="78">
        <v>1</v>
      </c>
      <c r="AM43" s="78">
        <v>1</v>
      </c>
      <c r="AN43" s="78">
        <v>1</v>
      </c>
      <c r="AO43" s="103"/>
      <c r="AP43" s="78">
        <f>AL43</f>
        <v>1</v>
      </c>
      <c r="AQ43" s="78">
        <v>1</v>
      </c>
      <c r="AR43" s="78">
        <f>AN43</f>
        <v>1</v>
      </c>
      <c r="AS43" s="103"/>
      <c r="AT43" s="78">
        <f>AP43</f>
        <v>1</v>
      </c>
      <c r="AU43" s="78">
        <v>1</v>
      </c>
      <c r="AV43" s="78">
        <f>AR43</f>
        <v>1</v>
      </c>
      <c r="AW43" s="103"/>
      <c r="AX43" s="78">
        <f>AT43</f>
        <v>1</v>
      </c>
      <c r="AY43" s="78">
        <v>1</v>
      </c>
      <c r="AZ43" s="78">
        <f>AV43</f>
        <v>1</v>
      </c>
      <c r="BA43" s="103"/>
      <c r="BB43" s="78">
        <f>AX43</f>
        <v>1</v>
      </c>
      <c r="BC43" s="78">
        <v>1</v>
      </c>
      <c r="BD43" s="78">
        <f>AZ43</f>
        <v>1</v>
      </c>
      <c r="BE43" s="103"/>
      <c r="BF43" s="78">
        <f>BB43</f>
        <v>1</v>
      </c>
      <c r="BG43" s="78">
        <v>1</v>
      </c>
      <c r="BH43" s="78">
        <f>BD43</f>
        <v>1</v>
      </c>
      <c r="BI43" s="103"/>
      <c r="BJ43" s="78">
        <f>BF43</f>
        <v>1</v>
      </c>
      <c r="BK43" s="78">
        <v>1</v>
      </c>
      <c r="BL43" s="78">
        <f>BH43</f>
        <v>1</v>
      </c>
      <c r="BM43" s="103"/>
      <c r="BN43" s="79">
        <f>BJ43</f>
        <v>1</v>
      </c>
      <c r="BO43" s="79">
        <v>1</v>
      </c>
      <c r="BP43" s="78">
        <f>BL43</f>
        <v>1</v>
      </c>
      <c r="BQ43" s="103"/>
      <c r="BR43" s="78">
        <f>BN43</f>
        <v>1</v>
      </c>
      <c r="BS43" s="78">
        <v>1</v>
      </c>
      <c r="BT43" s="78">
        <f>BP43</f>
        <v>1</v>
      </c>
      <c r="BU43" s="103"/>
      <c r="BV43" s="78">
        <v>1</v>
      </c>
      <c r="BW43" s="78">
        <v>1</v>
      </c>
      <c r="BX43" s="78">
        <f>BT43</f>
        <v>1</v>
      </c>
      <c r="BY43" s="103"/>
      <c r="BZ43" s="78">
        <f>BV43</f>
        <v>1</v>
      </c>
      <c r="CA43" s="78">
        <v>1</v>
      </c>
      <c r="CB43" s="78">
        <f>BX43</f>
        <v>1</v>
      </c>
      <c r="CC43" s="103"/>
      <c r="CD43" s="78">
        <f>A.IIOPEX!O45+100%</f>
        <v>1.1</v>
      </c>
      <c r="CE43" s="78">
        <v>1</v>
      </c>
      <c r="CF43" s="78">
        <f>A.IIOPEX!O45+100%</f>
        <v>1.1</v>
      </c>
      <c r="CG43" s="103"/>
      <c r="CH43" s="78">
        <v>1</v>
      </c>
      <c r="CI43" s="78">
        <v>1</v>
      </c>
      <c r="CJ43" s="78">
        <v>1</v>
      </c>
      <c r="CK43" s="103"/>
      <c r="CL43" s="78">
        <f>CH43</f>
        <v>1</v>
      </c>
      <c r="CM43" s="78">
        <v>1</v>
      </c>
      <c r="CN43" s="78">
        <f>CJ43</f>
        <v>1</v>
      </c>
      <c r="CO43" s="103"/>
      <c r="CP43" s="78">
        <f>CL43</f>
        <v>1</v>
      </c>
      <c r="CQ43" s="78">
        <v>1</v>
      </c>
      <c r="CR43" s="78">
        <f>CN43</f>
        <v>1</v>
      </c>
      <c r="CS43" s="103"/>
      <c r="CT43" s="78">
        <f>CP43</f>
        <v>1</v>
      </c>
      <c r="CU43" s="78">
        <v>1</v>
      </c>
      <c r="CV43" s="78">
        <f>CR43</f>
        <v>1</v>
      </c>
      <c r="CW43" s="103"/>
      <c r="CX43" s="78">
        <f>CT43</f>
        <v>1</v>
      </c>
      <c r="CY43" s="78">
        <v>1</v>
      </c>
      <c r="CZ43" s="78">
        <f>CV43</f>
        <v>1</v>
      </c>
      <c r="DA43" s="103"/>
      <c r="DB43" s="78">
        <f>CX43</f>
        <v>1</v>
      </c>
      <c r="DC43" s="78">
        <v>1</v>
      </c>
      <c r="DD43" s="78">
        <f>CZ43</f>
        <v>1</v>
      </c>
      <c r="DE43" s="103"/>
      <c r="DF43" s="78">
        <f>DB43</f>
        <v>1</v>
      </c>
      <c r="DG43" s="78">
        <v>1</v>
      </c>
      <c r="DH43" s="78">
        <f>DD43</f>
        <v>1</v>
      </c>
      <c r="DI43" s="103"/>
      <c r="DJ43" s="79">
        <f>DF43</f>
        <v>1</v>
      </c>
      <c r="DK43" s="79">
        <v>1</v>
      </c>
      <c r="DL43" s="78">
        <f>DH43</f>
        <v>1</v>
      </c>
      <c r="DM43" s="103"/>
      <c r="DN43" s="78">
        <f>DJ43</f>
        <v>1</v>
      </c>
      <c r="DO43" s="78">
        <v>1</v>
      </c>
      <c r="DP43" s="78">
        <f>DL43</f>
        <v>1</v>
      </c>
      <c r="DQ43" s="103"/>
      <c r="DR43" s="78">
        <v>1</v>
      </c>
      <c r="DS43" s="78">
        <v>1</v>
      </c>
      <c r="DT43" s="78">
        <f>DP43</f>
        <v>1</v>
      </c>
      <c r="DU43" s="103"/>
      <c r="DV43" s="78">
        <f>DR43</f>
        <v>1</v>
      </c>
      <c r="DW43" s="78">
        <v>1</v>
      </c>
      <c r="DX43" s="78">
        <f>DT43</f>
        <v>1</v>
      </c>
      <c r="DY43" s="103"/>
      <c r="DZ43" s="78">
        <f>A.IIOPEX!Q45+100%</f>
        <v>1.9</v>
      </c>
      <c r="EA43" s="78">
        <v>1</v>
      </c>
      <c r="EB43" s="78">
        <f>A.IIOPEX!Q45+100%</f>
        <v>1.9</v>
      </c>
      <c r="EC43" s="103"/>
      <c r="ED43" s="78">
        <v>1</v>
      </c>
      <c r="EE43" s="78">
        <v>1</v>
      </c>
      <c r="EF43" s="78">
        <v>1</v>
      </c>
      <c r="EG43" s="103"/>
      <c r="EH43" s="78">
        <f>ED43</f>
        <v>1</v>
      </c>
      <c r="EI43" s="78">
        <v>1</v>
      </c>
      <c r="EJ43" s="78">
        <f>EF43</f>
        <v>1</v>
      </c>
      <c r="EK43" s="103"/>
      <c r="EL43" s="78">
        <f>EH43</f>
        <v>1</v>
      </c>
      <c r="EM43" s="78">
        <v>1</v>
      </c>
      <c r="EN43" s="78">
        <f>EJ43</f>
        <v>1</v>
      </c>
      <c r="EO43" s="103"/>
      <c r="EP43" s="78">
        <f>EL43</f>
        <v>1</v>
      </c>
      <c r="EQ43" s="78">
        <v>1</v>
      </c>
      <c r="ER43" s="78">
        <f>EN43</f>
        <v>1</v>
      </c>
      <c r="ES43" s="103"/>
      <c r="ET43" s="78">
        <f>EP43</f>
        <v>1</v>
      </c>
      <c r="EU43" s="78">
        <v>1</v>
      </c>
      <c r="EV43" s="78">
        <f>ER43</f>
        <v>1</v>
      </c>
      <c r="EW43" s="103"/>
      <c r="EX43" s="78">
        <f>ET43</f>
        <v>1</v>
      </c>
      <c r="EY43" s="78">
        <v>1</v>
      </c>
      <c r="EZ43" s="78">
        <f>EV43</f>
        <v>1</v>
      </c>
      <c r="FA43" s="103"/>
      <c r="FB43" s="78">
        <f>EX43</f>
        <v>1</v>
      </c>
      <c r="FC43" s="78">
        <v>1</v>
      </c>
      <c r="FD43" s="78">
        <f>EZ43</f>
        <v>1</v>
      </c>
      <c r="FE43" s="103"/>
      <c r="FF43" s="79">
        <f>FB43</f>
        <v>1</v>
      </c>
      <c r="FG43" s="79">
        <v>1</v>
      </c>
      <c r="FH43" s="78">
        <f>FD43</f>
        <v>1</v>
      </c>
      <c r="FI43" s="103"/>
      <c r="FJ43" s="78">
        <f>A.IIOPEX!S45+100%</f>
        <v>1.35</v>
      </c>
      <c r="FK43" s="78">
        <v>1</v>
      </c>
      <c r="FL43" s="78">
        <f>FH43</f>
        <v>1</v>
      </c>
      <c r="FM43" s="103"/>
      <c r="FN43" s="78">
        <v>1</v>
      </c>
      <c r="FO43" s="78">
        <v>1</v>
      </c>
      <c r="FP43" s="78">
        <f>FL43</f>
        <v>1</v>
      </c>
      <c r="FQ43" s="103"/>
      <c r="FR43" s="78">
        <f>FN43</f>
        <v>1</v>
      </c>
      <c r="FS43" s="78">
        <v>1</v>
      </c>
      <c r="FT43" s="78">
        <f>FP43</f>
        <v>1</v>
      </c>
      <c r="FU43" s="103"/>
      <c r="FV43" s="78">
        <f>FR43</f>
        <v>1</v>
      </c>
      <c r="FW43" s="78">
        <v>1</v>
      </c>
      <c r="FX43" s="78">
        <f>A.IIOPEX!S45+100%</f>
        <v>1.35</v>
      </c>
      <c r="FY43" s="103"/>
      <c r="FZ43" s="78">
        <f>FV43</f>
        <v>1</v>
      </c>
      <c r="GA43" s="78">
        <v>1</v>
      </c>
      <c r="GB43" s="78">
        <v>1</v>
      </c>
      <c r="GC43" s="103"/>
      <c r="GD43" s="78">
        <f>FZ43</f>
        <v>1</v>
      </c>
      <c r="GE43" s="78">
        <v>1</v>
      </c>
      <c r="GF43" s="78">
        <f>GB43</f>
        <v>1</v>
      </c>
      <c r="GG43" s="103"/>
      <c r="GH43" s="78">
        <f>GD43</f>
        <v>1</v>
      </c>
      <c r="GI43" s="78">
        <v>1</v>
      </c>
      <c r="GJ43" s="78">
        <f>GF43</f>
        <v>1</v>
      </c>
      <c r="GK43" s="103"/>
      <c r="GL43" s="78">
        <f>GH43</f>
        <v>1</v>
      </c>
      <c r="GM43" s="78">
        <v>1</v>
      </c>
      <c r="GN43" s="78">
        <f>GJ43</f>
        <v>1</v>
      </c>
      <c r="GO43" s="103"/>
      <c r="GP43" s="78">
        <f>GL43</f>
        <v>1</v>
      </c>
      <c r="GQ43" s="78">
        <v>1</v>
      </c>
      <c r="GR43" s="78">
        <f>GN43</f>
        <v>1</v>
      </c>
      <c r="GS43" s="103"/>
      <c r="GT43" s="78">
        <f>GP43</f>
        <v>1</v>
      </c>
      <c r="GU43" s="78">
        <v>1</v>
      </c>
      <c r="GV43" s="78">
        <f>GR43</f>
        <v>1</v>
      </c>
      <c r="GW43" s="103"/>
      <c r="GX43" s="78">
        <f>GT43</f>
        <v>1</v>
      </c>
      <c r="GY43" s="78">
        <v>1</v>
      </c>
      <c r="GZ43" s="78">
        <f>GV43</f>
        <v>1</v>
      </c>
      <c r="HA43" s="103"/>
      <c r="HB43" s="79">
        <f>GX43</f>
        <v>1</v>
      </c>
      <c r="HC43" s="79">
        <v>1</v>
      </c>
      <c r="HD43" s="78">
        <f>GZ43</f>
        <v>1</v>
      </c>
      <c r="HE43" s="103"/>
      <c r="HF43" s="78">
        <f>A.IIOPEX!U45+100%</f>
        <v>1.6</v>
      </c>
      <c r="HG43" s="78">
        <v>1</v>
      </c>
      <c r="HH43" s="78">
        <f>HD43</f>
        <v>1</v>
      </c>
      <c r="HI43" s="103"/>
      <c r="HJ43" s="78">
        <v>1</v>
      </c>
      <c r="HK43" s="78">
        <v>1</v>
      </c>
      <c r="HL43" s="78">
        <f>HH43</f>
        <v>1</v>
      </c>
      <c r="HM43" s="103"/>
      <c r="HN43" s="78">
        <f>HJ43</f>
        <v>1</v>
      </c>
      <c r="HO43" s="78">
        <v>1</v>
      </c>
      <c r="HP43" s="78">
        <f>HL43</f>
        <v>1</v>
      </c>
      <c r="HQ43" s="103"/>
      <c r="HR43" s="78">
        <f>HN43</f>
        <v>1</v>
      </c>
      <c r="HS43" s="78">
        <v>1</v>
      </c>
      <c r="HT43" s="78">
        <f>A.IIOPEX!U45+100%</f>
        <v>1.6</v>
      </c>
      <c r="HU43" s="103"/>
      <c r="HV43" s="78">
        <f>HR43</f>
        <v>1</v>
      </c>
      <c r="HW43" s="78">
        <v>1</v>
      </c>
      <c r="HX43" s="78">
        <v>1</v>
      </c>
      <c r="HY43" s="103"/>
      <c r="HZ43" s="78">
        <f>HV43</f>
        <v>1</v>
      </c>
      <c r="IA43" s="78">
        <v>1</v>
      </c>
      <c r="IB43" s="78">
        <f>HX43</f>
        <v>1</v>
      </c>
      <c r="IC43" s="103"/>
      <c r="ID43" s="78">
        <f>HZ43</f>
        <v>1</v>
      </c>
      <c r="IE43" s="78">
        <v>1</v>
      </c>
      <c r="IF43" s="78">
        <f>IB43</f>
        <v>1</v>
      </c>
      <c r="IG43" s="103"/>
      <c r="IH43" s="78">
        <f>ID43</f>
        <v>1</v>
      </c>
      <c r="II43" s="78">
        <v>1</v>
      </c>
      <c r="IJ43" s="78">
        <f>IF43</f>
        <v>1</v>
      </c>
      <c r="IK43" s="103"/>
      <c r="IL43" s="78">
        <f>IH43</f>
        <v>1</v>
      </c>
      <c r="IM43" s="78">
        <v>1</v>
      </c>
      <c r="IN43" s="78">
        <f>IJ43</f>
        <v>1</v>
      </c>
      <c r="IO43" s="103"/>
      <c r="IP43" s="78">
        <f>IL43</f>
        <v>1</v>
      </c>
      <c r="IQ43" s="78">
        <v>1</v>
      </c>
      <c r="IR43" s="78">
        <f>IN43</f>
        <v>1</v>
      </c>
      <c r="IS43" s="103"/>
      <c r="IT43" s="78">
        <f>IP43</f>
        <v>1</v>
      </c>
      <c r="IU43" s="78">
        <v>1</v>
      </c>
      <c r="IV43" s="78">
        <f>IR43</f>
        <v>1</v>
      </c>
      <c r="IW43" s="103"/>
      <c r="IX43" s="79">
        <f>IT43</f>
        <v>1</v>
      </c>
      <c r="IY43" s="79">
        <v>1</v>
      </c>
      <c r="IZ43" s="78">
        <f>IV43</f>
        <v>1</v>
      </c>
      <c r="JA43" s="103"/>
      <c r="JB43" s="78" t="e">
        <f>A.IIOPEX!#REF!+100%</f>
        <v>#REF!</v>
      </c>
      <c r="JC43" s="78">
        <v>1</v>
      </c>
      <c r="JD43" s="78">
        <f>IZ43</f>
        <v>1</v>
      </c>
      <c r="JE43" s="103"/>
      <c r="JF43" s="78" t="e">
        <f>JB43</f>
        <v>#REF!</v>
      </c>
      <c r="JG43" s="78">
        <v>1</v>
      </c>
      <c r="JH43" s="78">
        <f>JD43</f>
        <v>1</v>
      </c>
      <c r="JI43" s="103"/>
      <c r="JJ43" s="79" t="e">
        <f>JF43</f>
        <v>#REF!</v>
      </c>
      <c r="JK43" s="79">
        <v>1</v>
      </c>
      <c r="JL43" s="78">
        <f>JH43</f>
        <v>1</v>
      </c>
      <c r="JM43" s="103"/>
      <c r="JO43" s="78">
        <f>'A.I Revenue Streams - P2'!DU37+100%</f>
        <v>1</v>
      </c>
      <c r="JP43" s="78">
        <v>1</v>
      </c>
      <c r="JQ43" s="105"/>
      <c r="JS43" s="78">
        <f>'A.I Revenue Streams - P2'!DY37+100%</f>
        <v>1</v>
      </c>
      <c r="JT43" s="78">
        <v>1</v>
      </c>
      <c r="JU43" s="105"/>
      <c r="JW43" s="78">
        <f>'A.I Revenue Streams - P2'!EC37+100%</f>
        <v>1</v>
      </c>
      <c r="JX43" s="78">
        <v>1</v>
      </c>
      <c r="JY43" s="105"/>
      <c r="KA43" s="78">
        <f>'A.I Revenue Streams - P2'!EG37+100%</f>
        <v>1</v>
      </c>
      <c r="KB43" s="78">
        <v>1</v>
      </c>
      <c r="KC43" s="105"/>
      <c r="KE43" s="78">
        <f>'A.I Revenue Streams - P2'!EK37+100%</f>
        <v>1</v>
      </c>
      <c r="KF43" s="78">
        <v>1</v>
      </c>
      <c r="KG43" s="105"/>
      <c r="KI43" s="78">
        <f>'A.I Revenue Streams - P2'!EO37+100%</f>
        <v>1</v>
      </c>
      <c r="KJ43" s="78">
        <v>1</v>
      </c>
      <c r="KK43" s="105"/>
      <c r="KM43" s="78">
        <f>'A.I Revenue Streams - P2'!ES37+100%</f>
        <v>1</v>
      </c>
      <c r="KN43" s="78">
        <v>1</v>
      </c>
      <c r="KO43" s="105"/>
    </row>
    <row r="44" ht="18.75" customHeight="1" spans="2:301" x14ac:dyDescent="0.25">
      <c r="B44" s="5">
        <v>4</v>
      </c>
      <c r="C44" s="29" t="str">
        <f>A.IIOPEX!D44</f>
        <v>Support Team</v>
      </c>
      <c r="D44" s="27"/>
      <c r="E44" s="28"/>
      <c r="F44" s="51"/>
      <c r="G44" s="51"/>
      <c r="H44" s="51"/>
      <c r="I44" s="54"/>
      <c r="J44" s="51"/>
      <c r="K44" s="51"/>
      <c r="L44" s="51"/>
      <c r="M44" s="54"/>
      <c r="N44" s="51"/>
      <c r="O44" s="51"/>
      <c r="P44" s="51"/>
      <c r="Q44" s="54"/>
      <c r="R44" s="51"/>
      <c r="S44" s="51"/>
      <c r="T44" s="51"/>
      <c r="U44" s="54"/>
      <c r="V44" s="51"/>
      <c r="W44" s="51"/>
      <c r="X44" s="51"/>
      <c r="Y44" s="54"/>
      <c r="Z44" s="51"/>
      <c r="AA44" s="51"/>
      <c r="AB44" s="51"/>
      <c r="AC44" s="54"/>
      <c r="AD44" s="51"/>
      <c r="AE44" s="51"/>
      <c r="AF44" s="51"/>
      <c r="AG44" s="54"/>
      <c r="AH44" s="51"/>
      <c r="AI44" s="51"/>
      <c r="AJ44" s="51"/>
      <c r="AK44" s="54"/>
      <c r="AL44" s="51"/>
      <c r="AM44" s="51"/>
      <c r="AN44" s="51"/>
      <c r="AO44" s="54"/>
      <c r="AP44" s="51"/>
      <c r="AQ44" s="51"/>
      <c r="AR44" s="51"/>
      <c r="AS44" s="54"/>
      <c r="AT44" s="51"/>
      <c r="AU44" s="51"/>
      <c r="AV44" s="51"/>
      <c r="AW44" s="54"/>
      <c r="AX44" s="51"/>
      <c r="AY44" s="51"/>
      <c r="AZ44" s="51"/>
      <c r="BA44" s="54"/>
      <c r="BB44" s="51"/>
      <c r="BC44" s="51"/>
      <c r="BD44" s="51"/>
      <c r="BE44" s="54"/>
      <c r="BF44" s="51"/>
      <c r="BG44" s="51"/>
      <c r="BH44" s="51"/>
      <c r="BI44" s="54"/>
      <c r="BJ44" s="51"/>
      <c r="BK44" s="51"/>
      <c r="BL44" s="51"/>
      <c r="BM44" s="54"/>
      <c r="BN44" s="51"/>
      <c r="BO44" s="51"/>
      <c r="BP44" s="51"/>
      <c r="BQ44" s="54"/>
      <c r="BR44" s="51"/>
      <c r="BS44" s="51"/>
      <c r="BT44" s="51"/>
      <c r="BU44" s="54"/>
      <c r="BV44" s="51"/>
      <c r="BW44" s="51"/>
      <c r="BX44" s="51"/>
      <c r="BY44" s="54"/>
      <c r="BZ44" s="51"/>
      <c r="CA44" s="51"/>
      <c r="CB44" s="51"/>
      <c r="CC44" s="54"/>
      <c r="CD44" s="51"/>
      <c r="CE44" s="51"/>
      <c r="CF44" s="51"/>
      <c r="CG44" s="54"/>
      <c r="CH44" s="51"/>
      <c r="CI44" s="51"/>
      <c r="CJ44" s="51"/>
      <c r="CK44" s="54"/>
      <c r="CL44" s="51"/>
      <c r="CM44" s="51"/>
      <c r="CN44" s="51"/>
      <c r="CO44" s="54"/>
      <c r="CP44" s="51"/>
      <c r="CQ44" s="51"/>
      <c r="CR44" s="51"/>
      <c r="CS44" s="54"/>
      <c r="CT44" s="51"/>
      <c r="CU44" s="51"/>
      <c r="CV44" s="51"/>
      <c r="CW44" s="54"/>
      <c r="CX44" s="51"/>
      <c r="CY44" s="51"/>
      <c r="CZ44" s="51"/>
      <c r="DA44" s="54"/>
      <c r="DB44" s="51"/>
      <c r="DC44" s="51"/>
      <c r="DD44" s="51"/>
      <c r="DE44" s="54"/>
      <c r="DF44" s="51"/>
      <c r="DG44" s="51"/>
      <c r="DH44" s="51"/>
      <c r="DI44" s="54"/>
      <c r="DJ44" s="51"/>
      <c r="DK44" s="51"/>
      <c r="DL44" s="51"/>
      <c r="DM44" s="54"/>
      <c r="DN44" s="51"/>
      <c r="DO44" s="51"/>
      <c r="DP44" s="51"/>
      <c r="DQ44" s="54"/>
      <c r="DR44" s="51"/>
      <c r="DS44" s="51"/>
      <c r="DT44" s="51"/>
      <c r="DU44" s="54"/>
      <c r="DV44" s="51"/>
      <c r="DW44" s="51"/>
      <c r="DX44" s="51"/>
      <c r="DY44" s="54"/>
      <c r="DZ44" s="51"/>
      <c r="EA44" s="51"/>
      <c r="EB44" s="51"/>
      <c r="EC44" s="54"/>
      <c r="ED44" s="51"/>
      <c r="EE44" s="51"/>
      <c r="EF44" s="51"/>
      <c r="EG44" s="54"/>
      <c r="EH44" s="51"/>
      <c r="EI44" s="51"/>
      <c r="EJ44" s="51"/>
      <c r="EK44" s="54"/>
      <c r="EL44" s="51"/>
      <c r="EM44" s="51"/>
      <c r="EN44" s="51"/>
      <c r="EO44" s="54"/>
      <c r="EP44" s="51"/>
      <c r="EQ44" s="51"/>
      <c r="ER44" s="51"/>
      <c r="ES44" s="54"/>
      <c r="ET44" s="51"/>
      <c r="EU44" s="51"/>
      <c r="EV44" s="51"/>
      <c r="EW44" s="54"/>
      <c r="EX44" s="51"/>
      <c r="EY44" s="51"/>
      <c r="EZ44" s="51"/>
      <c r="FA44" s="54"/>
      <c r="FB44" s="51"/>
      <c r="FC44" s="51"/>
      <c r="FD44" s="51"/>
      <c r="FE44" s="54"/>
      <c r="FF44" s="51"/>
      <c r="FG44" s="51"/>
      <c r="FH44" s="51"/>
      <c r="FI44" s="54"/>
      <c r="FJ44" s="51"/>
      <c r="FK44" s="51"/>
      <c r="FL44" s="51"/>
      <c r="FM44" s="54"/>
      <c r="FN44" s="51"/>
      <c r="FO44" s="51"/>
      <c r="FP44" s="51"/>
      <c r="FQ44" s="54"/>
      <c r="FR44" s="51"/>
      <c r="FS44" s="51"/>
      <c r="FT44" s="51"/>
      <c r="FU44" s="54"/>
      <c r="FV44" s="51"/>
      <c r="FW44" s="51"/>
      <c r="FX44" s="51"/>
      <c r="FY44" s="54"/>
      <c r="FZ44" s="51"/>
      <c r="GA44" s="51"/>
      <c r="GB44" s="51"/>
      <c r="GC44" s="54"/>
      <c r="GD44" s="51"/>
      <c r="GE44" s="51"/>
      <c r="GF44" s="51"/>
      <c r="GG44" s="54"/>
      <c r="GH44" s="51"/>
      <c r="GI44" s="51"/>
      <c r="GJ44" s="51"/>
      <c r="GK44" s="54"/>
      <c r="GL44" s="51"/>
      <c r="GM44" s="51"/>
      <c r="GN44" s="51"/>
      <c r="GP44" s="51"/>
      <c r="GQ44" s="51"/>
      <c r="GR44" s="51"/>
      <c r="GS44" s="54"/>
      <c r="GT44" s="51"/>
      <c r="GU44" s="51"/>
      <c r="GV44" s="51"/>
      <c r="GW44" s="54"/>
      <c r="GX44" s="51"/>
      <c r="GY44" s="51"/>
      <c r="GZ44" s="51"/>
      <c r="HA44" s="54"/>
      <c r="HB44" s="51"/>
      <c r="HC44" s="51"/>
      <c r="HD44" s="51"/>
      <c r="HE44" s="54"/>
      <c r="HF44" s="51"/>
      <c r="HG44" s="51"/>
      <c r="HH44" s="51"/>
      <c r="HI44" s="54"/>
      <c r="HJ44" s="51"/>
      <c r="HK44" s="51"/>
      <c r="HL44" s="51"/>
      <c r="HM44" s="54"/>
      <c r="HN44" s="51"/>
      <c r="HO44" s="51"/>
      <c r="HP44" s="51"/>
      <c r="HQ44" s="54"/>
      <c r="HR44" s="51"/>
      <c r="HS44" s="51"/>
      <c r="HT44" s="51"/>
      <c r="HU44" s="54"/>
      <c r="HV44" s="51"/>
      <c r="HW44" s="51"/>
      <c r="HX44" s="51"/>
      <c r="HY44" s="54"/>
      <c r="HZ44" s="51"/>
      <c r="IA44" s="51"/>
      <c r="IB44" s="51"/>
      <c r="IC44" s="54"/>
      <c r="ID44" s="51"/>
      <c r="IE44" s="51"/>
      <c r="IF44" s="51"/>
      <c r="IG44" s="54"/>
      <c r="IH44" s="51"/>
      <c r="II44" s="51"/>
      <c r="IJ44" s="51"/>
      <c r="IL44" s="51"/>
      <c r="IM44" s="51"/>
      <c r="IN44" s="51"/>
      <c r="IO44" s="54"/>
      <c r="IP44" s="51"/>
      <c r="IQ44" s="51"/>
      <c r="IR44" s="51"/>
      <c r="IS44" s="54"/>
      <c r="IT44" s="51"/>
      <c r="IU44" s="51"/>
      <c r="IV44" s="51"/>
      <c r="IW44" s="54"/>
      <c r="IX44" s="51"/>
      <c r="IY44" s="51"/>
      <c r="IZ44" s="51"/>
      <c r="JA44" s="54"/>
      <c r="JB44" s="51"/>
      <c r="JC44" s="51"/>
      <c r="JD44" s="51"/>
      <c r="JE44" s="54"/>
      <c r="JF44" s="51"/>
      <c r="JG44" s="51"/>
      <c r="JH44" s="51"/>
      <c r="JI44" s="54"/>
      <c r="JJ44" s="51"/>
      <c r="JK44" s="51"/>
      <c r="JL44" s="51"/>
      <c r="JM44" s="54"/>
      <c r="JO44" s="80"/>
      <c r="JP44" s="80"/>
      <c r="JQ44" s="80"/>
      <c r="JS44" s="80"/>
      <c r="JT44" s="80"/>
      <c r="JU44" s="80"/>
      <c r="JW44" s="80"/>
      <c r="JX44" s="80"/>
      <c r="JY44" s="80"/>
      <c r="KA44" s="80"/>
      <c r="KB44" s="80"/>
      <c r="KC44" s="80"/>
      <c r="KE44" s="80"/>
      <c r="KF44" s="80"/>
      <c r="KG44" s="80"/>
      <c r="KI44" s="80"/>
      <c r="KJ44" s="80"/>
      <c r="KK44" s="80"/>
      <c r="KM44" s="80"/>
      <c r="KN44" s="80"/>
      <c r="KO44" s="80"/>
    </row>
    <row r="45" ht="18.75" customHeight="1" spans="2:301" x14ac:dyDescent="0.25">
      <c r="B45" s="5" t="str">
        <f>A.IIOPEX!C45</f>
        <v>4a</v>
      </c>
      <c r="C45" s="27"/>
      <c r="D45" s="29" t="str">
        <f>A.IIOPEX!E45</f>
        <v>Salaries – Tech &amp; Ops</v>
      </c>
      <c r="E45" s="30"/>
      <c r="F45" s="51">
        <v>1</v>
      </c>
      <c r="G45" s="51"/>
      <c r="H45" s="51">
        <f>A.IIOPEX!I45</f>
        <v>400000</v>
      </c>
      <c r="I45" s="54"/>
      <c r="J45" s="51">
        <f t="shared" ref="J45:J53" si="724">F45*$J$43</f>
        <v>0.5</v>
      </c>
      <c r="K45" s="51"/>
      <c r="L45" s="51">
        <f>H45*L$43</f>
        <v>200000</v>
      </c>
      <c r="M45" s="54"/>
      <c r="N45" s="51">
        <f t="shared" ref="N45:N53" si="725">J45*$N$43</f>
        <v>0.5</v>
      </c>
      <c r="O45" s="51"/>
      <c r="P45" s="51">
        <f>L45*P$43</f>
        <v>200000</v>
      </c>
      <c r="Q45" s="54"/>
      <c r="R45" s="51">
        <f t="shared" ref="R45:R53" si="726">N45*$R$43</f>
        <v>0.5</v>
      </c>
      <c r="S45" s="51"/>
      <c r="T45" s="51">
        <f>P45*T$43</f>
        <v>200000</v>
      </c>
      <c r="U45" s="54"/>
      <c r="V45" s="51">
        <f t="shared" ref="V45:V53" si="727">R45*$V$43</f>
        <v>0.5</v>
      </c>
      <c r="W45" s="51"/>
      <c r="X45" s="51">
        <f>T45*X$43</f>
        <v>200000</v>
      </c>
      <c r="Y45" s="54"/>
      <c r="Z45" s="51">
        <f t="shared" ref="Z45:Z53" si="728">V45*$Z$43</f>
        <v>0.5</v>
      </c>
      <c r="AA45" s="51"/>
      <c r="AB45" s="51">
        <f>X45*AB$43</f>
        <v>200000</v>
      </c>
      <c r="AC45" s="54"/>
      <c r="AD45" s="51">
        <f>Z45*$AD$43</f>
        <v>0.5</v>
      </c>
      <c r="AE45" s="51"/>
      <c r="AF45" s="51">
        <f>AB45*AF$43</f>
        <v>200000</v>
      </c>
      <c r="AG45" s="54"/>
      <c r="AH45" s="51">
        <f>AD45*$AH$43</f>
        <v>0.575</v>
      </c>
      <c r="AI45" s="51"/>
      <c r="AJ45" s="51">
        <f>AF45*AJ$43</f>
        <v>229999.99999999997</v>
      </c>
      <c r="AK45" s="54"/>
      <c r="AL45" s="51">
        <f>AH45*$AL$43</f>
        <v>0.575</v>
      </c>
      <c r="AM45" s="51"/>
      <c r="AN45" s="51">
        <f>AJ45*AN$43</f>
        <v>229999.99999999997</v>
      </c>
      <c r="AO45" s="54"/>
      <c r="AP45" s="51">
        <f>AL45*$AP$43</f>
        <v>0.575</v>
      </c>
      <c r="AQ45" s="51"/>
      <c r="AR45" s="51">
        <f>AN45*AR$43</f>
        <v>229999.99999999997</v>
      </c>
      <c r="AS45" s="54"/>
      <c r="AT45" s="51">
        <f>AP45*$AT$43</f>
        <v>0.575</v>
      </c>
      <c r="AU45" s="51"/>
      <c r="AV45" s="51">
        <f>AR45*AV$43</f>
        <v>229999.99999999997</v>
      </c>
      <c r="AW45" s="54"/>
      <c r="AX45" s="51">
        <f>AT45*$AX$43</f>
        <v>0.575</v>
      </c>
      <c r="AY45" s="51"/>
      <c r="AZ45" s="51">
        <f>AV45*AZ$43</f>
        <v>229999.99999999997</v>
      </c>
      <c r="BA45" s="54"/>
      <c r="BB45" s="51">
        <f t="shared" ref="BB45:BB53" si="729">AX45*$BB$43</f>
        <v>0.575</v>
      </c>
      <c r="BC45" s="51"/>
      <c r="BD45" s="51">
        <f>AZ45*BD$43</f>
        <v>229999.99999999997</v>
      </c>
      <c r="BE45" s="54"/>
      <c r="BF45" s="51">
        <f>BB45*$BF$43</f>
        <v>0.575</v>
      </c>
      <c r="BG45" s="51"/>
      <c r="BH45" s="51">
        <f>BD45*BH$43</f>
        <v>229999.99999999997</v>
      </c>
      <c r="BI45" s="54"/>
      <c r="BJ45" s="51">
        <f>BF45*$BJ$43</f>
        <v>0.575</v>
      </c>
      <c r="BK45" s="51">
        <f>BG45*$BK$43</f>
        <v>0</v>
      </c>
      <c r="BL45" s="51">
        <f>BH45*BL$43</f>
        <v>229999.99999999997</v>
      </c>
      <c r="BM45" s="54"/>
      <c r="BN45" s="51">
        <f>BJ45*$BN$43</f>
        <v>0.575</v>
      </c>
      <c r="BO45" s="51">
        <f>BK45*$BO$43</f>
        <v>0</v>
      </c>
      <c r="BP45" s="51">
        <f>BL45*BP$43</f>
        <v>229999.99999999997</v>
      </c>
      <c r="BQ45" s="54"/>
      <c r="BR45" s="51">
        <f>BN45*$BR$43</f>
        <v>0.575</v>
      </c>
      <c r="BS45" s="51">
        <f>BO45*$BS$43</f>
        <v>0</v>
      </c>
      <c r="BT45" s="51">
        <f>BP45*BT$43</f>
        <v>229999.99999999997</v>
      </c>
      <c r="BU45" s="54"/>
      <c r="BV45" s="51">
        <f>BR45*$BV$43</f>
        <v>0.575</v>
      </c>
      <c r="BW45" s="51">
        <f>BS45*$BW$43</f>
        <v>0</v>
      </c>
      <c r="BX45" s="51">
        <f>BT45*BX$43</f>
        <v>229999.99999999997</v>
      </c>
      <c r="BY45" s="54"/>
      <c r="BZ45" s="51">
        <f>BV45*$BZ$43</f>
        <v>0.575</v>
      </c>
      <c r="CA45" s="51">
        <f>BW45*$CA$43</f>
        <v>0</v>
      </c>
      <c r="CB45" s="51">
        <f>BX45*CB$43</f>
        <v>229999.99999999997</v>
      </c>
      <c r="CC45" s="54"/>
      <c r="CD45" s="51">
        <f>BZ45*$CD$43</f>
        <v>0.6325</v>
      </c>
      <c r="CE45" s="51">
        <f>CA45*$CE$43</f>
        <v>0</v>
      </c>
      <c r="CF45" s="51">
        <f>CB45*CF$43</f>
        <v>253000</v>
      </c>
      <c r="CG45" s="54"/>
      <c r="CH45" s="51">
        <f>CD45*$CH$43</f>
        <v>0.6325</v>
      </c>
      <c r="CI45" s="51">
        <f>CE45*$CI$43</f>
        <v>0</v>
      </c>
      <c r="CJ45" s="51">
        <f>CF45*CJ$43</f>
        <v>253000</v>
      </c>
      <c r="CK45" s="54"/>
      <c r="CL45" s="51">
        <f>CH45*$CL$43</f>
        <v>0.6325</v>
      </c>
      <c r="CM45" s="51">
        <f>CI45*$CM$43</f>
        <v>0</v>
      </c>
      <c r="CN45" s="51">
        <f>CJ45*CN$43</f>
        <v>253000</v>
      </c>
      <c r="CO45" s="54"/>
      <c r="CP45" s="51">
        <f>CL45*$CP$43</f>
        <v>0.6325</v>
      </c>
      <c r="CQ45" s="51">
        <f>CM45*$CQ$43</f>
        <v>0</v>
      </c>
      <c r="CR45" s="51">
        <f>CN45*CR$43</f>
        <v>253000</v>
      </c>
      <c r="CS45" s="54"/>
      <c r="CT45" s="51">
        <f>CP45*$CT$43</f>
        <v>0.6325</v>
      </c>
      <c r="CU45" s="51">
        <f>CQ45*$CU$43</f>
        <v>0</v>
      </c>
      <c r="CV45" s="51">
        <f>CR45*CV$43</f>
        <v>253000</v>
      </c>
      <c r="CW45" s="54"/>
      <c r="CX45" s="51">
        <f t="shared" ref="CX45:CX53" si="730">CT45*$CX$43</f>
        <v>0.6325</v>
      </c>
      <c r="CY45" s="51">
        <f t="shared" ref="CY45:CY53" si="731">CU45*$CY$43</f>
        <v>0</v>
      </c>
      <c r="CZ45" s="51">
        <f>CV45*CZ$43</f>
        <v>253000</v>
      </c>
      <c r="DA45" s="54"/>
      <c r="DB45" s="51">
        <f>CX45*$DB$43</f>
        <v>0.6325</v>
      </c>
      <c r="DC45" s="51">
        <f>CY45*$DC$43</f>
        <v>0</v>
      </c>
      <c r="DD45" s="51">
        <f>CZ45*DD$43</f>
        <v>253000</v>
      </c>
      <c r="DE45" s="54"/>
      <c r="DF45" s="51">
        <f>DB45*$DF$43</f>
        <v>0.6325</v>
      </c>
      <c r="DG45" s="51">
        <f>DC45*$DG$43</f>
        <v>0</v>
      </c>
      <c r="DH45" s="51">
        <f>DD45*DH$43</f>
        <v>253000</v>
      </c>
      <c r="DI45" s="54"/>
      <c r="DJ45" s="51">
        <f>DF45*$DJ$43</f>
        <v>0.6325</v>
      </c>
      <c r="DK45" s="51">
        <f>DG45*$DK$43</f>
        <v>0</v>
      </c>
      <c r="DL45" s="51">
        <f>DH45*DL$43</f>
        <v>253000</v>
      </c>
      <c r="DM45" s="54"/>
      <c r="DN45" s="51">
        <f>DJ45*$DN$43</f>
        <v>0.6325</v>
      </c>
      <c r="DO45" s="51">
        <f>DK45*$DO$43</f>
        <v>0</v>
      </c>
      <c r="DP45" s="51">
        <f>DL45*DP$43</f>
        <v>253000</v>
      </c>
      <c r="DQ45" s="54"/>
      <c r="DR45" s="51">
        <f>DN45*$DR$43</f>
        <v>0.6325</v>
      </c>
      <c r="DS45" s="51">
        <f>DO45*$DS$43</f>
        <v>0</v>
      </c>
      <c r="DT45" s="51">
        <f>DP45*DT$43</f>
        <v>253000</v>
      </c>
      <c r="DU45" s="54"/>
      <c r="DV45" s="51">
        <f>DR45*$DV$43</f>
        <v>0.6325</v>
      </c>
      <c r="DW45" s="51">
        <f>DS45*$DW$43</f>
        <v>0</v>
      </c>
      <c r="DX45" s="51">
        <f>DT45*DX$43</f>
        <v>253000</v>
      </c>
      <c r="DY45" s="54"/>
      <c r="DZ45" s="51">
        <f>DV45*$DZ$43</f>
        <v>1.2017499999999999</v>
      </c>
      <c r="EA45" s="51">
        <f>DW45*$EA$43</f>
        <v>0</v>
      </c>
      <c r="EB45" s="51">
        <f>DX45*EB$43</f>
        <v>480700</v>
      </c>
      <c r="EC45" s="54"/>
      <c r="ED45" s="51">
        <f>DZ45*$ED$43</f>
        <v>1.2017499999999999</v>
      </c>
      <c r="EE45" s="51">
        <f>EA45*$EE$43</f>
        <v>0</v>
      </c>
      <c r="EF45" s="51">
        <f>EB45*EF$43</f>
        <v>480700</v>
      </c>
      <c r="EG45" s="54"/>
      <c r="EH45" s="51">
        <f>ED45*$EH$43</f>
        <v>1.2017499999999999</v>
      </c>
      <c r="EI45" s="51">
        <f>EE45*$EI$43</f>
        <v>0</v>
      </c>
      <c r="EJ45" s="51">
        <f>EF45*EJ$43</f>
        <v>480700</v>
      </c>
      <c r="EK45" s="54"/>
      <c r="EL45" s="51">
        <f>EH45*$EL$43</f>
        <v>1.2017499999999999</v>
      </c>
      <c r="EM45" s="51">
        <f>EI45*$EM$43</f>
        <v>0</v>
      </c>
      <c r="EN45" s="51">
        <f>EJ45*EN$43</f>
        <v>480700</v>
      </c>
      <c r="EO45" s="54"/>
      <c r="EP45" s="51">
        <f>EL45*$EP$43</f>
        <v>1.2017499999999999</v>
      </c>
      <c r="EQ45" s="51">
        <f>EM45*$EQ$43</f>
        <v>0</v>
      </c>
      <c r="ER45" s="51">
        <f>EN45*ER$43</f>
        <v>480700</v>
      </c>
      <c r="ES45" s="54"/>
      <c r="ET45" s="51">
        <f t="shared" ref="ET45:ET53" si="732">EP45*$ET$43</f>
        <v>1.2017499999999999</v>
      </c>
      <c r="EU45" s="51">
        <f t="shared" ref="EU45:EU53" si="733">EQ45*$EU$43</f>
        <v>0</v>
      </c>
      <c r="EV45" s="51">
        <f>ER45*EV$43</f>
        <v>480700</v>
      </c>
      <c r="EW45" s="54"/>
      <c r="EX45" s="51">
        <f>ET45*$EX$43</f>
        <v>1.2017499999999999</v>
      </c>
      <c r="EY45" s="51">
        <f>EU45*$EY$43</f>
        <v>0</v>
      </c>
      <c r="EZ45" s="51">
        <f>EV45*EZ$43</f>
        <v>480700</v>
      </c>
      <c r="FA45" s="54"/>
      <c r="FB45" s="51">
        <f>EX45*$FB$43</f>
        <v>1.2017499999999999</v>
      </c>
      <c r="FC45" s="51">
        <f>EY45*$FC$43</f>
        <v>0</v>
      </c>
      <c r="FD45" s="51">
        <f>EZ45*FD$43</f>
        <v>480700</v>
      </c>
      <c r="FE45" s="54"/>
      <c r="FF45" s="51">
        <f>FB45*$FF$43</f>
        <v>1.2017499999999999</v>
      </c>
      <c r="FG45" s="51">
        <f>FC45*$FG$43</f>
        <v>0</v>
      </c>
      <c r="FH45" s="51">
        <f>FD45*FH$43</f>
        <v>480700</v>
      </c>
      <c r="FI45" s="54"/>
      <c r="FJ45" s="51">
        <f>FF45*$FJ$43</f>
        <v>1.6223625</v>
      </c>
      <c r="FK45" s="51">
        <f>FG45*$FK$43</f>
        <v>0</v>
      </c>
      <c r="FL45" s="51">
        <f>FH45*FL$43</f>
        <v>480700</v>
      </c>
      <c r="FM45" s="54"/>
      <c r="FN45" s="51">
        <f>FJ45*$FN$43</f>
        <v>1.6223625</v>
      </c>
      <c r="FO45" s="51">
        <f>FK45*$FO$43</f>
        <v>0</v>
      </c>
      <c r="FP45" s="51">
        <f>FL45*FP$43</f>
        <v>480700</v>
      </c>
      <c r="FQ45" s="54"/>
      <c r="FR45" s="51">
        <f>FN45*$FR$43</f>
        <v>1.6223625</v>
      </c>
      <c r="FS45" s="51">
        <f>FO45*$FS$43</f>
        <v>0</v>
      </c>
      <c r="FT45" s="51">
        <f>FP45*FT$43</f>
        <v>480700</v>
      </c>
      <c r="FU45" s="54"/>
      <c r="FV45" s="51">
        <f>FR45*$FV$43</f>
        <v>1.6223625</v>
      </c>
      <c r="FW45" s="51">
        <f>FS45*$FW$43</f>
        <v>0</v>
      </c>
      <c r="FX45" s="51">
        <f>FT45*FX$43</f>
        <v>648945</v>
      </c>
      <c r="FY45" s="54"/>
      <c r="FZ45" s="51">
        <f>FV45*$FZ$43</f>
        <v>1.6223625</v>
      </c>
      <c r="GA45" s="51">
        <f>FW45*$GA$43</f>
        <v>0</v>
      </c>
      <c r="GB45" s="51">
        <f>FX45*GB$43</f>
        <v>648945</v>
      </c>
      <c r="GC45" s="54"/>
      <c r="GD45" s="51">
        <f>FZ45*$GD$43</f>
        <v>1.6223625</v>
      </c>
      <c r="GE45" s="51">
        <f>GA45*$GE$43</f>
        <v>0</v>
      </c>
      <c r="GF45" s="51">
        <f>GB45*GF$43</f>
        <v>648945</v>
      </c>
      <c r="GG45" s="54"/>
      <c r="GH45" s="51">
        <f>GD45*$GH$43</f>
        <v>1.6223625</v>
      </c>
      <c r="GI45" s="51">
        <f>GE45*$GI$43</f>
        <v>0</v>
      </c>
      <c r="GJ45" s="51">
        <f>GF45*GJ$43</f>
        <v>648945</v>
      </c>
      <c r="GK45" s="54"/>
      <c r="GL45" s="51">
        <f>GH45*$GL$43</f>
        <v>1.6223625</v>
      </c>
      <c r="GM45" s="51">
        <f>GI45*$GM$43</f>
        <v>0</v>
      </c>
      <c r="GN45" s="51">
        <f>GJ45*GN$43</f>
        <v>648945</v>
      </c>
      <c r="GP45" s="51">
        <f t="shared" ref="GP45:GP53" si="734">GL45*$GP$43</f>
        <v>1.6223625</v>
      </c>
      <c r="GQ45" s="51">
        <f t="shared" ref="GQ45:GQ53" si="735">GM45*$GQ$43</f>
        <v>0</v>
      </c>
      <c r="GR45" s="51">
        <f>GN45*GR$43</f>
        <v>648945</v>
      </c>
      <c r="GS45" s="54"/>
      <c r="GT45" s="51">
        <f>GP45*$GT$43</f>
        <v>1.6223625</v>
      </c>
      <c r="GU45" s="51">
        <f>GQ45*$GU$43</f>
        <v>0</v>
      </c>
      <c r="GV45" s="51">
        <f>GR45*GV$43</f>
        <v>648945</v>
      </c>
      <c r="GW45" s="54"/>
      <c r="GX45" s="51">
        <f>GT45*$GX$43</f>
        <v>1.6223625</v>
      </c>
      <c r="GY45" s="51">
        <f>GU45*$GY$43</f>
        <v>0</v>
      </c>
      <c r="GZ45" s="51">
        <f>GV45*GZ$43</f>
        <v>648945</v>
      </c>
      <c r="HA45" s="54"/>
      <c r="HB45" s="51">
        <f>GX45*$HB$43</f>
        <v>1.6223625</v>
      </c>
      <c r="HC45" s="51">
        <f>GY45*$HC$43</f>
        <v>0</v>
      </c>
      <c r="HD45" s="51">
        <f>GZ45*HD$43</f>
        <v>648945</v>
      </c>
      <c r="HE45" s="54"/>
      <c r="HF45" s="51">
        <f>HB45*$HF$43</f>
        <v>2.59578</v>
      </c>
      <c r="HG45" s="51">
        <f>HC45*$HG$43</f>
        <v>0</v>
      </c>
      <c r="HH45" s="51">
        <f>HD45*HH$43</f>
        <v>648945</v>
      </c>
      <c r="HI45" s="54"/>
      <c r="HJ45" s="51">
        <f>HF45*$HJ$43</f>
        <v>2.59578</v>
      </c>
      <c r="HK45" s="51">
        <f>HG45*$HK$43</f>
        <v>0</v>
      </c>
      <c r="HL45" s="51">
        <f>HH45*HL$43</f>
        <v>648945</v>
      </c>
      <c r="HM45" s="54"/>
      <c r="HN45" s="51">
        <f>HJ45*$HN$43</f>
        <v>2.59578</v>
      </c>
      <c r="HO45" s="51">
        <f>HK45*$HO$43</f>
        <v>0</v>
      </c>
      <c r="HP45" s="51">
        <f>HL45*HP$43</f>
        <v>648945</v>
      </c>
      <c r="HQ45" s="54"/>
      <c r="HR45" s="51">
        <f>HN45*$HR$43</f>
        <v>2.59578</v>
      </c>
      <c r="HS45" s="51">
        <f>HO45*$HS$43</f>
        <v>0</v>
      </c>
      <c r="HT45" s="51">
        <f>HP45*HT$43</f>
        <v>1038312</v>
      </c>
      <c r="HU45" s="54"/>
      <c r="HV45" s="51">
        <f>HR45*$HV$43</f>
        <v>2.59578</v>
      </c>
      <c r="HW45" s="51">
        <f>HS45*$HW$43</f>
        <v>0</v>
      </c>
      <c r="HX45" s="51">
        <f>HT45*HX$43</f>
        <v>1038312</v>
      </c>
      <c r="HY45" s="54"/>
      <c r="HZ45" s="51">
        <f>HV45*$HZ$43</f>
        <v>2.59578</v>
      </c>
      <c r="IA45" s="51">
        <f>HW45*$IA$43</f>
        <v>0</v>
      </c>
      <c r="IB45" s="51">
        <f>HX45*IB$43</f>
        <v>1038312</v>
      </c>
      <c r="IC45" s="54"/>
      <c r="ID45" s="51">
        <f>HZ45*$ID$43</f>
        <v>2.59578</v>
      </c>
      <c r="IE45" s="51">
        <f>IA45*$IE$43</f>
        <v>0</v>
      </c>
      <c r="IF45" s="51">
        <f>IB45*IF$43</f>
        <v>1038312</v>
      </c>
      <c r="IG45" s="54"/>
      <c r="IH45" s="51">
        <f>ID45*$IH$43</f>
        <v>2.59578</v>
      </c>
      <c r="II45" s="51">
        <f>IE45*$II$43</f>
        <v>0</v>
      </c>
      <c r="IJ45" s="51">
        <f>IF45*IJ$43</f>
        <v>1038312</v>
      </c>
      <c r="IL45" s="51">
        <f t="shared" ref="IL45:IL53" si="736">IH45*$IL$43</f>
        <v>2.59578</v>
      </c>
      <c r="IM45" s="51">
        <f t="shared" ref="IM45:IM53" si="737">II45*$IM$43</f>
        <v>0</v>
      </c>
      <c r="IN45" s="51">
        <f>IJ45*IN$43</f>
        <v>1038312</v>
      </c>
      <c r="IO45" s="54"/>
      <c r="IP45" s="51">
        <f>IL45*$IP$43</f>
        <v>2.59578</v>
      </c>
      <c r="IQ45" s="51">
        <f>IM45*$IQ$43</f>
        <v>0</v>
      </c>
      <c r="IR45" s="51">
        <f>IN45*IR$43</f>
        <v>1038312</v>
      </c>
      <c r="IS45" s="54"/>
      <c r="IT45" s="51">
        <f>IP45*$IT$43</f>
        <v>2.59578</v>
      </c>
      <c r="IU45" s="51">
        <f>IQ45*$IU$43</f>
        <v>0</v>
      </c>
      <c r="IV45" s="51">
        <f>IR45*IV$43</f>
        <v>1038312</v>
      </c>
      <c r="IW45" s="54"/>
      <c r="IX45" s="51">
        <f>IT45*$IX$43</f>
        <v>2.59578</v>
      </c>
      <c r="IY45" s="51">
        <f>IU45*$IY$43</f>
        <v>0</v>
      </c>
      <c r="IZ45" s="51">
        <f>IV45*IZ$43</f>
        <v>1038312</v>
      </c>
      <c r="JA45" s="54"/>
      <c r="JB45" s="51" t="e">
        <f>IX45*$JB$43</f>
        <v>#REF!</v>
      </c>
      <c r="JC45" s="51">
        <f>IY45*$JC$43</f>
        <v>0</v>
      </c>
      <c r="JD45" s="51">
        <f>IZ45*JD$43</f>
        <v>1038312</v>
      </c>
      <c r="JE45" s="54"/>
      <c r="JF45" s="51" t="e">
        <f>JB45*$JF$43</f>
        <v>#REF!</v>
      </c>
      <c r="JG45" s="51">
        <f>JC45*$JG$43</f>
        <v>0</v>
      </c>
      <c r="JH45" s="51">
        <f>JD45*JH$43</f>
        <v>1038312</v>
      </c>
      <c r="JI45" s="54"/>
      <c r="JJ45" s="51" t="e">
        <f>JF45*$JJ$43</f>
        <v>#REF!</v>
      </c>
      <c r="JK45" s="51">
        <f>JG45*$JK$43</f>
        <v>0</v>
      </c>
      <c r="JL45" s="51">
        <f>JH45*JL$43</f>
        <v>1038312</v>
      </c>
      <c r="JM45" s="54"/>
      <c r="JO45" s="80"/>
      <c r="JP45" s="80"/>
      <c r="JQ45" s="80">
        <f t="shared" ref="JQ45:JQ54" si="738">SUMIFS($F45:$JM45,$F$3:$JM$3,JO$5,$F$6:$JM$6,JQ$6)</f>
        <v>2060000</v>
      </c>
      <c r="JS45" s="80"/>
      <c r="JT45" s="80"/>
      <c r="JU45" s="80">
        <f t="shared" ref="JU45:JU54" si="739">SUMIFS($F45:$JM45,$F$3:$JM$3,JS$5,$F$6:$JM$6,JU$6)</f>
        <v>2299999.9999999995</v>
      </c>
      <c r="JW45" s="80"/>
      <c r="JX45" s="80"/>
      <c r="JY45" s="80">
        <f t="shared" ref="JY45:JY54" si="740">SUMIFS($F45:$JM45,$F$3:$JM$3,JW$5,$F$6:$JM$6,JY$6)</f>
        <v>3036000</v>
      </c>
      <c r="KA45" s="80"/>
      <c r="KB45" s="80"/>
      <c r="KC45" s="80">
        <f t="shared" ref="KC45:KC54" si="741">SUMIFS($F45:$JM45,$F$3:$JM$3,KA$5,$F$6:$JM$6,KC$6)</f>
        <v>5768400</v>
      </c>
      <c r="KE45" s="80"/>
      <c r="KF45" s="80"/>
      <c r="KG45" s="80">
        <f t="shared" ref="KG45:KG54" si="742">SUMIFS($F45:$JM45,$F$3:$JM$3,KE$5,$F$6:$JM$6,KG$6)</f>
        <v>7787340</v>
      </c>
      <c r="KI45" s="80"/>
      <c r="KJ45" s="80"/>
      <c r="KK45" s="80">
        <f t="shared" ref="KK45:KK54" si="743">SUMIFS($F45:$JM45,$F$3:$JM$3,KI$5,$F$6:$JM$6,KK$6)</f>
        <v>12459744</v>
      </c>
      <c r="KM45" s="80"/>
      <c r="KN45" s="80"/>
      <c r="KO45" s="80">
        <f t="shared" ref="KO45:KO54" si="744">SUMIFS($F45:$JM45,$F$3:$JM$3,KM$5,$F$6:$JM$6,KO$6)</f>
        <v>12459744</v>
      </c>
    </row>
    <row r="46" ht="18.75" customHeight="1" spans="2:301" x14ac:dyDescent="0.25">
      <c r="B46" s="5" t="str">
        <f>A.IIOPEX!C46</f>
        <v>4b</v>
      </c>
      <c r="C46" s="27"/>
      <c r="D46" s="29" t="str">
        <f>A.IIOPEX!E46</f>
        <v>Customer Support Team</v>
      </c>
      <c r="E46" s="30"/>
      <c r="F46" s="51">
        <v>1</v>
      </c>
      <c r="G46" s="51"/>
      <c r="H46" s="51">
        <f>A.IIOPEX!I46</f>
        <v>120000</v>
      </c>
      <c r="I46" s="54"/>
      <c r="J46" s="51">
        <f t="shared" si="724"/>
        <v>0.5</v>
      </c>
      <c r="K46" s="51"/>
      <c r="L46" s="51">
        <f t="shared" ref="L46:L53" si="745">H46*L$43</f>
        <v>60000</v>
      </c>
      <c r="M46" s="54"/>
      <c r="N46" s="51">
        <f t="shared" si="725"/>
        <v>0.5</v>
      </c>
      <c r="O46" s="51"/>
      <c r="P46" s="51">
        <f t="shared" ref="P46:P53" si="746">L46*P$43</f>
        <v>60000</v>
      </c>
      <c r="Q46" s="54"/>
      <c r="R46" s="51">
        <f t="shared" si="726"/>
        <v>0.5</v>
      </c>
      <c r="S46" s="51"/>
      <c r="T46" s="51">
        <f t="shared" ref="T46:T53" si="747">P46*T$43</f>
        <v>60000</v>
      </c>
      <c r="U46" s="54"/>
      <c r="V46" s="51">
        <f t="shared" si="727"/>
        <v>0.5</v>
      </c>
      <c r="W46" s="51"/>
      <c r="X46" s="51">
        <f t="shared" ref="X46:X53" si="748">T46*X$43</f>
        <v>60000</v>
      </c>
      <c r="Y46" s="54"/>
      <c r="Z46" s="51">
        <f t="shared" si="728"/>
        <v>0.5</v>
      </c>
      <c r="AA46" s="51"/>
      <c r="AB46" s="51">
        <f t="shared" ref="AB46:AB53" si="749">X46*AB$43</f>
        <v>60000</v>
      </c>
      <c r="AC46" s="54"/>
      <c r="AD46" s="51">
        <f t="shared" ref="AD46:AD53" si="750">Z46*$AD$43</f>
        <v>0.5</v>
      </c>
      <c r="AE46" s="51"/>
      <c r="AF46" s="51">
        <f t="shared" ref="AF46:AF53" si="751">AB46*AF$43</f>
        <v>60000</v>
      </c>
      <c r="AG46" s="54"/>
      <c r="AH46" s="51">
        <f t="shared" ref="AH46:AH53" si="752">AD46*$AH$43</f>
        <v>0.575</v>
      </c>
      <c r="AI46" s="51"/>
      <c r="AJ46" s="51">
        <f t="shared" ref="AJ46:AJ53" si="753">AF46*AJ$43</f>
        <v>69000</v>
      </c>
      <c r="AK46" s="54"/>
      <c r="AL46" s="51">
        <f>AH46*$AL$43</f>
        <v>0.575</v>
      </c>
      <c r="AM46" s="51"/>
      <c r="AN46" s="51">
        <f t="shared" ref="AN46:AN53" si="754">AJ46*AN$43</f>
        <v>69000</v>
      </c>
      <c r="AO46" s="54"/>
      <c r="AP46" s="51">
        <f t="shared" ref="AP46:AP49" si="755">AL46*$AP$43</f>
        <v>0.575</v>
      </c>
      <c r="AQ46" s="51"/>
      <c r="AR46" s="51">
        <f t="shared" ref="AR46:AR53" si="756">AN46*AR$43</f>
        <v>69000</v>
      </c>
      <c r="AS46" s="54"/>
      <c r="AT46" s="51">
        <f>AP46*$AT$43</f>
        <v>0.575</v>
      </c>
      <c r="AU46" s="51"/>
      <c r="AV46" s="51">
        <f t="shared" ref="AV46:AV53" si="757">AR46*AV$43</f>
        <v>69000</v>
      </c>
      <c r="AW46" s="54"/>
      <c r="AX46" s="51">
        <f t="shared" ref="AX46:AX49" si="758">AT46*$AX$43</f>
        <v>0.575</v>
      </c>
      <c r="AY46" s="51"/>
      <c r="AZ46" s="51">
        <f t="shared" ref="AZ46:AZ53" si="759">AV46*AZ$43</f>
        <v>69000</v>
      </c>
      <c r="BA46" s="54"/>
      <c r="BB46" s="51">
        <f t="shared" si="729"/>
        <v>0.575</v>
      </c>
      <c r="BC46" s="51"/>
      <c r="BD46" s="51">
        <f t="shared" ref="BD46:BD53" si="760">AZ46*BD$43</f>
        <v>69000</v>
      </c>
      <c r="BE46" s="54"/>
      <c r="BF46" s="51">
        <f>BB46*$BF$43</f>
        <v>0.575</v>
      </c>
      <c r="BG46" s="51"/>
      <c r="BH46" s="51">
        <f t="shared" ref="BH46:BH53" si="761">BD46*BH$43</f>
        <v>69000</v>
      </c>
      <c r="BI46" s="54"/>
      <c r="BJ46" s="51">
        <f>BF46*$BJ$43</f>
        <v>0.575</v>
      </c>
      <c r="BK46" s="51">
        <f>BG46*$BK$43</f>
        <v>0</v>
      </c>
      <c r="BL46" s="51">
        <f t="shared" ref="BL46:BL53" si="762">BH46*BL$43</f>
        <v>69000</v>
      </c>
      <c r="BM46" s="54"/>
      <c r="BN46" s="51">
        <f>BJ46*$BN$43</f>
        <v>0.575</v>
      </c>
      <c r="BO46" s="51">
        <f>BK46*$BO$43</f>
        <v>0</v>
      </c>
      <c r="BP46" s="51">
        <f t="shared" ref="BP46:BP53" si="763">BL46*BP$43</f>
        <v>69000</v>
      </c>
      <c r="BQ46" s="54"/>
      <c r="BR46" s="51">
        <f>BN46*$BR$43</f>
        <v>0.575</v>
      </c>
      <c r="BS46" s="51">
        <f>BO46*$BS$43</f>
        <v>0</v>
      </c>
      <c r="BT46" s="51">
        <f t="shared" ref="BT46:BT53" si="764">BP46*BT$43</f>
        <v>69000</v>
      </c>
      <c r="BU46" s="54"/>
      <c r="BV46" s="51">
        <f>BR46*$BV$43</f>
        <v>0.575</v>
      </c>
      <c r="BW46" s="51">
        <f>BS46*$BW$43</f>
        <v>0</v>
      </c>
      <c r="BX46" s="51">
        <f t="shared" ref="BX46:BX53" si="765">BT46*BX$43</f>
        <v>69000</v>
      </c>
      <c r="BY46" s="54"/>
      <c r="BZ46" s="51">
        <f>BV46*$BZ$43</f>
        <v>0.575</v>
      </c>
      <c r="CA46" s="51">
        <f>BW46*$CA$43</f>
        <v>0</v>
      </c>
      <c r="CB46" s="51">
        <f t="shared" ref="CB46:CB53" si="766">BX46*CB$43</f>
        <v>69000</v>
      </c>
      <c r="CC46" s="54"/>
      <c r="CD46" s="51">
        <f>BZ46*$CD$43</f>
        <v>0.6325</v>
      </c>
      <c r="CE46" s="51">
        <f>CA46*$CE$43</f>
        <v>0</v>
      </c>
      <c r="CF46" s="51">
        <f t="shared" ref="CF46:CF53" si="767">CB46*CF$43</f>
        <v>75900</v>
      </c>
      <c r="CG46" s="54"/>
      <c r="CH46" s="51">
        <f>CD46*$CH$43</f>
        <v>0.6325</v>
      </c>
      <c r="CI46" s="51">
        <f>CE46*$CI$43</f>
        <v>0</v>
      </c>
      <c r="CJ46" s="51">
        <f t="shared" ref="CJ46:CJ53" si="768">CF46*CJ$43</f>
        <v>75900</v>
      </c>
      <c r="CK46" s="54"/>
      <c r="CL46" s="51">
        <f>CH46*$CL$43</f>
        <v>0.6325</v>
      </c>
      <c r="CM46" s="51">
        <f>CI46*$CM$43</f>
        <v>0</v>
      </c>
      <c r="CN46" s="51">
        <f t="shared" ref="CN46:CN53" si="769">CJ46*CN$43</f>
        <v>75900</v>
      </c>
      <c r="CO46" s="54"/>
      <c r="CP46" s="51">
        <f>CL46*$CP$43</f>
        <v>0.6325</v>
      </c>
      <c r="CQ46" s="51">
        <f>CM46*$CQ$43</f>
        <v>0</v>
      </c>
      <c r="CR46" s="51">
        <f t="shared" ref="CR46:CR53" si="770">CN46*CR$43</f>
        <v>75900</v>
      </c>
      <c r="CS46" s="54"/>
      <c r="CT46" s="51">
        <f>CP46*$CT$43</f>
        <v>0.6325</v>
      </c>
      <c r="CU46" s="51">
        <f>CQ46*$CU$43</f>
        <v>0</v>
      </c>
      <c r="CV46" s="51">
        <f t="shared" ref="CV46:CV53" si="771">CR46*CV$43</f>
        <v>75900</v>
      </c>
      <c r="CW46" s="54"/>
      <c r="CX46" s="51">
        <f t="shared" si="730"/>
        <v>0.6325</v>
      </c>
      <c r="CY46" s="51">
        <f t="shared" si="731"/>
        <v>0</v>
      </c>
      <c r="CZ46" s="51">
        <f t="shared" ref="CZ46:CZ53" si="772">CV46*CZ$43</f>
        <v>75900</v>
      </c>
      <c r="DA46" s="54"/>
      <c r="DB46" s="51">
        <f>CX46*$DB$43</f>
        <v>0.6325</v>
      </c>
      <c r="DC46" s="51">
        <f>CY46*$DC$43</f>
        <v>0</v>
      </c>
      <c r="DD46" s="51">
        <f t="shared" ref="DD46:DD53" si="773">CZ46*DD$43</f>
        <v>75900</v>
      </c>
      <c r="DE46" s="54"/>
      <c r="DF46" s="51">
        <f>DB46*$DF$43</f>
        <v>0.6325</v>
      </c>
      <c r="DG46" s="51">
        <f>DC46*$DG$43</f>
        <v>0</v>
      </c>
      <c r="DH46" s="51">
        <f t="shared" ref="DH46:DH53" si="774">DD46*DH$43</f>
        <v>75900</v>
      </c>
      <c r="DI46" s="54"/>
      <c r="DJ46" s="51">
        <f>DF46*$DJ$43</f>
        <v>0.6325</v>
      </c>
      <c r="DK46" s="51">
        <f>DG46*$DK$43</f>
        <v>0</v>
      </c>
      <c r="DL46" s="51">
        <f t="shared" ref="DL46:DL53" si="775">DH46*DL$43</f>
        <v>75900</v>
      </c>
      <c r="DM46" s="54"/>
      <c r="DN46" s="51">
        <f>DJ46*$DN$43</f>
        <v>0.6325</v>
      </c>
      <c r="DO46" s="51">
        <f>DK46*$DO$43</f>
        <v>0</v>
      </c>
      <c r="DP46" s="51">
        <f t="shared" ref="DP46:DP53" si="776">DL46*DP$43</f>
        <v>75900</v>
      </c>
      <c r="DQ46" s="54"/>
      <c r="DR46" s="51">
        <f>DN46*$DR$43</f>
        <v>0.6325</v>
      </c>
      <c r="DS46" s="51">
        <f>DO46*$DS$43</f>
        <v>0</v>
      </c>
      <c r="DT46" s="51">
        <f t="shared" ref="DT46:DT53" si="777">DP46*DT$43</f>
        <v>75900</v>
      </c>
      <c r="DU46" s="54"/>
      <c r="DV46" s="51">
        <f>DR46*$DV$43</f>
        <v>0.6325</v>
      </c>
      <c r="DW46" s="51">
        <f>DS46*$DW$43</f>
        <v>0</v>
      </c>
      <c r="DX46" s="51">
        <f t="shared" ref="DX46:DX53" si="778">DT46*DX$43</f>
        <v>75900</v>
      </c>
      <c r="DY46" s="54"/>
      <c r="DZ46" s="51">
        <f>DV46*$DZ$43</f>
        <v>1.2017499999999999</v>
      </c>
      <c r="EA46" s="51">
        <f>DW46*$EA$43</f>
        <v>0</v>
      </c>
      <c r="EB46" s="51">
        <f t="shared" ref="EB46:EB53" si="779">DX46*EB$43</f>
        <v>144210</v>
      </c>
      <c r="EC46" s="54"/>
      <c r="ED46" s="51">
        <f>DZ46*$ED$43</f>
        <v>1.2017499999999999</v>
      </c>
      <c r="EE46" s="51">
        <f>EA46*$EE$43</f>
        <v>0</v>
      </c>
      <c r="EF46" s="51">
        <f t="shared" ref="EF46:EF53" si="780">EB46*EF$43</f>
        <v>144210</v>
      </c>
      <c r="EG46" s="54"/>
      <c r="EH46" s="51">
        <f>ED46*$EH$43</f>
        <v>1.2017499999999999</v>
      </c>
      <c r="EI46" s="51">
        <f>EE46*$EI$43</f>
        <v>0</v>
      </c>
      <c r="EJ46" s="51">
        <f t="shared" ref="EJ46:EJ53" si="781">EF46*EJ$43</f>
        <v>144210</v>
      </c>
      <c r="EK46" s="54"/>
      <c r="EL46" s="51">
        <f>EH46*$EL$43</f>
        <v>1.2017499999999999</v>
      </c>
      <c r="EM46" s="51">
        <f>EI46*$EM$43</f>
        <v>0</v>
      </c>
      <c r="EN46" s="51">
        <f t="shared" ref="EN46:EN53" si="782">EJ46*EN$43</f>
        <v>144210</v>
      </c>
      <c r="EO46" s="54"/>
      <c r="EP46" s="51">
        <f>EL46*$EP$43</f>
        <v>1.2017499999999999</v>
      </c>
      <c r="EQ46" s="51">
        <f>EM46*$EQ$43</f>
        <v>0</v>
      </c>
      <c r="ER46" s="51">
        <f t="shared" ref="ER46:ER53" si="783">EN46*ER$43</f>
        <v>144210</v>
      </c>
      <c r="ES46" s="54"/>
      <c r="ET46" s="51">
        <f t="shared" si="732"/>
        <v>1.2017499999999999</v>
      </c>
      <c r="EU46" s="51">
        <f t="shared" si="733"/>
        <v>0</v>
      </c>
      <c r="EV46" s="51">
        <f t="shared" ref="EV46:EV53" si="784">ER46*EV$43</f>
        <v>144210</v>
      </c>
      <c r="EW46" s="54"/>
      <c r="EX46" s="51">
        <f>ET46*$EX$43</f>
        <v>1.2017499999999999</v>
      </c>
      <c r="EY46" s="51">
        <f>EU46*$EY$43</f>
        <v>0</v>
      </c>
      <c r="EZ46" s="51">
        <f t="shared" ref="EZ46:EZ53" si="785">EV46*EZ$43</f>
        <v>144210</v>
      </c>
      <c r="FA46" s="54"/>
      <c r="FB46" s="51">
        <f>EX46*$FB$43</f>
        <v>1.2017499999999999</v>
      </c>
      <c r="FC46" s="51">
        <f>EY46*$FC$43</f>
        <v>0</v>
      </c>
      <c r="FD46" s="51">
        <f t="shared" ref="FD46:FD53" si="786">EZ46*FD$43</f>
        <v>144210</v>
      </c>
      <c r="FE46" s="54"/>
      <c r="FF46" s="51">
        <f>FB46*$FF$43</f>
        <v>1.2017499999999999</v>
      </c>
      <c r="FG46" s="51">
        <f>FC46*$FG$43</f>
        <v>0</v>
      </c>
      <c r="FH46" s="51">
        <f t="shared" ref="FH46:FH53" si="787">FD46*FH$43</f>
        <v>144210</v>
      </c>
      <c r="FI46" s="54"/>
      <c r="FJ46" s="51">
        <f>FF46*$FJ$43</f>
        <v>1.6223625</v>
      </c>
      <c r="FK46" s="51">
        <f>FG46*$FK$43</f>
        <v>0</v>
      </c>
      <c r="FL46" s="51">
        <f t="shared" ref="FL46:FL53" si="788">FH46*FL$43</f>
        <v>144210</v>
      </c>
      <c r="FM46" s="54"/>
      <c r="FN46" s="51">
        <f>FJ46*$FN$43</f>
        <v>1.6223625</v>
      </c>
      <c r="FO46" s="51">
        <f>FK46*$FO$43</f>
        <v>0</v>
      </c>
      <c r="FP46" s="51">
        <f t="shared" ref="FP46:FP53" si="789">FL46*FP$43</f>
        <v>144210</v>
      </c>
      <c r="FQ46" s="54"/>
      <c r="FR46" s="51">
        <f>FN46*$FR$43</f>
        <v>1.6223625</v>
      </c>
      <c r="FS46" s="51">
        <f>FO46*$FS$43</f>
        <v>0</v>
      </c>
      <c r="FT46" s="51">
        <f t="shared" ref="FT46:FT53" si="790">FP46*FT$43</f>
        <v>144210</v>
      </c>
      <c r="FU46" s="54"/>
      <c r="FV46" s="51">
        <f>FR46*$FV$43</f>
        <v>1.6223625</v>
      </c>
      <c r="FW46" s="51">
        <f>FS46*$FW$43</f>
        <v>0</v>
      </c>
      <c r="FX46" s="51">
        <f t="shared" ref="FX46:FX53" si="791">FT46*FX$43</f>
        <v>194683.5</v>
      </c>
      <c r="FY46" s="54"/>
      <c r="FZ46" s="51">
        <f>FV46*$FZ$43</f>
        <v>1.6223625</v>
      </c>
      <c r="GA46" s="51">
        <f>FW46*$GA$43</f>
        <v>0</v>
      </c>
      <c r="GB46" s="51">
        <f t="shared" ref="GB46:GB53" si="792">FX46*GB$43</f>
        <v>194683.5</v>
      </c>
      <c r="GC46" s="54"/>
      <c r="GD46" s="51">
        <f>FZ46*$GD$43</f>
        <v>1.6223625</v>
      </c>
      <c r="GE46" s="51">
        <f>GA46*$GE$43</f>
        <v>0</v>
      </c>
      <c r="GF46" s="51">
        <f t="shared" ref="GF46:GF53" si="793">GB46*GF$43</f>
        <v>194683.5</v>
      </c>
      <c r="GG46" s="54"/>
      <c r="GH46" s="51">
        <f>GD46*$GH$43</f>
        <v>1.6223625</v>
      </c>
      <c r="GI46" s="51">
        <f>GE46*$GI$43</f>
        <v>0</v>
      </c>
      <c r="GJ46" s="51">
        <f t="shared" ref="GJ46:GJ53" si="794">GF46*GJ$43</f>
        <v>194683.5</v>
      </c>
      <c r="GK46" s="54"/>
      <c r="GL46" s="51">
        <f>GH46*$GL$43</f>
        <v>1.6223625</v>
      </c>
      <c r="GM46" s="51">
        <f>GI46*$GM$43</f>
        <v>0</v>
      </c>
      <c r="GN46" s="51">
        <f t="shared" ref="GN46:GN53" si="795">GJ46*GN$43</f>
        <v>194683.5</v>
      </c>
      <c r="GP46" s="51">
        <f t="shared" si="734"/>
        <v>1.6223625</v>
      </c>
      <c r="GQ46" s="51">
        <f t="shared" si="735"/>
        <v>0</v>
      </c>
      <c r="GR46" s="51">
        <f t="shared" ref="GR46:GR53" si="796">GN46*GR$43</f>
        <v>194683.5</v>
      </c>
      <c r="GS46" s="54"/>
      <c r="GT46" s="51">
        <f>GP46*$GT$43</f>
        <v>1.6223625</v>
      </c>
      <c r="GU46" s="51">
        <f>GQ46*$GU$43</f>
        <v>0</v>
      </c>
      <c r="GV46" s="51">
        <f t="shared" ref="GV46:GV53" si="797">GR46*GV$43</f>
        <v>194683.5</v>
      </c>
      <c r="GW46" s="54"/>
      <c r="GX46" s="51">
        <f>GT46*$GX$43</f>
        <v>1.6223625</v>
      </c>
      <c r="GY46" s="51">
        <f>GU46*$GY$43</f>
        <v>0</v>
      </c>
      <c r="GZ46" s="51">
        <f t="shared" ref="GZ46:GZ53" si="798">GV46*GZ$43</f>
        <v>194683.5</v>
      </c>
      <c r="HA46" s="54"/>
      <c r="HB46" s="51">
        <f>GX46*$HB$43</f>
        <v>1.6223625</v>
      </c>
      <c r="HC46" s="51">
        <f>GY46*$HC$43</f>
        <v>0</v>
      </c>
      <c r="HD46" s="51">
        <f t="shared" ref="HD46:HD53" si="799">GZ46*HD$43</f>
        <v>194683.5</v>
      </c>
      <c r="HE46" s="54"/>
      <c r="HF46" s="51">
        <f>HB46*$HF$43</f>
        <v>2.59578</v>
      </c>
      <c r="HG46" s="51">
        <f>HC46*$HG$43</f>
        <v>0</v>
      </c>
      <c r="HH46" s="51">
        <f t="shared" ref="HH46:HH53" si="800">HD46*HH$43</f>
        <v>194683.5</v>
      </c>
      <c r="HI46" s="54"/>
      <c r="HJ46" s="51">
        <f>HF46*$HJ$43</f>
        <v>2.59578</v>
      </c>
      <c r="HK46" s="51">
        <f>HG46*$HK$43</f>
        <v>0</v>
      </c>
      <c r="HL46" s="51">
        <f t="shared" ref="HL46:HL53" si="801">HH46*HL$43</f>
        <v>194683.5</v>
      </c>
      <c r="HM46" s="54"/>
      <c r="HN46" s="51">
        <f>HJ46*$HN$43</f>
        <v>2.59578</v>
      </c>
      <c r="HO46" s="51">
        <f>HK46*$HO$43</f>
        <v>0</v>
      </c>
      <c r="HP46" s="51">
        <f t="shared" ref="HP46:HP53" si="802">HL46*HP$43</f>
        <v>194683.5</v>
      </c>
      <c r="HQ46" s="54"/>
      <c r="HR46" s="51">
        <f>HN46*$HR$43</f>
        <v>2.59578</v>
      </c>
      <c r="HS46" s="51">
        <f>HO46*$HS$43</f>
        <v>0</v>
      </c>
      <c r="HT46" s="51">
        <f t="shared" ref="HT46:HT53" si="803">HP46*HT$43</f>
        <v>311493.60000000003</v>
      </c>
      <c r="HU46" s="54"/>
      <c r="HV46" s="51">
        <f>HR46*$HV$43</f>
        <v>2.59578</v>
      </c>
      <c r="HW46" s="51">
        <f>HS46*$HW$43</f>
        <v>0</v>
      </c>
      <c r="HX46" s="51">
        <f t="shared" ref="HX46:HX53" si="804">HT46*HX$43</f>
        <v>311493.60000000003</v>
      </c>
      <c r="HY46" s="54"/>
      <c r="HZ46" s="51">
        <f>HV46*$HZ$43</f>
        <v>2.59578</v>
      </c>
      <c r="IA46" s="51">
        <f>HW46*$IA$43</f>
        <v>0</v>
      </c>
      <c r="IB46" s="51">
        <f t="shared" ref="IB46:IB53" si="805">HX46*IB$43</f>
        <v>311493.60000000003</v>
      </c>
      <c r="IC46" s="54"/>
      <c r="ID46" s="51">
        <f>HZ46*$ID$43</f>
        <v>2.59578</v>
      </c>
      <c r="IE46" s="51">
        <f>IA46*$IE$43</f>
        <v>0</v>
      </c>
      <c r="IF46" s="51">
        <f t="shared" ref="IF46:IF53" si="806">IB46*IF$43</f>
        <v>311493.60000000003</v>
      </c>
      <c r="IG46" s="54"/>
      <c r="IH46" s="51">
        <f>ID46*$IH$43</f>
        <v>2.59578</v>
      </c>
      <c r="II46" s="51">
        <f>IE46*$II$43</f>
        <v>0</v>
      </c>
      <c r="IJ46" s="51">
        <f t="shared" ref="IJ46:IJ53" si="807">IF46*IJ$43</f>
        <v>311493.60000000003</v>
      </c>
      <c r="IL46" s="51">
        <f t="shared" si="736"/>
        <v>2.59578</v>
      </c>
      <c r="IM46" s="51">
        <f t="shared" si="737"/>
        <v>0</v>
      </c>
      <c r="IN46" s="51">
        <f t="shared" ref="IN46:IN53" si="808">IJ46*IN$43</f>
        <v>311493.60000000003</v>
      </c>
      <c r="IO46" s="54"/>
      <c r="IP46" s="51">
        <f>IL46*$IP$43</f>
        <v>2.59578</v>
      </c>
      <c r="IQ46" s="51">
        <f>IM46*$IQ$43</f>
        <v>0</v>
      </c>
      <c r="IR46" s="51">
        <f t="shared" ref="IR46:IR53" si="809">IN46*IR$43</f>
        <v>311493.60000000003</v>
      </c>
      <c r="IS46" s="54"/>
      <c r="IT46" s="51">
        <f>IP46*$IT$43</f>
        <v>2.59578</v>
      </c>
      <c r="IU46" s="51">
        <f>IQ46*$IU$43</f>
        <v>0</v>
      </c>
      <c r="IV46" s="51">
        <f t="shared" ref="IV46:IV53" si="810">IR46*IV$43</f>
        <v>311493.60000000003</v>
      </c>
      <c r="IW46" s="54"/>
      <c r="IX46" s="51">
        <f>IT46*$IX$43</f>
        <v>2.59578</v>
      </c>
      <c r="IY46" s="51">
        <f>IU46*$IY$43</f>
        <v>0</v>
      </c>
      <c r="IZ46" s="51">
        <f t="shared" ref="IZ46:IZ53" si="811">IV46*IZ$43</f>
        <v>311493.60000000003</v>
      </c>
      <c r="JA46" s="54"/>
      <c r="JB46" s="51" t="e">
        <f>IX46*$JB$43</f>
        <v>#REF!</v>
      </c>
      <c r="JC46" s="51">
        <f>IY46*$JC$43</f>
        <v>0</v>
      </c>
      <c r="JD46" s="51">
        <f t="shared" ref="JD46:JD53" si="812">IZ46*JD$43</f>
        <v>311493.60000000003</v>
      </c>
      <c r="JE46" s="54"/>
      <c r="JF46" s="51" t="e">
        <f>JB46*$JF$43</f>
        <v>#REF!</v>
      </c>
      <c r="JG46" s="51">
        <f>JC46*$JG$43</f>
        <v>0</v>
      </c>
      <c r="JH46" s="51">
        <f t="shared" ref="JH46:JH53" si="813">JD46*JH$43</f>
        <v>311493.60000000003</v>
      </c>
      <c r="JI46" s="54"/>
      <c r="JJ46" s="51" t="e">
        <f>JF46*$JJ$43</f>
        <v>#REF!</v>
      </c>
      <c r="JK46" s="51">
        <f>JG46*$JK$43</f>
        <v>0</v>
      </c>
      <c r="JL46" s="51">
        <f t="shared" ref="JL46:JL53" si="814">JH46*JL$43</f>
        <v>311493.60000000003</v>
      </c>
      <c r="JM46" s="54"/>
      <c r="JO46" s="80"/>
      <c r="JP46" s="80"/>
      <c r="JQ46" s="80">
        <f t="shared" si="738"/>
        <v>618000</v>
      </c>
      <c r="JS46" s="80"/>
      <c r="JT46" s="80"/>
      <c r="JU46" s="80">
        <f t="shared" si="739"/>
        <v>690000</v>
      </c>
      <c r="JW46" s="80"/>
      <c r="JX46" s="80"/>
      <c r="JY46" s="80">
        <f t="shared" si="740"/>
        <v>910800</v>
      </c>
      <c r="KA46" s="80"/>
      <c r="KB46" s="80"/>
      <c r="KC46" s="80">
        <f t="shared" si="741"/>
        <v>1730520</v>
      </c>
      <c r="KE46" s="80"/>
      <c r="KF46" s="80"/>
      <c r="KG46" s="80">
        <f t="shared" si="742"/>
        <v>2336202</v>
      </c>
      <c r="KI46" s="80"/>
      <c r="KJ46" s="80"/>
      <c r="KK46" s="80">
        <f t="shared" si="743"/>
        <v>3737923.2000000007</v>
      </c>
      <c r="KM46" s="80"/>
      <c r="KN46" s="80"/>
      <c r="KO46" s="80">
        <f t="shared" si="744"/>
        <v>3737923.2000000007</v>
      </c>
    </row>
    <row r="47" ht="18.75" customHeight="1" spans="2:301" x14ac:dyDescent="0.25">
      <c r="B47" s="5" t="str">
        <f>A.IIOPEX!C47</f>
        <v>4c</v>
      </c>
      <c r="C47" s="27"/>
      <c r="D47" s="29" t="str">
        <f>A.IIOPEX!E47</f>
        <v>Field Agents</v>
      </c>
      <c r="E47" s="30"/>
      <c r="F47" s="51">
        <v>1</v>
      </c>
      <c r="G47" s="51"/>
      <c r="H47" s="51">
        <f>A.IIOPEX!I47</f>
        <v>120000</v>
      </c>
      <c r="I47" s="54"/>
      <c r="J47" s="51">
        <f t="shared" si="724"/>
        <v>0.5</v>
      </c>
      <c r="K47" s="51"/>
      <c r="L47" s="51">
        <f t="shared" si="745"/>
        <v>60000</v>
      </c>
      <c r="M47" s="54"/>
      <c r="N47" s="51">
        <f t="shared" si="725"/>
        <v>0.5</v>
      </c>
      <c r="O47" s="51"/>
      <c r="P47" s="51">
        <f t="shared" si="746"/>
        <v>60000</v>
      </c>
      <c r="Q47" s="54"/>
      <c r="R47" s="51">
        <f t="shared" si="726"/>
        <v>0.5</v>
      </c>
      <c r="S47" s="51"/>
      <c r="T47" s="51">
        <f t="shared" si="747"/>
        <v>60000</v>
      </c>
      <c r="U47" s="54"/>
      <c r="V47" s="51">
        <f t="shared" si="727"/>
        <v>0.5</v>
      </c>
      <c r="W47" s="51"/>
      <c r="X47" s="51">
        <f t="shared" si="748"/>
        <v>60000</v>
      </c>
      <c r="Y47" s="54"/>
      <c r="Z47" s="51">
        <f t="shared" si="728"/>
        <v>0.5</v>
      </c>
      <c r="AA47" s="51"/>
      <c r="AB47" s="51">
        <f t="shared" si="749"/>
        <v>60000</v>
      </c>
      <c r="AC47" s="54"/>
      <c r="AD47" s="51">
        <f t="shared" si="750"/>
        <v>0.5</v>
      </c>
      <c r="AE47" s="51"/>
      <c r="AF47" s="51">
        <f t="shared" si="751"/>
        <v>60000</v>
      </c>
      <c r="AG47" s="54"/>
      <c r="AH47" s="51">
        <f t="shared" si="752"/>
        <v>0.575</v>
      </c>
      <c r="AI47" s="51"/>
      <c r="AJ47" s="51">
        <f t="shared" si="753"/>
        <v>69000</v>
      </c>
      <c r="AK47" s="54"/>
      <c r="AL47" s="51">
        <f>AH47*$AL$43</f>
        <v>0.575</v>
      </c>
      <c r="AM47" s="51"/>
      <c r="AN47" s="51">
        <f t="shared" si="754"/>
        <v>69000</v>
      </c>
      <c r="AO47" s="54"/>
      <c r="AP47" s="51">
        <f>AL47*$AP$43</f>
        <v>0.575</v>
      </c>
      <c r="AQ47" s="51"/>
      <c r="AR47" s="51">
        <f t="shared" si="756"/>
        <v>69000</v>
      </c>
      <c r="AS47" s="54"/>
      <c r="AT47" s="51">
        <f t="shared" ref="AT47:AT49" si="815">AP47*$AT$43</f>
        <v>0.575</v>
      </c>
      <c r="AU47" s="51"/>
      <c r="AV47" s="51">
        <f t="shared" si="757"/>
        <v>69000</v>
      </c>
      <c r="AW47" s="54"/>
      <c r="AX47" s="51">
        <f>AT47*$AX$43</f>
        <v>0.575</v>
      </c>
      <c r="AY47" s="51"/>
      <c r="AZ47" s="51">
        <f t="shared" si="759"/>
        <v>69000</v>
      </c>
      <c r="BA47" s="54"/>
      <c r="BB47" s="51">
        <f t="shared" si="729"/>
        <v>0.575</v>
      </c>
      <c r="BC47" s="51"/>
      <c r="BD47" s="51">
        <f t="shared" si="760"/>
        <v>69000</v>
      </c>
      <c r="BE47" s="54"/>
      <c r="BF47" s="51">
        <f>BB47*$BF$43</f>
        <v>0.575</v>
      </c>
      <c r="BG47" s="51"/>
      <c r="BH47" s="51">
        <f t="shared" si="761"/>
        <v>69000</v>
      </c>
      <c r="BI47" s="54"/>
      <c r="BJ47" s="51">
        <f>BF47*$BJ$43</f>
        <v>0.575</v>
      </c>
      <c r="BK47" s="51">
        <f>BG47*$BK$43</f>
        <v>0</v>
      </c>
      <c r="BL47" s="51">
        <f t="shared" si="762"/>
        <v>69000</v>
      </c>
      <c r="BM47" s="54"/>
      <c r="BN47" s="51">
        <f>BJ47*$BN$43</f>
        <v>0.575</v>
      </c>
      <c r="BO47" s="51">
        <f>BK47*$BO$43</f>
        <v>0</v>
      </c>
      <c r="BP47" s="51">
        <f t="shared" si="763"/>
        <v>69000</v>
      </c>
      <c r="BQ47" s="54"/>
      <c r="BR47" s="51">
        <f>BN47*$BR$43</f>
        <v>0.575</v>
      </c>
      <c r="BS47" s="51">
        <f>BO47*$BS$43</f>
        <v>0</v>
      </c>
      <c r="BT47" s="51">
        <f t="shared" si="764"/>
        <v>69000</v>
      </c>
      <c r="BU47" s="54"/>
      <c r="BV47" s="51">
        <f>BR47*$BV$43</f>
        <v>0.575</v>
      </c>
      <c r="BW47" s="51">
        <f>BS47*$BW$43</f>
        <v>0</v>
      </c>
      <c r="BX47" s="51">
        <f t="shared" si="765"/>
        <v>69000</v>
      </c>
      <c r="BY47" s="54"/>
      <c r="BZ47" s="51">
        <f>BV47*$BZ$43</f>
        <v>0.575</v>
      </c>
      <c r="CA47" s="51">
        <f>BW47*$CA$43</f>
        <v>0</v>
      </c>
      <c r="CB47" s="51">
        <f t="shared" si="766"/>
        <v>69000</v>
      </c>
      <c r="CC47" s="54"/>
      <c r="CD47" s="51">
        <f>BZ47*$CD$43</f>
        <v>0.6325</v>
      </c>
      <c r="CE47" s="51">
        <f>CA47*$CE$43</f>
        <v>0</v>
      </c>
      <c r="CF47" s="51">
        <f t="shared" si="767"/>
        <v>75900</v>
      </c>
      <c r="CG47" s="54"/>
      <c r="CH47" s="51">
        <f>CD47*$CH$43</f>
        <v>0.6325</v>
      </c>
      <c r="CI47" s="51">
        <f>CE47*$CI$43</f>
        <v>0</v>
      </c>
      <c r="CJ47" s="51">
        <f t="shared" si="768"/>
        <v>75900</v>
      </c>
      <c r="CK47" s="54"/>
      <c r="CL47" s="51">
        <f>CH47*$CL$43</f>
        <v>0.6325</v>
      </c>
      <c r="CM47" s="51">
        <f>CI47*$CM$43</f>
        <v>0</v>
      </c>
      <c r="CN47" s="51">
        <f t="shared" si="769"/>
        <v>75900</v>
      </c>
      <c r="CO47" s="54"/>
      <c r="CP47" s="51">
        <f>CL47*$CP$43</f>
        <v>0.6325</v>
      </c>
      <c r="CQ47" s="51">
        <f>CM47*$CQ$43</f>
        <v>0</v>
      </c>
      <c r="CR47" s="51">
        <f t="shared" si="770"/>
        <v>75900</v>
      </c>
      <c r="CS47" s="54"/>
      <c r="CT47" s="51">
        <f>CP47*$CT$43</f>
        <v>0.6325</v>
      </c>
      <c r="CU47" s="51">
        <f>CQ47*$CU$43</f>
        <v>0</v>
      </c>
      <c r="CV47" s="51">
        <f t="shared" si="771"/>
        <v>75900</v>
      </c>
      <c r="CW47" s="54"/>
      <c r="CX47" s="51">
        <f t="shared" si="730"/>
        <v>0.6325</v>
      </c>
      <c r="CY47" s="51">
        <f t="shared" si="731"/>
        <v>0</v>
      </c>
      <c r="CZ47" s="51">
        <f t="shared" si="772"/>
        <v>75900</v>
      </c>
      <c r="DA47" s="54"/>
      <c r="DB47" s="51">
        <f>CX47*$DB$43</f>
        <v>0.6325</v>
      </c>
      <c r="DC47" s="51">
        <f>CY47*$DC$43</f>
        <v>0</v>
      </c>
      <c r="DD47" s="51">
        <f t="shared" si="773"/>
        <v>75900</v>
      </c>
      <c r="DE47" s="54"/>
      <c r="DF47" s="51">
        <f>DB47*$DF$43</f>
        <v>0.6325</v>
      </c>
      <c r="DG47" s="51">
        <f>DC47*$DG$43</f>
        <v>0</v>
      </c>
      <c r="DH47" s="51">
        <f t="shared" si="774"/>
        <v>75900</v>
      </c>
      <c r="DI47" s="54"/>
      <c r="DJ47" s="51">
        <f>DF47*$DJ$43</f>
        <v>0.6325</v>
      </c>
      <c r="DK47" s="51">
        <f>DG47*$DK$43</f>
        <v>0</v>
      </c>
      <c r="DL47" s="51">
        <f t="shared" si="775"/>
        <v>75900</v>
      </c>
      <c r="DM47" s="54"/>
      <c r="DN47" s="51">
        <f>DJ47*$DN$43</f>
        <v>0.6325</v>
      </c>
      <c r="DO47" s="51">
        <f>DK47*$DO$43</f>
        <v>0</v>
      </c>
      <c r="DP47" s="51">
        <f t="shared" si="776"/>
        <v>75900</v>
      </c>
      <c r="DQ47" s="54"/>
      <c r="DR47" s="51">
        <f>DN47*$DR$43</f>
        <v>0.6325</v>
      </c>
      <c r="DS47" s="51">
        <f>DO47*$DS$43</f>
        <v>0</v>
      </c>
      <c r="DT47" s="51">
        <f t="shared" si="777"/>
        <v>75900</v>
      </c>
      <c r="DU47" s="54"/>
      <c r="DV47" s="51">
        <f>DR47*$DV$43</f>
        <v>0.6325</v>
      </c>
      <c r="DW47" s="51">
        <f>DS47*$DW$43</f>
        <v>0</v>
      </c>
      <c r="DX47" s="51">
        <f t="shared" si="778"/>
        <v>75900</v>
      </c>
      <c r="DY47" s="54"/>
      <c r="DZ47" s="51">
        <f>DV47*$DZ$43</f>
        <v>1.2017499999999999</v>
      </c>
      <c r="EA47" s="51">
        <f>DW47*$EA$43</f>
        <v>0</v>
      </c>
      <c r="EB47" s="51">
        <f t="shared" si="779"/>
        <v>144210</v>
      </c>
      <c r="EC47" s="54"/>
      <c r="ED47" s="51">
        <f>DZ47*$ED$43</f>
        <v>1.2017499999999999</v>
      </c>
      <c r="EE47" s="51">
        <f>EA47*$EE$43</f>
        <v>0</v>
      </c>
      <c r="EF47" s="51">
        <f t="shared" si="780"/>
        <v>144210</v>
      </c>
      <c r="EG47" s="54"/>
      <c r="EH47" s="51">
        <f>ED47*$EH$43</f>
        <v>1.2017499999999999</v>
      </c>
      <c r="EI47" s="51">
        <f>EE47*$EI$43</f>
        <v>0</v>
      </c>
      <c r="EJ47" s="51">
        <f t="shared" si="781"/>
        <v>144210</v>
      </c>
      <c r="EK47" s="54"/>
      <c r="EL47" s="51">
        <f>EH47*$EL$43</f>
        <v>1.2017499999999999</v>
      </c>
      <c r="EM47" s="51">
        <f>EI47*$EM$43</f>
        <v>0</v>
      </c>
      <c r="EN47" s="51">
        <f t="shared" si="782"/>
        <v>144210</v>
      </c>
      <c r="EO47" s="54"/>
      <c r="EP47" s="51">
        <f>EL47*$EP$43</f>
        <v>1.2017499999999999</v>
      </c>
      <c r="EQ47" s="51">
        <f>EM47*$EQ$43</f>
        <v>0</v>
      </c>
      <c r="ER47" s="51">
        <f t="shared" si="783"/>
        <v>144210</v>
      </c>
      <c r="ES47" s="54"/>
      <c r="ET47" s="51">
        <f t="shared" si="732"/>
        <v>1.2017499999999999</v>
      </c>
      <c r="EU47" s="51">
        <f t="shared" si="733"/>
        <v>0</v>
      </c>
      <c r="EV47" s="51">
        <f t="shared" si="784"/>
        <v>144210</v>
      </c>
      <c r="EW47" s="54"/>
      <c r="EX47" s="51">
        <f>ET47*$EX$43</f>
        <v>1.2017499999999999</v>
      </c>
      <c r="EY47" s="51">
        <f>EU47*$EY$43</f>
        <v>0</v>
      </c>
      <c r="EZ47" s="51">
        <f t="shared" si="785"/>
        <v>144210</v>
      </c>
      <c r="FA47" s="54"/>
      <c r="FB47" s="51">
        <f>EX47*$FB$43</f>
        <v>1.2017499999999999</v>
      </c>
      <c r="FC47" s="51">
        <f>EY47*$FC$43</f>
        <v>0</v>
      </c>
      <c r="FD47" s="51">
        <f t="shared" si="786"/>
        <v>144210</v>
      </c>
      <c r="FE47" s="54"/>
      <c r="FF47" s="51">
        <f>FB47*$FF$43</f>
        <v>1.2017499999999999</v>
      </c>
      <c r="FG47" s="51">
        <f>FC47*$FG$43</f>
        <v>0</v>
      </c>
      <c r="FH47" s="51">
        <f t="shared" si="787"/>
        <v>144210</v>
      </c>
      <c r="FI47" s="54"/>
      <c r="FJ47" s="51">
        <f>FF47*$FJ$43</f>
        <v>1.6223625</v>
      </c>
      <c r="FK47" s="51">
        <f>FG47*$FK$43</f>
        <v>0</v>
      </c>
      <c r="FL47" s="51">
        <f t="shared" si="788"/>
        <v>144210</v>
      </c>
      <c r="FM47" s="54"/>
      <c r="FN47" s="51">
        <f>FJ47*$FN$43</f>
        <v>1.6223625</v>
      </c>
      <c r="FO47" s="51">
        <f>FK47*$FO$43</f>
        <v>0</v>
      </c>
      <c r="FP47" s="51">
        <f t="shared" si="789"/>
        <v>144210</v>
      </c>
      <c r="FQ47" s="54"/>
      <c r="FR47" s="51">
        <f>FN47*$FR$43</f>
        <v>1.6223625</v>
      </c>
      <c r="FS47" s="51">
        <f>FO47*$FS$43</f>
        <v>0</v>
      </c>
      <c r="FT47" s="51">
        <f t="shared" si="790"/>
        <v>144210</v>
      </c>
      <c r="FU47" s="54"/>
      <c r="FV47" s="51">
        <f>FR47*$FV$43</f>
        <v>1.6223625</v>
      </c>
      <c r="FW47" s="51">
        <f>FS47*$FW$43</f>
        <v>0</v>
      </c>
      <c r="FX47" s="51">
        <f t="shared" si="791"/>
        <v>194683.5</v>
      </c>
      <c r="FY47" s="54"/>
      <c r="FZ47" s="51">
        <f>FV47*$FZ$43</f>
        <v>1.6223625</v>
      </c>
      <c r="GA47" s="51">
        <f>FW47*$GA$43</f>
        <v>0</v>
      </c>
      <c r="GB47" s="51">
        <f t="shared" si="792"/>
        <v>194683.5</v>
      </c>
      <c r="GC47" s="54"/>
      <c r="GD47" s="51">
        <f>FZ47*$GD$43</f>
        <v>1.6223625</v>
      </c>
      <c r="GE47" s="51">
        <f>GA47*$GE$43</f>
        <v>0</v>
      </c>
      <c r="GF47" s="51">
        <f t="shared" si="793"/>
        <v>194683.5</v>
      </c>
      <c r="GG47" s="54"/>
      <c r="GH47" s="51">
        <f>GD47*$GH$43</f>
        <v>1.6223625</v>
      </c>
      <c r="GI47" s="51">
        <f>GE47*$GI$43</f>
        <v>0</v>
      </c>
      <c r="GJ47" s="51">
        <f t="shared" si="794"/>
        <v>194683.5</v>
      </c>
      <c r="GK47" s="54"/>
      <c r="GL47" s="51">
        <f>GH47*$GL$43</f>
        <v>1.6223625</v>
      </c>
      <c r="GM47" s="51">
        <f>GI47*$GM$43</f>
        <v>0</v>
      </c>
      <c r="GN47" s="51">
        <f t="shared" si="795"/>
        <v>194683.5</v>
      </c>
      <c r="GP47" s="51">
        <f t="shared" si="734"/>
        <v>1.6223625</v>
      </c>
      <c r="GQ47" s="51">
        <f t="shared" si="735"/>
        <v>0</v>
      </c>
      <c r="GR47" s="51">
        <f t="shared" si="796"/>
        <v>194683.5</v>
      </c>
      <c r="GS47" s="54"/>
      <c r="GT47" s="51">
        <f>GP47*$GT$43</f>
        <v>1.6223625</v>
      </c>
      <c r="GU47" s="51">
        <f>GQ47*$GU$43</f>
        <v>0</v>
      </c>
      <c r="GV47" s="51">
        <f t="shared" si="797"/>
        <v>194683.5</v>
      </c>
      <c r="GW47" s="54"/>
      <c r="GX47" s="51">
        <f>GT47*$GX$43</f>
        <v>1.6223625</v>
      </c>
      <c r="GY47" s="51">
        <f>GU47*$GY$43</f>
        <v>0</v>
      </c>
      <c r="GZ47" s="51">
        <f t="shared" si="798"/>
        <v>194683.5</v>
      </c>
      <c r="HA47" s="54"/>
      <c r="HB47" s="51">
        <f>GX47*$HB$43</f>
        <v>1.6223625</v>
      </c>
      <c r="HC47" s="51">
        <f>GY47*$HC$43</f>
        <v>0</v>
      </c>
      <c r="HD47" s="51">
        <f t="shared" si="799"/>
        <v>194683.5</v>
      </c>
      <c r="HE47" s="54"/>
      <c r="HF47" s="51">
        <f>HB47*$HF$43</f>
        <v>2.59578</v>
      </c>
      <c r="HG47" s="51">
        <f>HC47*$HG$43</f>
        <v>0</v>
      </c>
      <c r="HH47" s="51">
        <f t="shared" si="800"/>
        <v>194683.5</v>
      </c>
      <c r="HI47" s="54"/>
      <c r="HJ47" s="51">
        <f>HF47*$HJ$43</f>
        <v>2.59578</v>
      </c>
      <c r="HK47" s="51">
        <f>HG47*$HK$43</f>
        <v>0</v>
      </c>
      <c r="HL47" s="51">
        <f t="shared" si="801"/>
        <v>194683.5</v>
      </c>
      <c r="HM47" s="54"/>
      <c r="HN47" s="51">
        <f>HJ47*$HN$43</f>
        <v>2.59578</v>
      </c>
      <c r="HO47" s="51">
        <f>HK47*$HO$43</f>
        <v>0</v>
      </c>
      <c r="HP47" s="51">
        <f t="shared" si="802"/>
        <v>194683.5</v>
      </c>
      <c r="HQ47" s="54"/>
      <c r="HR47" s="51">
        <f>HN47*$HR$43</f>
        <v>2.59578</v>
      </c>
      <c r="HS47" s="51">
        <f>HO47*$HS$43</f>
        <v>0</v>
      </c>
      <c r="HT47" s="51">
        <f t="shared" si="803"/>
        <v>311493.60000000003</v>
      </c>
      <c r="HU47" s="54"/>
      <c r="HV47" s="51">
        <f>HR47*$HV$43</f>
        <v>2.59578</v>
      </c>
      <c r="HW47" s="51">
        <f>HS47*$HW$43</f>
        <v>0</v>
      </c>
      <c r="HX47" s="51">
        <f t="shared" si="804"/>
        <v>311493.60000000003</v>
      </c>
      <c r="HY47" s="54"/>
      <c r="HZ47" s="51">
        <f>HV47*$HZ$43</f>
        <v>2.59578</v>
      </c>
      <c r="IA47" s="51">
        <f>HW47*$IA$43</f>
        <v>0</v>
      </c>
      <c r="IB47" s="51">
        <f t="shared" si="805"/>
        <v>311493.60000000003</v>
      </c>
      <c r="IC47" s="54"/>
      <c r="ID47" s="51">
        <f>HZ47*$ID$43</f>
        <v>2.59578</v>
      </c>
      <c r="IE47" s="51">
        <f>IA47*$IE$43</f>
        <v>0</v>
      </c>
      <c r="IF47" s="51">
        <f t="shared" si="806"/>
        <v>311493.60000000003</v>
      </c>
      <c r="IG47" s="54"/>
      <c r="IH47" s="51">
        <f>ID47*$IH$43</f>
        <v>2.59578</v>
      </c>
      <c r="II47" s="51">
        <f>IE47*$II$43</f>
        <v>0</v>
      </c>
      <c r="IJ47" s="51">
        <f t="shared" si="807"/>
        <v>311493.60000000003</v>
      </c>
      <c r="IL47" s="51">
        <f t="shared" si="736"/>
        <v>2.59578</v>
      </c>
      <c r="IM47" s="51">
        <f t="shared" si="737"/>
        <v>0</v>
      </c>
      <c r="IN47" s="51">
        <f t="shared" si="808"/>
        <v>311493.60000000003</v>
      </c>
      <c r="IO47" s="54"/>
      <c r="IP47" s="51">
        <f>IL47*$IP$43</f>
        <v>2.59578</v>
      </c>
      <c r="IQ47" s="51">
        <f>IM47*$IQ$43</f>
        <v>0</v>
      </c>
      <c r="IR47" s="51">
        <f t="shared" si="809"/>
        <v>311493.60000000003</v>
      </c>
      <c r="IS47" s="54"/>
      <c r="IT47" s="51">
        <f>IP47*$IT$43</f>
        <v>2.59578</v>
      </c>
      <c r="IU47" s="51">
        <f>IQ47*$IU$43</f>
        <v>0</v>
      </c>
      <c r="IV47" s="51">
        <f t="shared" si="810"/>
        <v>311493.60000000003</v>
      </c>
      <c r="IW47" s="54"/>
      <c r="IX47" s="51">
        <f>IT47*$IX$43</f>
        <v>2.59578</v>
      </c>
      <c r="IY47" s="51">
        <f>IU47*$IY$43</f>
        <v>0</v>
      </c>
      <c r="IZ47" s="51">
        <f t="shared" si="811"/>
        <v>311493.60000000003</v>
      </c>
      <c r="JA47" s="54"/>
      <c r="JB47" s="51" t="e">
        <f>IX47*$JB$43</f>
        <v>#REF!</v>
      </c>
      <c r="JC47" s="51">
        <f>IY47*$JC$43</f>
        <v>0</v>
      </c>
      <c r="JD47" s="51">
        <f t="shared" si="812"/>
        <v>311493.60000000003</v>
      </c>
      <c r="JE47" s="54"/>
      <c r="JF47" s="51" t="e">
        <f>JB47*$JF$43</f>
        <v>#REF!</v>
      </c>
      <c r="JG47" s="51">
        <f>JC47*$JG$43</f>
        <v>0</v>
      </c>
      <c r="JH47" s="51">
        <f t="shared" si="813"/>
        <v>311493.60000000003</v>
      </c>
      <c r="JI47" s="54"/>
      <c r="JJ47" s="51" t="e">
        <f>JF47*$JJ$43</f>
        <v>#REF!</v>
      </c>
      <c r="JK47" s="51">
        <f>JG47*$JK$43</f>
        <v>0</v>
      </c>
      <c r="JL47" s="51">
        <f t="shared" si="814"/>
        <v>311493.60000000003</v>
      </c>
      <c r="JM47" s="54"/>
      <c r="JO47" s="80"/>
      <c r="JP47" s="80"/>
      <c r="JQ47" s="80">
        <f t="shared" si="738"/>
        <v>618000</v>
      </c>
      <c r="JS47" s="80"/>
      <c r="JT47" s="80"/>
      <c r="JU47" s="80">
        <f t="shared" si="739"/>
        <v>690000</v>
      </c>
      <c r="JW47" s="80"/>
      <c r="JX47" s="80"/>
      <c r="JY47" s="80">
        <f t="shared" si="740"/>
        <v>910800</v>
      </c>
      <c r="KA47" s="80"/>
      <c r="KB47" s="80"/>
      <c r="KC47" s="80">
        <f t="shared" si="741"/>
        <v>1730520</v>
      </c>
      <c r="KE47" s="80"/>
      <c r="KF47" s="80"/>
      <c r="KG47" s="80">
        <f t="shared" si="742"/>
        <v>2336202</v>
      </c>
      <c r="KI47" s="80"/>
      <c r="KJ47" s="80"/>
      <c r="KK47" s="80">
        <f t="shared" si="743"/>
        <v>3737923.2000000007</v>
      </c>
      <c r="KM47" s="80"/>
      <c r="KN47" s="80"/>
      <c r="KO47" s="80">
        <f t="shared" si="744"/>
        <v>3737923.2000000007</v>
      </c>
    </row>
    <row r="48" ht="18.75" customHeight="1" spans="2:301" x14ac:dyDescent="0.25">
      <c r="B48" s="5" t="str">
        <f>A.IIOPEX!C48</f>
        <v>4d</v>
      </c>
      <c r="C48" s="27"/>
      <c r="D48" s="29">
        <f>A.IIOPEX!E48</f>
        <v>0</v>
      </c>
      <c r="E48" s="30"/>
      <c r="F48" s="51">
        <v>1</v>
      </c>
      <c r="G48" s="51"/>
      <c r="H48" s="51">
        <f>A.IIOPEX!I48</f>
        <v>0</v>
      </c>
      <c r="I48" s="54"/>
      <c r="J48" s="51">
        <f t="shared" si="724"/>
        <v>0.5</v>
      </c>
      <c r="K48" s="51"/>
      <c r="L48" s="51">
        <f t="shared" si="745"/>
        <v>0</v>
      </c>
      <c r="M48" s="54"/>
      <c r="N48" s="51">
        <f t="shared" si="725"/>
        <v>0.5</v>
      </c>
      <c r="O48" s="51"/>
      <c r="P48" s="51">
        <f t="shared" si="746"/>
        <v>0</v>
      </c>
      <c r="Q48" s="54"/>
      <c r="R48" s="51">
        <f t="shared" si="726"/>
        <v>0.5</v>
      </c>
      <c r="S48" s="51"/>
      <c r="T48" s="51">
        <f t="shared" si="747"/>
        <v>0</v>
      </c>
      <c r="U48" s="54"/>
      <c r="V48" s="51">
        <f t="shared" si="727"/>
        <v>0.5</v>
      </c>
      <c r="W48" s="51"/>
      <c r="X48" s="51">
        <f t="shared" si="748"/>
        <v>0</v>
      </c>
      <c r="Y48" s="54"/>
      <c r="Z48" s="51">
        <f t="shared" si="728"/>
        <v>0.5</v>
      </c>
      <c r="AA48" s="51"/>
      <c r="AB48" s="51">
        <f t="shared" si="749"/>
        <v>0</v>
      </c>
      <c r="AC48" s="54"/>
      <c r="AD48" s="51">
        <f t="shared" si="750"/>
        <v>0.5</v>
      </c>
      <c r="AE48" s="51"/>
      <c r="AF48" s="51">
        <f t="shared" si="751"/>
        <v>0</v>
      </c>
      <c r="AG48" s="54"/>
      <c r="AH48" s="51">
        <f t="shared" si="752"/>
        <v>0.575</v>
      </c>
      <c r="AI48" s="51"/>
      <c r="AJ48" s="51">
        <f t="shared" si="753"/>
        <v>0</v>
      </c>
      <c r="AK48" s="54"/>
      <c r="AL48" s="51">
        <f>AH48*$AL$43</f>
        <v>0.575</v>
      </c>
      <c r="AM48" s="51"/>
      <c r="AN48" s="51">
        <f t="shared" si="754"/>
        <v>0</v>
      </c>
      <c r="AO48" s="54"/>
      <c r="AP48" s="51">
        <f t="shared" si="755"/>
        <v>0.575</v>
      </c>
      <c r="AQ48" s="51"/>
      <c r="AR48" s="51">
        <f t="shared" si="756"/>
        <v>0</v>
      </c>
      <c r="AS48" s="54"/>
      <c r="AT48" s="51">
        <f>AP48*$AT$43</f>
        <v>0.575</v>
      </c>
      <c r="AU48" s="51"/>
      <c r="AV48" s="51">
        <f t="shared" si="757"/>
        <v>0</v>
      </c>
      <c r="AW48" s="54"/>
      <c r="AX48" s="51">
        <f t="shared" si="758"/>
        <v>0.575</v>
      </c>
      <c r="AY48" s="51"/>
      <c r="AZ48" s="51">
        <f t="shared" si="759"/>
        <v>0</v>
      </c>
      <c r="BA48" s="54"/>
      <c r="BB48" s="51">
        <f t="shared" si="729"/>
        <v>0.575</v>
      </c>
      <c r="BC48" s="51"/>
      <c r="BD48" s="51">
        <f t="shared" si="760"/>
        <v>0</v>
      </c>
      <c r="BE48" s="54"/>
      <c r="BF48" s="51">
        <f>BB48*$BF$43</f>
        <v>0.575</v>
      </c>
      <c r="BG48" s="51"/>
      <c r="BH48" s="51">
        <f t="shared" si="761"/>
        <v>0</v>
      </c>
      <c r="BI48" s="54"/>
      <c r="BJ48" s="51">
        <f>BF48*$BJ$43</f>
        <v>0.575</v>
      </c>
      <c r="BK48" s="51">
        <f>BG48*$BK$43</f>
        <v>0</v>
      </c>
      <c r="BL48" s="51">
        <f t="shared" si="762"/>
        <v>0</v>
      </c>
      <c r="BM48" s="54"/>
      <c r="BN48" s="51">
        <f>BJ48*$BN$43</f>
        <v>0.575</v>
      </c>
      <c r="BO48" s="51">
        <f>BK48*$BO$43</f>
        <v>0</v>
      </c>
      <c r="BP48" s="51">
        <f t="shared" si="763"/>
        <v>0</v>
      </c>
      <c r="BQ48" s="54"/>
      <c r="BR48" s="51">
        <f>BN48*$BR$43</f>
        <v>0.575</v>
      </c>
      <c r="BS48" s="51">
        <f>BO48*$BS$43</f>
        <v>0</v>
      </c>
      <c r="BT48" s="51">
        <f t="shared" si="764"/>
        <v>0</v>
      </c>
      <c r="BU48" s="54"/>
      <c r="BV48" s="51">
        <f>BR48*$BV$43</f>
        <v>0.575</v>
      </c>
      <c r="BW48" s="51">
        <f>BS48*$BW$43</f>
        <v>0</v>
      </c>
      <c r="BX48" s="51">
        <f t="shared" si="765"/>
        <v>0</v>
      </c>
      <c r="BY48" s="54"/>
      <c r="BZ48" s="51">
        <f>BV48*$BZ$43</f>
        <v>0.575</v>
      </c>
      <c r="CA48" s="51">
        <f>BW48*$CA$43</f>
        <v>0</v>
      </c>
      <c r="CB48" s="51">
        <f t="shared" si="766"/>
        <v>0</v>
      </c>
      <c r="CC48" s="54"/>
      <c r="CD48" s="51">
        <f>BZ48*$CD$43</f>
        <v>0.6325</v>
      </c>
      <c r="CE48" s="51">
        <f>CA48*$CE$43</f>
        <v>0</v>
      </c>
      <c r="CF48" s="51">
        <f t="shared" si="767"/>
        <v>0</v>
      </c>
      <c r="CG48" s="54"/>
      <c r="CH48" s="51">
        <f>CD48*$CH$43</f>
        <v>0.6325</v>
      </c>
      <c r="CI48" s="51">
        <f>CE48*$CI$43</f>
        <v>0</v>
      </c>
      <c r="CJ48" s="51">
        <f t="shared" si="768"/>
        <v>0</v>
      </c>
      <c r="CK48" s="54"/>
      <c r="CL48" s="51">
        <f>CH48*$CL$43</f>
        <v>0.6325</v>
      </c>
      <c r="CM48" s="51">
        <f>CI48*$CM$43</f>
        <v>0</v>
      </c>
      <c r="CN48" s="51">
        <f t="shared" si="769"/>
        <v>0</v>
      </c>
      <c r="CO48" s="54"/>
      <c r="CP48" s="51">
        <f>CL48*$CP$43</f>
        <v>0.6325</v>
      </c>
      <c r="CQ48" s="51">
        <f>CM48*$CQ$43</f>
        <v>0</v>
      </c>
      <c r="CR48" s="51">
        <f t="shared" si="770"/>
        <v>0</v>
      </c>
      <c r="CS48" s="54"/>
      <c r="CT48" s="51">
        <f>CP48*$CT$43</f>
        <v>0.6325</v>
      </c>
      <c r="CU48" s="51">
        <f>CQ48*$CU$43</f>
        <v>0</v>
      </c>
      <c r="CV48" s="51">
        <f t="shared" si="771"/>
        <v>0</v>
      </c>
      <c r="CW48" s="54"/>
      <c r="CX48" s="51">
        <f t="shared" si="730"/>
        <v>0.6325</v>
      </c>
      <c r="CY48" s="51">
        <f t="shared" si="731"/>
        <v>0</v>
      </c>
      <c r="CZ48" s="51">
        <f t="shared" si="772"/>
        <v>0</v>
      </c>
      <c r="DA48" s="54"/>
      <c r="DB48" s="51">
        <f>CX48*$DB$43</f>
        <v>0.6325</v>
      </c>
      <c r="DC48" s="51">
        <f>CY48*$DC$43</f>
        <v>0</v>
      </c>
      <c r="DD48" s="51">
        <f t="shared" si="773"/>
        <v>0</v>
      </c>
      <c r="DE48" s="54"/>
      <c r="DF48" s="51">
        <f>DB48*$DF$43</f>
        <v>0.6325</v>
      </c>
      <c r="DG48" s="51">
        <f>DC48*$DG$43</f>
        <v>0</v>
      </c>
      <c r="DH48" s="51">
        <f t="shared" si="774"/>
        <v>0</v>
      </c>
      <c r="DI48" s="54"/>
      <c r="DJ48" s="51">
        <f>DF48*$DJ$43</f>
        <v>0.6325</v>
      </c>
      <c r="DK48" s="51">
        <f>DG48*$DK$43</f>
        <v>0</v>
      </c>
      <c r="DL48" s="51">
        <f t="shared" si="775"/>
        <v>0</v>
      </c>
      <c r="DM48" s="54"/>
      <c r="DN48" s="51">
        <f>DJ48*$DN$43</f>
        <v>0.6325</v>
      </c>
      <c r="DO48" s="51">
        <f>DK48*$DO$43</f>
        <v>0</v>
      </c>
      <c r="DP48" s="51">
        <f t="shared" si="776"/>
        <v>0</v>
      </c>
      <c r="DQ48" s="54"/>
      <c r="DR48" s="51">
        <f>DN48*$DR$43</f>
        <v>0.6325</v>
      </c>
      <c r="DS48" s="51">
        <f>DO48*$DS$43</f>
        <v>0</v>
      </c>
      <c r="DT48" s="51">
        <f t="shared" si="777"/>
        <v>0</v>
      </c>
      <c r="DU48" s="54"/>
      <c r="DV48" s="51">
        <f>DR48*$DV$43</f>
        <v>0.6325</v>
      </c>
      <c r="DW48" s="51">
        <f>DS48*$DW$43</f>
        <v>0</v>
      </c>
      <c r="DX48" s="51">
        <f t="shared" si="778"/>
        <v>0</v>
      </c>
      <c r="DY48" s="54"/>
      <c r="DZ48" s="51">
        <f>DV48*$DZ$43</f>
        <v>1.2017499999999999</v>
      </c>
      <c r="EA48" s="51">
        <f>DW48*$EA$43</f>
        <v>0</v>
      </c>
      <c r="EB48" s="51">
        <f t="shared" si="779"/>
        <v>0</v>
      </c>
      <c r="EC48" s="54"/>
      <c r="ED48" s="51">
        <f>DZ48*$ED$43</f>
        <v>1.2017499999999999</v>
      </c>
      <c r="EE48" s="51">
        <f>EA48*$EE$43</f>
        <v>0</v>
      </c>
      <c r="EF48" s="51">
        <f t="shared" si="780"/>
        <v>0</v>
      </c>
      <c r="EG48" s="54"/>
      <c r="EH48" s="51">
        <f>ED48*$EH$43</f>
        <v>1.2017499999999999</v>
      </c>
      <c r="EI48" s="51">
        <f>EE48*$EI$43</f>
        <v>0</v>
      </c>
      <c r="EJ48" s="51">
        <f t="shared" si="781"/>
        <v>0</v>
      </c>
      <c r="EK48" s="54"/>
      <c r="EL48" s="51">
        <f>EH48*$EL$43</f>
        <v>1.2017499999999999</v>
      </c>
      <c r="EM48" s="51">
        <f>EI48*$EM$43</f>
        <v>0</v>
      </c>
      <c r="EN48" s="51">
        <f t="shared" si="782"/>
        <v>0</v>
      </c>
      <c r="EO48" s="54"/>
      <c r="EP48" s="51">
        <f>EL48*$EP$43</f>
        <v>1.2017499999999999</v>
      </c>
      <c r="EQ48" s="51">
        <f>EM48*$EQ$43</f>
        <v>0</v>
      </c>
      <c r="ER48" s="51">
        <f t="shared" si="783"/>
        <v>0</v>
      </c>
      <c r="ES48" s="54"/>
      <c r="ET48" s="51">
        <f t="shared" si="732"/>
        <v>1.2017499999999999</v>
      </c>
      <c r="EU48" s="51">
        <f t="shared" si="733"/>
        <v>0</v>
      </c>
      <c r="EV48" s="51">
        <f t="shared" si="784"/>
        <v>0</v>
      </c>
      <c r="EW48" s="54"/>
      <c r="EX48" s="51">
        <f>ET48*$EX$43</f>
        <v>1.2017499999999999</v>
      </c>
      <c r="EY48" s="51">
        <f>EU48*$EY$43</f>
        <v>0</v>
      </c>
      <c r="EZ48" s="51">
        <f t="shared" si="785"/>
        <v>0</v>
      </c>
      <c r="FA48" s="54"/>
      <c r="FB48" s="51">
        <f>EX48*$FB$43</f>
        <v>1.2017499999999999</v>
      </c>
      <c r="FC48" s="51">
        <f>EY48*$FC$43</f>
        <v>0</v>
      </c>
      <c r="FD48" s="51">
        <f t="shared" si="786"/>
        <v>0</v>
      </c>
      <c r="FE48" s="54"/>
      <c r="FF48" s="51">
        <f>FB48*$FF$43</f>
        <v>1.2017499999999999</v>
      </c>
      <c r="FG48" s="51">
        <f>FC48*$FG$43</f>
        <v>0</v>
      </c>
      <c r="FH48" s="51">
        <f t="shared" si="787"/>
        <v>0</v>
      </c>
      <c r="FI48" s="54"/>
      <c r="FJ48" s="51">
        <f>FF48*$FJ$43</f>
        <v>1.6223625</v>
      </c>
      <c r="FK48" s="51">
        <f>FG48*$FK$43</f>
        <v>0</v>
      </c>
      <c r="FL48" s="51">
        <f t="shared" si="788"/>
        <v>0</v>
      </c>
      <c r="FM48" s="54"/>
      <c r="FN48" s="51">
        <f>FJ48*$FN$43</f>
        <v>1.6223625</v>
      </c>
      <c r="FO48" s="51">
        <f>FK48*$FO$43</f>
        <v>0</v>
      </c>
      <c r="FP48" s="51">
        <f t="shared" si="789"/>
        <v>0</v>
      </c>
      <c r="FQ48" s="54"/>
      <c r="FR48" s="51">
        <f>FN48*$FR$43</f>
        <v>1.6223625</v>
      </c>
      <c r="FS48" s="51">
        <f>FO48*$FS$43</f>
        <v>0</v>
      </c>
      <c r="FT48" s="51">
        <f t="shared" si="790"/>
        <v>0</v>
      </c>
      <c r="FU48" s="54"/>
      <c r="FV48" s="51">
        <f>FR48*$FV$43</f>
        <v>1.6223625</v>
      </c>
      <c r="FW48" s="51">
        <f>FS48*$FW$43</f>
        <v>0</v>
      </c>
      <c r="FX48" s="51">
        <f t="shared" si="791"/>
        <v>0</v>
      </c>
      <c r="FY48" s="54"/>
      <c r="FZ48" s="51">
        <f>FV48*$FZ$43</f>
        <v>1.6223625</v>
      </c>
      <c r="GA48" s="51">
        <f>FW48*$GA$43</f>
        <v>0</v>
      </c>
      <c r="GB48" s="51">
        <f t="shared" si="792"/>
        <v>0</v>
      </c>
      <c r="GC48" s="54"/>
      <c r="GD48" s="51">
        <f>FZ48*$GD$43</f>
        <v>1.6223625</v>
      </c>
      <c r="GE48" s="51">
        <f>GA48*$GE$43</f>
        <v>0</v>
      </c>
      <c r="GF48" s="51">
        <f t="shared" si="793"/>
        <v>0</v>
      </c>
      <c r="GG48" s="54"/>
      <c r="GH48" s="51">
        <f>GD48*$GH$43</f>
        <v>1.6223625</v>
      </c>
      <c r="GI48" s="51">
        <f>GE48*$GI$43</f>
        <v>0</v>
      </c>
      <c r="GJ48" s="51">
        <f t="shared" si="794"/>
        <v>0</v>
      </c>
      <c r="GK48" s="54"/>
      <c r="GL48" s="51">
        <f>GH48*$GL$43</f>
        <v>1.6223625</v>
      </c>
      <c r="GM48" s="51">
        <f>GI48*$GM$43</f>
        <v>0</v>
      </c>
      <c r="GN48" s="51">
        <f t="shared" si="795"/>
        <v>0</v>
      </c>
      <c r="GP48" s="51">
        <f t="shared" si="734"/>
        <v>1.6223625</v>
      </c>
      <c r="GQ48" s="51">
        <f t="shared" si="735"/>
        <v>0</v>
      </c>
      <c r="GR48" s="51">
        <f t="shared" si="796"/>
        <v>0</v>
      </c>
      <c r="GS48" s="54"/>
      <c r="GT48" s="51">
        <f>GP48*$GT$43</f>
        <v>1.6223625</v>
      </c>
      <c r="GU48" s="51">
        <f>GQ48*$GU$43</f>
        <v>0</v>
      </c>
      <c r="GV48" s="51">
        <f t="shared" si="797"/>
        <v>0</v>
      </c>
      <c r="GW48" s="54"/>
      <c r="GX48" s="51">
        <f>GT48*$GX$43</f>
        <v>1.6223625</v>
      </c>
      <c r="GY48" s="51">
        <f>GU48*$GY$43</f>
        <v>0</v>
      </c>
      <c r="GZ48" s="51">
        <f t="shared" si="798"/>
        <v>0</v>
      </c>
      <c r="HA48" s="54"/>
      <c r="HB48" s="51">
        <f>GX48*$HB$43</f>
        <v>1.6223625</v>
      </c>
      <c r="HC48" s="51">
        <f>GY48*$HC$43</f>
        <v>0</v>
      </c>
      <c r="HD48" s="51">
        <f t="shared" si="799"/>
        <v>0</v>
      </c>
      <c r="HE48" s="54"/>
      <c r="HF48" s="51">
        <f>HB48*$HF$43</f>
        <v>2.59578</v>
      </c>
      <c r="HG48" s="51">
        <f>HC48*$HG$43</f>
        <v>0</v>
      </c>
      <c r="HH48" s="51">
        <f t="shared" si="800"/>
        <v>0</v>
      </c>
      <c r="HI48" s="54"/>
      <c r="HJ48" s="51">
        <f>HF48*$HJ$43</f>
        <v>2.59578</v>
      </c>
      <c r="HK48" s="51">
        <f>HG48*$HK$43</f>
        <v>0</v>
      </c>
      <c r="HL48" s="51">
        <f t="shared" si="801"/>
        <v>0</v>
      </c>
      <c r="HM48" s="54"/>
      <c r="HN48" s="51">
        <f>HJ48*$HN$43</f>
        <v>2.59578</v>
      </c>
      <c r="HO48" s="51">
        <f>HK48*$HO$43</f>
        <v>0</v>
      </c>
      <c r="HP48" s="51">
        <f t="shared" si="802"/>
        <v>0</v>
      </c>
      <c r="HQ48" s="54"/>
      <c r="HR48" s="51">
        <f>HN48*$HR$43</f>
        <v>2.59578</v>
      </c>
      <c r="HS48" s="51">
        <f>HO48*$HS$43</f>
        <v>0</v>
      </c>
      <c r="HT48" s="51">
        <f t="shared" si="803"/>
        <v>0</v>
      </c>
      <c r="HU48" s="54"/>
      <c r="HV48" s="51">
        <f>HR48*$HV$43</f>
        <v>2.59578</v>
      </c>
      <c r="HW48" s="51">
        <f>HS48*$HW$43</f>
        <v>0</v>
      </c>
      <c r="HX48" s="51">
        <f t="shared" si="804"/>
        <v>0</v>
      </c>
      <c r="HY48" s="54"/>
      <c r="HZ48" s="51">
        <f>HV48*$HZ$43</f>
        <v>2.59578</v>
      </c>
      <c r="IA48" s="51">
        <f>HW48*$IA$43</f>
        <v>0</v>
      </c>
      <c r="IB48" s="51">
        <f t="shared" si="805"/>
        <v>0</v>
      </c>
      <c r="IC48" s="54"/>
      <c r="ID48" s="51">
        <f>HZ48*$ID$43</f>
        <v>2.59578</v>
      </c>
      <c r="IE48" s="51">
        <f>IA48*$IE$43</f>
        <v>0</v>
      </c>
      <c r="IF48" s="51">
        <f t="shared" si="806"/>
        <v>0</v>
      </c>
      <c r="IG48" s="54"/>
      <c r="IH48" s="51">
        <f>ID48*$IH$43</f>
        <v>2.59578</v>
      </c>
      <c r="II48" s="51">
        <f>IE48*$II$43</f>
        <v>0</v>
      </c>
      <c r="IJ48" s="51">
        <f t="shared" si="807"/>
        <v>0</v>
      </c>
      <c r="IL48" s="51">
        <f t="shared" si="736"/>
        <v>2.59578</v>
      </c>
      <c r="IM48" s="51">
        <f t="shared" si="737"/>
        <v>0</v>
      </c>
      <c r="IN48" s="51">
        <f t="shared" si="808"/>
        <v>0</v>
      </c>
      <c r="IO48" s="54"/>
      <c r="IP48" s="51">
        <f>IL48*$IP$43</f>
        <v>2.59578</v>
      </c>
      <c r="IQ48" s="51">
        <f>IM48*$IQ$43</f>
        <v>0</v>
      </c>
      <c r="IR48" s="51">
        <f t="shared" si="809"/>
        <v>0</v>
      </c>
      <c r="IS48" s="54"/>
      <c r="IT48" s="51">
        <f>IP48*$IT$43</f>
        <v>2.59578</v>
      </c>
      <c r="IU48" s="51">
        <f>IQ48*$IU$43</f>
        <v>0</v>
      </c>
      <c r="IV48" s="51">
        <f t="shared" si="810"/>
        <v>0</v>
      </c>
      <c r="IW48" s="54"/>
      <c r="IX48" s="51">
        <f>IT48*$IX$43</f>
        <v>2.59578</v>
      </c>
      <c r="IY48" s="51">
        <f>IU48*$IY$43</f>
        <v>0</v>
      </c>
      <c r="IZ48" s="51">
        <f t="shared" si="811"/>
        <v>0</v>
      </c>
      <c r="JA48" s="54"/>
      <c r="JB48" s="51" t="e">
        <f>IX48*$JB$43</f>
        <v>#REF!</v>
      </c>
      <c r="JC48" s="51">
        <f>IY48*$JC$43</f>
        <v>0</v>
      </c>
      <c r="JD48" s="51">
        <f t="shared" si="812"/>
        <v>0</v>
      </c>
      <c r="JE48" s="54"/>
      <c r="JF48" s="51" t="e">
        <f>JB48*$JF$43</f>
        <v>#REF!</v>
      </c>
      <c r="JG48" s="51">
        <f>JC48*$JG$43</f>
        <v>0</v>
      </c>
      <c r="JH48" s="51">
        <f t="shared" si="813"/>
        <v>0</v>
      </c>
      <c r="JI48" s="54"/>
      <c r="JJ48" s="51" t="e">
        <f>JF48*$JJ$43</f>
        <v>#REF!</v>
      </c>
      <c r="JK48" s="51">
        <f>JG48*$JK$43</f>
        <v>0</v>
      </c>
      <c r="JL48" s="51">
        <f t="shared" si="814"/>
        <v>0</v>
      </c>
      <c r="JM48" s="54"/>
      <c r="JO48" s="80"/>
      <c r="JP48" s="80"/>
      <c r="JQ48" s="80">
        <f t="shared" si="738"/>
        <v>0</v>
      </c>
      <c r="JS48" s="80"/>
      <c r="JT48" s="80"/>
      <c r="JU48" s="80">
        <f t="shared" si="739"/>
        <v>0</v>
      </c>
      <c r="JW48" s="80"/>
      <c r="JX48" s="80"/>
      <c r="JY48" s="80">
        <f t="shared" si="740"/>
        <v>0</v>
      </c>
      <c r="KA48" s="80"/>
      <c r="KB48" s="80"/>
      <c r="KC48" s="80">
        <f t="shared" si="741"/>
        <v>0</v>
      </c>
      <c r="KE48" s="80"/>
      <c r="KF48" s="80"/>
      <c r="KG48" s="80">
        <f t="shared" si="742"/>
        <v>0</v>
      </c>
      <c r="KI48" s="80"/>
      <c r="KJ48" s="80"/>
      <c r="KK48" s="80">
        <f t="shared" si="743"/>
        <v>0</v>
      </c>
      <c r="KM48" s="80"/>
      <c r="KN48" s="80"/>
      <c r="KO48" s="80">
        <f t="shared" si="744"/>
        <v>0</v>
      </c>
    </row>
    <row r="49" ht="18.75" customHeight="1" spans="2:301" x14ac:dyDescent="0.25">
      <c r="B49" s="5" t="str">
        <f>A.IIOPEX!C49</f>
        <v>4e</v>
      </c>
      <c r="C49" s="27"/>
      <c r="D49" s="29">
        <f>A.IIOPEX!E49</f>
        <v>0</v>
      </c>
      <c r="E49" s="30"/>
      <c r="F49" s="51">
        <v>1</v>
      </c>
      <c r="G49" s="51"/>
      <c r="H49" s="51">
        <f>A.IIOPEX!I49</f>
        <v>0</v>
      </c>
      <c r="I49" s="54"/>
      <c r="J49" s="51">
        <f t="shared" si="724"/>
        <v>0.5</v>
      </c>
      <c r="K49" s="51"/>
      <c r="L49" s="51">
        <f t="shared" si="745"/>
        <v>0</v>
      </c>
      <c r="M49" s="54"/>
      <c r="N49" s="51">
        <f t="shared" si="725"/>
        <v>0.5</v>
      </c>
      <c r="O49" s="51"/>
      <c r="P49" s="51">
        <f t="shared" si="746"/>
        <v>0</v>
      </c>
      <c r="Q49" s="54"/>
      <c r="R49" s="51">
        <f t="shared" si="726"/>
        <v>0.5</v>
      </c>
      <c r="S49" s="51"/>
      <c r="T49" s="51">
        <f t="shared" si="747"/>
        <v>0</v>
      </c>
      <c r="U49" s="54"/>
      <c r="V49" s="51">
        <f t="shared" si="727"/>
        <v>0.5</v>
      </c>
      <c r="W49" s="51"/>
      <c r="X49" s="51">
        <f t="shared" si="748"/>
        <v>0</v>
      </c>
      <c r="Y49" s="54"/>
      <c r="Z49" s="51">
        <f t="shared" si="728"/>
        <v>0.5</v>
      </c>
      <c r="AA49" s="51"/>
      <c r="AB49" s="51">
        <f t="shared" si="749"/>
        <v>0</v>
      </c>
      <c r="AC49" s="54"/>
      <c r="AD49" s="51">
        <f t="shared" si="750"/>
        <v>0.5</v>
      </c>
      <c r="AE49" s="51"/>
      <c r="AF49" s="51">
        <f t="shared" si="751"/>
        <v>0</v>
      </c>
      <c r="AG49" s="54"/>
      <c r="AH49" s="51">
        <f t="shared" si="752"/>
        <v>0.575</v>
      </c>
      <c r="AI49" s="51"/>
      <c r="AJ49" s="51">
        <f t="shared" si="753"/>
        <v>0</v>
      </c>
      <c r="AK49" s="54"/>
      <c r="AL49" s="51">
        <f>AH49*$AL$43</f>
        <v>0.575</v>
      </c>
      <c r="AM49" s="51"/>
      <c r="AN49" s="51">
        <f t="shared" si="754"/>
        <v>0</v>
      </c>
      <c r="AO49" s="54"/>
      <c r="AP49" s="51">
        <f t="shared" si="755"/>
        <v>0.575</v>
      </c>
      <c r="AQ49" s="51"/>
      <c r="AR49" s="51">
        <f t="shared" si="756"/>
        <v>0</v>
      </c>
      <c r="AS49" s="54"/>
      <c r="AT49" s="51">
        <f t="shared" si="815"/>
        <v>0.575</v>
      </c>
      <c r="AU49" s="51"/>
      <c r="AV49" s="51">
        <f t="shared" si="757"/>
        <v>0</v>
      </c>
      <c r="AW49" s="54"/>
      <c r="AX49" s="51">
        <f t="shared" si="758"/>
        <v>0.575</v>
      </c>
      <c r="AY49" s="51"/>
      <c r="AZ49" s="51">
        <f t="shared" si="759"/>
        <v>0</v>
      </c>
      <c r="BA49" s="54"/>
      <c r="BB49" s="51">
        <f t="shared" si="729"/>
        <v>0.575</v>
      </c>
      <c r="BC49" s="51"/>
      <c r="BD49" s="51">
        <f t="shared" si="760"/>
        <v>0</v>
      </c>
      <c r="BE49" s="54"/>
      <c r="BF49" s="51">
        <f>BB49*$BF$43</f>
        <v>0.575</v>
      </c>
      <c r="BG49" s="51"/>
      <c r="BH49" s="51">
        <f t="shared" si="761"/>
        <v>0</v>
      </c>
      <c r="BI49" s="54"/>
      <c r="BJ49" s="51">
        <f>BF49*$BJ$43</f>
        <v>0.575</v>
      </c>
      <c r="BK49" s="51">
        <f>BG49*$BK$43</f>
        <v>0</v>
      </c>
      <c r="BL49" s="51">
        <f t="shared" si="762"/>
        <v>0</v>
      </c>
      <c r="BM49" s="54"/>
      <c r="BN49" s="51">
        <f>BJ49*$BN$43</f>
        <v>0.575</v>
      </c>
      <c r="BO49" s="51">
        <f>BK49*$BO$43</f>
        <v>0</v>
      </c>
      <c r="BP49" s="51">
        <f t="shared" si="763"/>
        <v>0</v>
      </c>
      <c r="BQ49" s="54"/>
      <c r="BR49" s="51">
        <f>BN49*$BR$43</f>
        <v>0.575</v>
      </c>
      <c r="BS49" s="51">
        <f>BO49*$BS$43</f>
        <v>0</v>
      </c>
      <c r="BT49" s="51">
        <f t="shared" si="764"/>
        <v>0</v>
      </c>
      <c r="BU49" s="54"/>
      <c r="BV49" s="51">
        <f>BR49*$BV$43</f>
        <v>0.575</v>
      </c>
      <c r="BW49" s="51">
        <f>BS49*$BW$43</f>
        <v>0</v>
      </c>
      <c r="BX49" s="51">
        <f t="shared" si="765"/>
        <v>0</v>
      </c>
      <c r="BY49" s="54"/>
      <c r="BZ49" s="51">
        <f>BV49*$BZ$43</f>
        <v>0.575</v>
      </c>
      <c r="CA49" s="51">
        <f>BW49*$CA$43</f>
        <v>0</v>
      </c>
      <c r="CB49" s="51">
        <f t="shared" si="766"/>
        <v>0</v>
      </c>
      <c r="CC49" s="54"/>
      <c r="CD49" s="51">
        <f>BZ49*$CD$43</f>
        <v>0.6325</v>
      </c>
      <c r="CE49" s="51">
        <f>CA49*$CE$43</f>
        <v>0</v>
      </c>
      <c r="CF49" s="51">
        <f t="shared" si="767"/>
        <v>0</v>
      </c>
      <c r="CG49" s="54"/>
      <c r="CH49" s="51">
        <f>CD49*$CH$43</f>
        <v>0.6325</v>
      </c>
      <c r="CI49" s="51">
        <f>CE49*$CI$43</f>
        <v>0</v>
      </c>
      <c r="CJ49" s="51">
        <f t="shared" si="768"/>
        <v>0</v>
      </c>
      <c r="CK49" s="54"/>
      <c r="CL49" s="51">
        <f>CH49*$CL$43</f>
        <v>0.6325</v>
      </c>
      <c r="CM49" s="51">
        <f>CI49*$CM$43</f>
        <v>0</v>
      </c>
      <c r="CN49" s="51">
        <f t="shared" si="769"/>
        <v>0</v>
      </c>
      <c r="CO49" s="54"/>
      <c r="CP49" s="51">
        <f>CL49*$CP$43</f>
        <v>0.6325</v>
      </c>
      <c r="CQ49" s="51">
        <f>CM49*$CQ$43</f>
        <v>0</v>
      </c>
      <c r="CR49" s="51">
        <f t="shared" si="770"/>
        <v>0</v>
      </c>
      <c r="CS49" s="54"/>
      <c r="CT49" s="51">
        <f>CP49*$CT$43</f>
        <v>0.6325</v>
      </c>
      <c r="CU49" s="51">
        <f>CQ49*$CU$43</f>
        <v>0</v>
      </c>
      <c r="CV49" s="51">
        <f t="shared" si="771"/>
        <v>0</v>
      </c>
      <c r="CW49" s="54"/>
      <c r="CX49" s="51">
        <f t="shared" si="730"/>
        <v>0.6325</v>
      </c>
      <c r="CY49" s="51">
        <f t="shared" si="731"/>
        <v>0</v>
      </c>
      <c r="CZ49" s="51">
        <f t="shared" si="772"/>
        <v>0</v>
      </c>
      <c r="DA49" s="54"/>
      <c r="DB49" s="51">
        <f>CX49*$DB$43</f>
        <v>0.6325</v>
      </c>
      <c r="DC49" s="51">
        <f>CY49*$DC$43</f>
        <v>0</v>
      </c>
      <c r="DD49" s="51">
        <f t="shared" si="773"/>
        <v>0</v>
      </c>
      <c r="DE49" s="54"/>
      <c r="DF49" s="51">
        <f>DB49*$DF$43</f>
        <v>0.6325</v>
      </c>
      <c r="DG49" s="51">
        <f>DC49*$DG$43</f>
        <v>0</v>
      </c>
      <c r="DH49" s="51">
        <f t="shared" si="774"/>
        <v>0</v>
      </c>
      <c r="DI49" s="54"/>
      <c r="DJ49" s="51">
        <f>DF49*$DJ$43</f>
        <v>0.6325</v>
      </c>
      <c r="DK49" s="51">
        <f>DG49*$DK$43</f>
        <v>0</v>
      </c>
      <c r="DL49" s="51">
        <f t="shared" si="775"/>
        <v>0</v>
      </c>
      <c r="DM49" s="54"/>
      <c r="DN49" s="51">
        <f>DJ49*$DN$43</f>
        <v>0.6325</v>
      </c>
      <c r="DO49" s="51">
        <f>DK49*$DO$43</f>
        <v>0</v>
      </c>
      <c r="DP49" s="51">
        <f t="shared" si="776"/>
        <v>0</v>
      </c>
      <c r="DQ49" s="54"/>
      <c r="DR49" s="51">
        <f>DN49*$DR$43</f>
        <v>0.6325</v>
      </c>
      <c r="DS49" s="51">
        <f>DO49*$DS$43</f>
        <v>0</v>
      </c>
      <c r="DT49" s="51">
        <f t="shared" si="777"/>
        <v>0</v>
      </c>
      <c r="DU49" s="54"/>
      <c r="DV49" s="51">
        <f>DR49*$DV$43</f>
        <v>0.6325</v>
      </c>
      <c r="DW49" s="51">
        <f>DS49*$DW$43</f>
        <v>0</v>
      </c>
      <c r="DX49" s="51">
        <f t="shared" si="778"/>
        <v>0</v>
      </c>
      <c r="DY49" s="54"/>
      <c r="DZ49" s="51">
        <f>DV49*$DZ$43</f>
        <v>1.2017499999999999</v>
      </c>
      <c r="EA49" s="51">
        <f>DW49*$EA$43</f>
        <v>0</v>
      </c>
      <c r="EB49" s="51">
        <f t="shared" si="779"/>
        <v>0</v>
      </c>
      <c r="EC49" s="54"/>
      <c r="ED49" s="51">
        <f>DZ49*$ED$43</f>
        <v>1.2017499999999999</v>
      </c>
      <c r="EE49" s="51">
        <f>EA49*$EE$43</f>
        <v>0</v>
      </c>
      <c r="EF49" s="51">
        <f t="shared" si="780"/>
        <v>0</v>
      </c>
      <c r="EG49" s="54"/>
      <c r="EH49" s="51">
        <f>ED49*$EH$43</f>
        <v>1.2017499999999999</v>
      </c>
      <c r="EI49" s="51">
        <f>EE49*$EI$43</f>
        <v>0</v>
      </c>
      <c r="EJ49" s="51">
        <f t="shared" si="781"/>
        <v>0</v>
      </c>
      <c r="EK49" s="54"/>
      <c r="EL49" s="51">
        <f>EH49*$EL$43</f>
        <v>1.2017499999999999</v>
      </c>
      <c r="EM49" s="51">
        <f>EI49*$EM$43</f>
        <v>0</v>
      </c>
      <c r="EN49" s="51">
        <f t="shared" si="782"/>
        <v>0</v>
      </c>
      <c r="EO49" s="54"/>
      <c r="EP49" s="51">
        <f>EL49*$EP$43</f>
        <v>1.2017499999999999</v>
      </c>
      <c r="EQ49" s="51">
        <f>EM49*$EQ$43</f>
        <v>0</v>
      </c>
      <c r="ER49" s="51">
        <f t="shared" si="783"/>
        <v>0</v>
      </c>
      <c r="ES49" s="54"/>
      <c r="ET49" s="51">
        <f t="shared" si="732"/>
        <v>1.2017499999999999</v>
      </c>
      <c r="EU49" s="51">
        <f t="shared" si="733"/>
        <v>0</v>
      </c>
      <c r="EV49" s="51">
        <f t="shared" si="784"/>
        <v>0</v>
      </c>
      <c r="EW49" s="54"/>
      <c r="EX49" s="51">
        <f>ET49*$EX$43</f>
        <v>1.2017499999999999</v>
      </c>
      <c r="EY49" s="51">
        <f>EU49*$EY$43</f>
        <v>0</v>
      </c>
      <c r="EZ49" s="51">
        <f t="shared" si="785"/>
        <v>0</v>
      </c>
      <c r="FA49" s="54"/>
      <c r="FB49" s="51">
        <f>EX49*$FB$43</f>
        <v>1.2017499999999999</v>
      </c>
      <c r="FC49" s="51">
        <f>EY49*$FC$43</f>
        <v>0</v>
      </c>
      <c r="FD49" s="51">
        <f t="shared" si="786"/>
        <v>0</v>
      </c>
      <c r="FE49" s="54"/>
      <c r="FF49" s="51">
        <f>FB49*$FF$43</f>
        <v>1.2017499999999999</v>
      </c>
      <c r="FG49" s="51">
        <f>FC49*$FG$43</f>
        <v>0</v>
      </c>
      <c r="FH49" s="51">
        <f t="shared" si="787"/>
        <v>0</v>
      </c>
      <c r="FI49" s="54"/>
      <c r="FJ49" s="51">
        <f>FF49*$FJ$43</f>
        <v>1.6223625</v>
      </c>
      <c r="FK49" s="51">
        <f>FG49*$FK$43</f>
        <v>0</v>
      </c>
      <c r="FL49" s="51">
        <f t="shared" si="788"/>
        <v>0</v>
      </c>
      <c r="FM49" s="54"/>
      <c r="FN49" s="51">
        <f>FJ49*$FN$43</f>
        <v>1.6223625</v>
      </c>
      <c r="FO49" s="51">
        <f>FK49*$FO$43</f>
        <v>0</v>
      </c>
      <c r="FP49" s="51">
        <f t="shared" si="789"/>
        <v>0</v>
      </c>
      <c r="FQ49" s="54"/>
      <c r="FR49" s="51">
        <f>FN49*$FR$43</f>
        <v>1.6223625</v>
      </c>
      <c r="FS49" s="51">
        <f>FO49*$FS$43</f>
        <v>0</v>
      </c>
      <c r="FT49" s="51">
        <f t="shared" si="790"/>
        <v>0</v>
      </c>
      <c r="FU49" s="54"/>
      <c r="FV49" s="51">
        <f>FR49*$FV$43</f>
        <v>1.6223625</v>
      </c>
      <c r="FW49" s="51">
        <f>FS49*$FW$43</f>
        <v>0</v>
      </c>
      <c r="FX49" s="51">
        <f t="shared" si="791"/>
        <v>0</v>
      </c>
      <c r="FY49" s="54"/>
      <c r="FZ49" s="51">
        <f>FV49*$FZ$43</f>
        <v>1.6223625</v>
      </c>
      <c r="GA49" s="51">
        <f>FW49*$GA$43</f>
        <v>0</v>
      </c>
      <c r="GB49" s="51">
        <f t="shared" si="792"/>
        <v>0</v>
      </c>
      <c r="GC49" s="54"/>
      <c r="GD49" s="51">
        <f>FZ49*$GD$43</f>
        <v>1.6223625</v>
      </c>
      <c r="GE49" s="51">
        <f>GA49*$GE$43</f>
        <v>0</v>
      </c>
      <c r="GF49" s="51">
        <f t="shared" si="793"/>
        <v>0</v>
      </c>
      <c r="GG49" s="54"/>
      <c r="GH49" s="51">
        <f>GD49*$GH$43</f>
        <v>1.6223625</v>
      </c>
      <c r="GI49" s="51">
        <f>GE49*$GI$43</f>
        <v>0</v>
      </c>
      <c r="GJ49" s="51">
        <f t="shared" si="794"/>
        <v>0</v>
      </c>
      <c r="GK49" s="54"/>
      <c r="GL49" s="51">
        <f>GH49*$GL$43</f>
        <v>1.6223625</v>
      </c>
      <c r="GM49" s="51">
        <f>GI49*$GM$43</f>
        <v>0</v>
      </c>
      <c r="GN49" s="51">
        <f t="shared" si="795"/>
        <v>0</v>
      </c>
      <c r="GP49" s="51">
        <f t="shared" si="734"/>
        <v>1.6223625</v>
      </c>
      <c r="GQ49" s="51">
        <f t="shared" si="735"/>
        <v>0</v>
      </c>
      <c r="GR49" s="51">
        <f t="shared" si="796"/>
        <v>0</v>
      </c>
      <c r="GS49" s="54"/>
      <c r="GT49" s="51">
        <f>GP49*$GT$43</f>
        <v>1.6223625</v>
      </c>
      <c r="GU49" s="51">
        <f>GQ49*$GU$43</f>
        <v>0</v>
      </c>
      <c r="GV49" s="51">
        <f t="shared" si="797"/>
        <v>0</v>
      </c>
      <c r="GW49" s="54"/>
      <c r="GX49" s="51">
        <f>GT49*$GX$43</f>
        <v>1.6223625</v>
      </c>
      <c r="GY49" s="51">
        <f>GU49*$GY$43</f>
        <v>0</v>
      </c>
      <c r="GZ49" s="51">
        <f t="shared" si="798"/>
        <v>0</v>
      </c>
      <c r="HA49" s="54"/>
      <c r="HB49" s="51">
        <f>GX49*$HB$43</f>
        <v>1.6223625</v>
      </c>
      <c r="HC49" s="51">
        <f>GY49*$HC$43</f>
        <v>0</v>
      </c>
      <c r="HD49" s="51">
        <f t="shared" si="799"/>
        <v>0</v>
      </c>
      <c r="HE49" s="54"/>
      <c r="HF49" s="51">
        <f>HB49*$HF$43</f>
        <v>2.59578</v>
      </c>
      <c r="HG49" s="51">
        <f>HC49*$HG$43</f>
        <v>0</v>
      </c>
      <c r="HH49" s="51">
        <f t="shared" si="800"/>
        <v>0</v>
      </c>
      <c r="HI49" s="54"/>
      <c r="HJ49" s="51">
        <f>HF49*$HJ$43</f>
        <v>2.59578</v>
      </c>
      <c r="HK49" s="51">
        <f>HG49*$HK$43</f>
        <v>0</v>
      </c>
      <c r="HL49" s="51">
        <f t="shared" si="801"/>
        <v>0</v>
      </c>
      <c r="HM49" s="54"/>
      <c r="HN49" s="51">
        <f>HJ49*$HN$43</f>
        <v>2.59578</v>
      </c>
      <c r="HO49" s="51">
        <f>HK49*$HO$43</f>
        <v>0</v>
      </c>
      <c r="HP49" s="51">
        <f t="shared" si="802"/>
        <v>0</v>
      </c>
      <c r="HQ49" s="54"/>
      <c r="HR49" s="51">
        <f>HN49*$HR$43</f>
        <v>2.59578</v>
      </c>
      <c r="HS49" s="51">
        <f>HO49*$HS$43</f>
        <v>0</v>
      </c>
      <c r="HT49" s="51">
        <f t="shared" si="803"/>
        <v>0</v>
      </c>
      <c r="HU49" s="54"/>
      <c r="HV49" s="51">
        <f>HR49*$HV$43</f>
        <v>2.59578</v>
      </c>
      <c r="HW49" s="51">
        <f>HS49*$HW$43</f>
        <v>0</v>
      </c>
      <c r="HX49" s="51">
        <f t="shared" si="804"/>
        <v>0</v>
      </c>
      <c r="HY49" s="54"/>
      <c r="HZ49" s="51">
        <f>HV49*$HZ$43</f>
        <v>2.59578</v>
      </c>
      <c r="IA49" s="51">
        <f>HW49*$IA$43</f>
        <v>0</v>
      </c>
      <c r="IB49" s="51">
        <f t="shared" si="805"/>
        <v>0</v>
      </c>
      <c r="IC49" s="54"/>
      <c r="ID49" s="51">
        <f>HZ49*$ID$43</f>
        <v>2.59578</v>
      </c>
      <c r="IE49" s="51">
        <f>IA49*$IE$43</f>
        <v>0</v>
      </c>
      <c r="IF49" s="51">
        <f t="shared" si="806"/>
        <v>0</v>
      </c>
      <c r="IG49" s="54"/>
      <c r="IH49" s="51">
        <f>ID49*$IH$43</f>
        <v>2.59578</v>
      </c>
      <c r="II49" s="51">
        <f>IE49*$II$43</f>
        <v>0</v>
      </c>
      <c r="IJ49" s="51">
        <f t="shared" si="807"/>
        <v>0</v>
      </c>
      <c r="IL49" s="51">
        <f t="shared" si="736"/>
        <v>2.59578</v>
      </c>
      <c r="IM49" s="51">
        <f t="shared" si="737"/>
        <v>0</v>
      </c>
      <c r="IN49" s="51">
        <f t="shared" si="808"/>
        <v>0</v>
      </c>
      <c r="IO49" s="54"/>
      <c r="IP49" s="51">
        <f>IL49*$IP$43</f>
        <v>2.59578</v>
      </c>
      <c r="IQ49" s="51">
        <f>IM49*$IQ$43</f>
        <v>0</v>
      </c>
      <c r="IR49" s="51">
        <f t="shared" si="809"/>
        <v>0</v>
      </c>
      <c r="IS49" s="54"/>
      <c r="IT49" s="51">
        <f>IP49*$IT$43</f>
        <v>2.59578</v>
      </c>
      <c r="IU49" s="51">
        <f>IQ49*$IU$43</f>
        <v>0</v>
      </c>
      <c r="IV49" s="51">
        <f t="shared" si="810"/>
        <v>0</v>
      </c>
      <c r="IW49" s="54"/>
      <c r="IX49" s="51">
        <f>IT49*$IX$43</f>
        <v>2.59578</v>
      </c>
      <c r="IY49" s="51">
        <f>IU49*$IY$43</f>
        <v>0</v>
      </c>
      <c r="IZ49" s="51">
        <f t="shared" si="811"/>
        <v>0</v>
      </c>
      <c r="JA49" s="54"/>
      <c r="JB49" s="51" t="e">
        <f>IX49*$JB$43</f>
        <v>#REF!</v>
      </c>
      <c r="JC49" s="51">
        <f>IY49*$JC$43</f>
        <v>0</v>
      </c>
      <c r="JD49" s="51">
        <f t="shared" si="812"/>
        <v>0</v>
      </c>
      <c r="JE49" s="54"/>
      <c r="JF49" s="51" t="e">
        <f>JB49*$JF$43</f>
        <v>#REF!</v>
      </c>
      <c r="JG49" s="51">
        <f>JC49*$JG$43</f>
        <v>0</v>
      </c>
      <c r="JH49" s="51">
        <f t="shared" si="813"/>
        <v>0</v>
      </c>
      <c r="JI49" s="54"/>
      <c r="JJ49" s="51" t="e">
        <f>JF49*$JJ$43</f>
        <v>#REF!</v>
      </c>
      <c r="JK49" s="51">
        <f>JG49*$JK$43</f>
        <v>0</v>
      </c>
      <c r="JL49" s="51">
        <f t="shared" si="814"/>
        <v>0</v>
      </c>
      <c r="JM49" s="54"/>
      <c r="JO49" s="80"/>
      <c r="JP49" s="80"/>
      <c r="JQ49" s="80">
        <f t="shared" si="738"/>
        <v>0</v>
      </c>
      <c r="JS49" s="80"/>
      <c r="JT49" s="80"/>
      <c r="JU49" s="80">
        <f t="shared" si="739"/>
        <v>0</v>
      </c>
      <c r="JW49" s="80"/>
      <c r="JX49" s="80"/>
      <c r="JY49" s="80">
        <f t="shared" si="740"/>
        <v>0</v>
      </c>
      <c r="KA49" s="80"/>
      <c r="KB49" s="80"/>
      <c r="KC49" s="80">
        <f t="shared" si="741"/>
        <v>0</v>
      </c>
      <c r="KE49" s="80"/>
      <c r="KF49" s="80"/>
      <c r="KG49" s="80">
        <f t="shared" si="742"/>
        <v>0</v>
      </c>
      <c r="KI49" s="80"/>
      <c r="KJ49" s="80"/>
      <c r="KK49" s="80">
        <f t="shared" si="743"/>
        <v>0</v>
      </c>
      <c r="KM49" s="80"/>
      <c r="KN49" s="80"/>
      <c r="KO49" s="80">
        <f t="shared" si="744"/>
        <v>0</v>
      </c>
    </row>
    <row r="50" ht="18.75" customHeight="1" spans="2:301" x14ac:dyDescent="0.25">
      <c r="B50" s="5" t="str">
        <f>A.IIOPEX!C50</f>
        <v>4f</v>
      </c>
      <c r="C50" s="27"/>
      <c r="D50" s="29">
        <f>A.IIOPEX!E50</f>
        <v>0</v>
      </c>
      <c r="E50" s="30"/>
      <c r="F50" s="51">
        <v>1</v>
      </c>
      <c r="G50" s="51"/>
      <c r="H50" s="51">
        <f>A.IIOPEX!I50</f>
        <v>0</v>
      </c>
      <c r="I50" s="54"/>
      <c r="J50" s="51">
        <f t="shared" si="724"/>
        <v>0.5</v>
      </c>
      <c r="K50" s="51"/>
      <c r="L50" s="51">
        <f t="shared" si="745"/>
        <v>0</v>
      </c>
      <c r="M50" s="54"/>
      <c r="N50" s="51">
        <f t="shared" si="725"/>
        <v>0.5</v>
      </c>
      <c r="O50" s="51"/>
      <c r="P50" s="51">
        <f t="shared" si="746"/>
        <v>0</v>
      </c>
      <c r="Q50" s="54"/>
      <c r="R50" s="51">
        <f t="shared" si="726"/>
        <v>0.5</v>
      </c>
      <c r="S50" s="51"/>
      <c r="T50" s="51">
        <f t="shared" si="747"/>
        <v>0</v>
      </c>
      <c r="U50" s="54"/>
      <c r="V50" s="51">
        <f t="shared" si="727"/>
        <v>0.5</v>
      </c>
      <c r="W50" s="51"/>
      <c r="X50" s="51">
        <f t="shared" si="748"/>
        <v>0</v>
      </c>
      <c r="Y50" s="54"/>
      <c r="Z50" s="51">
        <f t="shared" si="728"/>
        <v>0.5</v>
      </c>
      <c r="AA50" s="51"/>
      <c r="AB50" s="51">
        <f t="shared" si="749"/>
        <v>0</v>
      </c>
      <c r="AC50" s="54"/>
      <c r="AD50" s="51">
        <f t="shared" si="750"/>
        <v>0.5</v>
      </c>
      <c r="AE50" s="51"/>
      <c r="AF50" s="51">
        <f t="shared" si="751"/>
        <v>0</v>
      </c>
      <c r="AG50" s="54"/>
      <c r="AH50" s="51">
        <f t="shared" si="752"/>
        <v>0.575</v>
      </c>
      <c r="AI50" s="51"/>
      <c r="AJ50" s="51">
        <f t="shared" si="753"/>
        <v>0</v>
      </c>
      <c r="AK50" s="54"/>
      <c r="AL50" s="51">
        <f t="shared" ref="AL50:AL53" si="816">AH50*$AL$43</f>
        <v>0.575</v>
      </c>
      <c r="AM50" s="51"/>
      <c r="AN50" s="51">
        <f t="shared" si="754"/>
        <v>0</v>
      </c>
      <c r="AO50" s="54"/>
      <c r="AP50" s="51">
        <f t="shared" ref="AP50:AP53" si="817">AL50*$AP$43</f>
        <v>0.575</v>
      </c>
      <c r="AQ50" s="51"/>
      <c r="AR50" s="51">
        <f t="shared" si="756"/>
        <v>0</v>
      </c>
      <c r="AS50" s="54"/>
      <c r="AT50" s="51">
        <f t="shared" ref="AT50:AT53" si="818">AP50*$AT$43</f>
        <v>0.575</v>
      </c>
      <c r="AU50" s="51"/>
      <c r="AV50" s="51">
        <f t="shared" si="757"/>
        <v>0</v>
      </c>
      <c r="AW50" s="54"/>
      <c r="AX50" s="51">
        <f t="shared" ref="AX50:AX53" si="819">AT50*$AX$43</f>
        <v>0.575</v>
      </c>
      <c r="AY50" s="51"/>
      <c r="AZ50" s="51">
        <f t="shared" si="759"/>
        <v>0</v>
      </c>
      <c r="BA50" s="54"/>
      <c r="BB50" s="51">
        <f t="shared" si="729"/>
        <v>0.575</v>
      </c>
      <c r="BC50" s="51"/>
      <c r="BD50" s="51">
        <f t="shared" si="760"/>
        <v>0</v>
      </c>
      <c r="BE50" s="54"/>
      <c r="BF50" s="51">
        <f t="shared" ref="BF50:BF53" si="820">BB50*$BF$43</f>
        <v>0.575</v>
      </c>
      <c r="BG50" s="51"/>
      <c r="BH50" s="51">
        <f t="shared" si="761"/>
        <v>0</v>
      </c>
      <c r="BI50" s="54"/>
      <c r="BJ50" s="51">
        <f t="shared" ref="BJ50:BJ53" si="821">BF50*$BJ$43</f>
        <v>0.575</v>
      </c>
      <c r="BK50" s="51">
        <f t="shared" ref="BK50:BK53" si="822">BG50*$BK$43</f>
        <v>0</v>
      </c>
      <c r="BL50" s="51">
        <f t="shared" si="762"/>
        <v>0</v>
      </c>
      <c r="BM50" s="54"/>
      <c r="BN50" s="51">
        <f t="shared" ref="BN50:BN53" si="823">BJ50*$BN$43</f>
        <v>0.575</v>
      </c>
      <c r="BO50" s="51">
        <f t="shared" ref="BO50:BO53" si="824">BK50*$BO$43</f>
        <v>0</v>
      </c>
      <c r="BP50" s="51">
        <f t="shared" si="763"/>
        <v>0</v>
      </c>
      <c r="BQ50" s="54"/>
      <c r="BR50" s="51">
        <f t="shared" ref="BR50:BR53" si="825">BN50*$BR$43</f>
        <v>0.575</v>
      </c>
      <c r="BS50" s="51">
        <f t="shared" ref="BS50:BS53" si="826">BO50*$BS$43</f>
        <v>0</v>
      </c>
      <c r="BT50" s="51">
        <f t="shared" si="764"/>
        <v>0</v>
      </c>
      <c r="BU50" s="54"/>
      <c r="BV50" s="51">
        <f t="shared" ref="BV50:BV53" si="827">BR50*$BV$43</f>
        <v>0.575</v>
      </c>
      <c r="BW50" s="51">
        <f t="shared" ref="BW50:BW53" si="828">BS50*$BW$43</f>
        <v>0</v>
      </c>
      <c r="BX50" s="51">
        <f t="shared" si="765"/>
        <v>0</v>
      </c>
      <c r="BY50" s="54"/>
      <c r="BZ50" s="51">
        <f t="shared" ref="BZ50:BZ53" si="829">BV50*$BZ$43</f>
        <v>0.575</v>
      </c>
      <c r="CA50" s="51">
        <f t="shared" ref="CA50:CA53" si="830">BW50*$CA$43</f>
        <v>0</v>
      </c>
      <c r="CB50" s="51">
        <f t="shared" si="766"/>
        <v>0</v>
      </c>
      <c r="CC50" s="54"/>
      <c r="CD50" s="51">
        <f t="shared" ref="CD50:CD53" si="831">BZ50*$CD$43</f>
        <v>0.6325</v>
      </c>
      <c r="CE50" s="51">
        <f t="shared" ref="CE50:CE53" si="832">CA50*$CE$43</f>
        <v>0</v>
      </c>
      <c r="CF50" s="51">
        <f t="shared" si="767"/>
        <v>0</v>
      </c>
      <c r="CG50" s="54"/>
      <c r="CH50" s="51">
        <f t="shared" ref="CH50:CH53" si="833">CD50*$CH$43</f>
        <v>0.6325</v>
      </c>
      <c r="CI50" s="51">
        <f t="shared" ref="CI50:CI53" si="834">CE50*$CI$43</f>
        <v>0</v>
      </c>
      <c r="CJ50" s="51">
        <f t="shared" si="768"/>
        <v>0</v>
      </c>
      <c r="CK50" s="54"/>
      <c r="CL50" s="51">
        <f t="shared" ref="CL50:CL53" si="835">CH50*$CL$43</f>
        <v>0.6325</v>
      </c>
      <c r="CM50" s="51">
        <f t="shared" ref="CM50:CM53" si="836">CI50*$CM$43</f>
        <v>0</v>
      </c>
      <c r="CN50" s="51">
        <f t="shared" si="769"/>
        <v>0</v>
      </c>
      <c r="CO50" s="54"/>
      <c r="CP50" s="51">
        <f t="shared" ref="CP50:CP53" si="837">CL50*$CP$43</f>
        <v>0.6325</v>
      </c>
      <c r="CQ50" s="51">
        <f t="shared" ref="CQ50:CQ53" si="838">CM50*$CQ$43</f>
        <v>0</v>
      </c>
      <c r="CR50" s="51">
        <f t="shared" si="770"/>
        <v>0</v>
      </c>
      <c r="CS50" s="54"/>
      <c r="CT50" s="51">
        <f t="shared" ref="CT50:CT53" si="839">CP50*$CT$43</f>
        <v>0.6325</v>
      </c>
      <c r="CU50" s="51">
        <f t="shared" ref="CU50:CU53" si="840">CQ50*$CU$43</f>
        <v>0</v>
      </c>
      <c r="CV50" s="51">
        <f t="shared" si="771"/>
        <v>0</v>
      </c>
      <c r="CW50" s="54"/>
      <c r="CX50" s="51">
        <f t="shared" si="730"/>
        <v>0.6325</v>
      </c>
      <c r="CY50" s="51">
        <f t="shared" si="731"/>
        <v>0</v>
      </c>
      <c r="CZ50" s="51">
        <f t="shared" si="772"/>
        <v>0</v>
      </c>
      <c r="DA50" s="54"/>
      <c r="DB50" s="51">
        <f t="shared" ref="DB50:DB53" si="841">CX50*$DB$43</f>
        <v>0.6325</v>
      </c>
      <c r="DC50" s="51">
        <f t="shared" ref="DC50:DC53" si="842">CY50*$DC$43</f>
        <v>0</v>
      </c>
      <c r="DD50" s="51">
        <f t="shared" si="773"/>
        <v>0</v>
      </c>
      <c r="DE50" s="54"/>
      <c r="DF50" s="51">
        <f t="shared" ref="DF50:DF53" si="843">DB50*$DF$43</f>
        <v>0.6325</v>
      </c>
      <c r="DG50" s="51">
        <f t="shared" ref="DG50:DG53" si="844">DC50*$DG$43</f>
        <v>0</v>
      </c>
      <c r="DH50" s="51">
        <f t="shared" si="774"/>
        <v>0</v>
      </c>
      <c r="DI50" s="54"/>
      <c r="DJ50" s="51">
        <f t="shared" ref="DJ50:DJ53" si="845">DF50*$DJ$43</f>
        <v>0.6325</v>
      </c>
      <c r="DK50" s="51">
        <f t="shared" ref="DK50:DK53" si="846">DG50*$DK$43</f>
        <v>0</v>
      </c>
      <c r="DL50" s="51">
        <f t="shared" si="775"/>
        <v>0</v>
      </c>
      <c r="DM50" s="54"/>
      <c r="DN50" s="51">
        <f t="shared" ref="DN50:DN53" si="847">DJ50*$DN$43</f>
        <v>0.6325</v>
      </c>
      <c r="DO50" s="51">
        <f t="shared" ref="DO50:DO53" si="848">DK50*$DO$43</f>
        <v>0</v>
      </c>
      <c r="DP50" s="51">
        <f t="shared" si="776"/>
        <v>0</v>
      </c>
      <c r="DQ50" s="54"/>
      <c r="DR50" s="51">
        <f t="shared" ref="DR50:DR53" si="849">DN50*$DR$43</f>
        <v>0.6325</v>
      </c>
      <c r="DS50" s="51">
        <f t="shared" ref="DS50:DS53" si="850">DO50*$DS$43</f>
        <v>0</v>
      </c>
      <c r="DT50" s="51">
        <f t="shared" si="777"/>
        <v>0</v>
      </c>
      <c r="DU50" s="54"/>
      <c r="DV50" s="51">
        <f t="shared" ref="DV50:DV53" si="851">DR50*$DV$43</f>
        <v>0.6325</v>
      </c>
      <c r="DW50" s="51">
        <f t="shared" ref="DW50:DW53" si="852">DS50*$DW$43</f>
        <v>0</v>
      </c>
      <c r="DX50" s="51">
        <f t="shared" si="778"/>
        <v>0</v>
      </c>
      <c r="DY50" s="54"/>
      <c r="DZ50" s="51">
        <f t="shared" ref="DZ50:DZ53" si="853">DV50*$DZ$43</f>
        <v>1.2017499999999999</v>
      </c>
      <c r="EA50" s="51">
        <f t="shared" ref="EA50:EA53" si="854">DW50*$EA$43</f>
        <v>0</v>
      </c>
      <c r="EB50" s="51">
        <f t="shared" si="779"/>
        <v>0</v>
      </c>
      <c r="EC50" s="54"/>
      <c r="ED50" s="51">
        <f t="shared" ref="ED50:ED53" si="855">DZ50*$ED$43</f>
        <v>1.2017499999999999</v>
      </c>
      <c r="EE50" s="51">
        <f t="shared" ref="EE50:EE53" si="856">EA50*$EE$43</f>
        <v>0</v>
      </c>
      <c r="EF50" s="51">
        <f t="shared" si="780"/>
        <v>0</v>
      </c>
      <c r="EG50" s="54"/>
      <c r="EH50" s="51">
        <f t="shared" ref="EH50:EH53" si="857">ED50*$EH$43</f>
        <v>1.2017499999999999</v>
      </c>
      <c r="EI50" s="51">
        <f t="shared" ref="EI50:EI53" si="858">EE50*$EI$43</f>
        <v>0</v>
      </c>
      <c r="EJ50" s="51">
        <f t="shared" si="781"/>
        <v>0</v>
      </c>
      <c r="EK50" s="54"/>
      <c r="EL50" s="51">
        <f t="shared" ref="EL50:EL53" si="859">EH50*$EL$43</f>
        <v>1.2017499999999999</v>
      </c>
      <c r="EM50" s="51">
        <f t="shared" ref="EM50:EM53" si="860">EI50*$EM$43</f>
        <v>0</v>
      </c>
      <c r="EN50" s="51">
        <f t="shared" si="782"/>
        <v>0</v>
      </c>
      <c r="EO50" s="54"/>
      <c r="EP50" s="51">
        <f t="shared" ref="EP50:EP53" si="861">EL50*$EP$43</f>
        <v>1.2017499999999999</v>
      </c>
      <c r="EQ50" s="51">
        <f t="shared" ref="EQ50:EQ53" si="862">EM50*$EQ$43</f>
        <v>0</v>
      </c>
      <c r="ER50" s="51">
        <f t="shared" si="783"/>
        <v>0</v>
      </c>
      <c r="ES50" s="54"/>
      <c r="ET50" s="51">
        <f t="shared" si="732"/>
        <v>1.2017499999999999</v>
      </c>
      <c r="EU50" s="51">
        <f t="shared" si="733"/>
        <v>0</v>
      </c>
      <c r="EV50" s="51">
        <f t="shared" si="784"/>
        <v>0</v>
      </c>
      <c r="EW50" s="54"/>
      <c r="EX50" s="51">
        <f t="shared" ref="EX50:EX53" si="863">ET50*$EX$43</f>
        <v>1.2017499999999999</v>
      </c>
      <c r="EY50" s="51">
        <f t="shared" ref="EY50:EY53" si="864">EU50*$EY$43</f>
        <v>0</v>
      </c>
      <c r="EZ50" s="51">
        <f t="shared" si="785"/>
        <v>0</v>
      </c>
      <c r="FA50" s="54"/>
      <c r="FB50" s="51">
        <f t="shared" ref="FB50:FB53" si="865">EX50*$FB$43</f>
        <v>1.2017499999999999</v>
      </c>
      <c r="FC50" s="51">
        <f t="shared" ref="FC50:FC53" si="866">EY50*$FC$43</f>
        <v>0</v>
      </c>
      <c r="FD50" s="51">
        <f t="shared" si="786"/>
        <v>0</v>
      </c>
      <c r="FE50" s="54"/>
      <c r="FF50" s="51">
        <f t="shared" ref="FF50:FF53" si="867">FB50*$FF$43</f>
        <v>1.2017499999999999</v>
      </c>
      <c r="FG50" s="51">
        <f t="shared" ref="FG50:FG53" si="868">FC50*$FG$43</f>
        <v>0</v>
      </c>
      <c r="FH50" s="51">
        <f t="shared" si="787"/>
        <v>0</v>
      </c>
      <c r="FI50" s="54"/>
      <c r="FJ50" s="51">
        <f t="shared" ref="FJ50:FJ53" si="869">FF50*$FJ$43</f>
        <v>1.6223625</v>
      </c>
      <c r="FK50" s="51">
        <f t="shared" ref="FK50:FK53" si="870">FG50*$FK$43</f>
        <v>0</v>
      </c>
      <c r="FL50" s="51">
        <f t="shared" si="788"/>
        <v>0</v>
      </c>
      <c r="FM50" s="54"/>
      <c r="FN50" s="51">
        <f t="shared" ref="FN50:FN53" si="871">FJ50*$FN$43</f>
        <v>1.6223625</v>
      </c>
      <c r="FO50" s="51">
        <f t="shared" ref="FO50:FO53" si="872">FK50*$FO$43</f>
        <v>0</v>
      </c>
      <c r="FP50" s="51">
        <f t="shared" si="789"/>
        <v>0</v>
      </c>
      <c r="FQ50" s="54"/>
      <c r="FR50" s="51">
        <f t="shared" ref="FR50:FR53" si="873">FN50*$FR$43</f>
        <v>1.6223625</v>
      </c>
      <c r="FS50" s="51">
        <f t="shared" ref="FS50:FS53" si="874">FO50*$FS$43</f>
        <v>0</v>
      </c>
      <c r="FT50" s="51">
        <f t="shared" si="790"/>
        <v>0</v>
      </c>
      <c r="FU50" s="54"/>
      <c r="FV50" s="51">
        <f t="shared" ref="FV50:FV53" si="875">FR50*$FV$43</f>
        <v>1.6223625</v>
      </c>
      <c r="FW50" s="51">
        <f t="shared" ref="FW50:FW53" si="876">FS50*$FW$43</f>
        <v>0</v>
      </c>
      <c r="FX50" s="51">
        <f t="shared" si="791"/>
        <v>0</v>
      </c>
      <c r="FY50" s="54"/>
      <c r="FZ50" s="51">
        <f t="shared" ref="FZ50:FZ53" si="877">FV50*$FZ$43</f>
        <v>1.6223625</v>
      </c>
      <c r="GA50" s="51">
        <f t="shared" ref="GA50:GA53" si="878">FW50*$GA$43</f>
        <v>0</v>
      </c>
      <c r="GB50" s="51">
        <f t="shared" si="792"/>
        <v>0</v>
      </c>
      <c r="GC50" s="54"/>
      <c r="GD50" s="51">
        <f t="shared" ref="GD50:GD53" si="879">FZ50*$GD$43</f>
        <v>1.6223625</v>
      </c>
      <c r="GE50" s="51">
        <f t="shared" ref="GE50:GE53" si="880">GA50*$GE$43</f>
        <v>0</v>
      </c>
      <c r="GF50" s="51">
        <f t="shared" si="793"/>
        <v>0</v>
      </c>
      <c r="GG50" s="54"/>
      <c r="GH50" s="51">
        <f t="shared" ref="GH50:GH53" si="881">GD50*$GH$43</f>
        <v>1.6223625</v>
      </c>
      <c r="GI50" s="51">
        <f t="shared" ref="GI50:GI53" si="882">GE50*$GI$43</f>
        <v>0</v>
      </c>
      <c r="GJ50" s="51">
        <f t="shared" si="794"/>
        <v>0</v>
      </c>
      <c r="GK50" s="54"/>
      <c r="GL50" s="51">
        <f t="shared" ref="GL50:GL53" si="883">GH50*$GL$43</f>
        <v>1.6223625</v>
      </c>
      <c r="GM50" s="51">
        <f t="shared" ref="GM50:GM53" si="884">GI50*$GM$43</f>
        <v>0</v>
      </c>
      <c r="GN50" s="51">
        <f t="shared" si="795"/>
        <v>0</v>
      </c>
      <c r="GP50" s="51">
        <f t="shared" si="734"/>
        <v>1.6223625</v>
      </c>
      <c r="GQ50" s="51">
        <f t="shared" si="735"/>
        <v>0</v>
      </c>
      <c r="GR50" s="51">
        <f t="shared" si="796"/>
        <v>0</v>
      </c>
      <c r="GS50" s="54"/>
      <c r="GT50" s="51">
        <f t="shared" ref="GT50:GT53" si="885">GP50*$GT$43</f>
        <v>1.6223625</v>
      </c>
      <c r="GU50" s="51">
        <f t="shared" ref="GU50:GU53" si="886">GQ50*$GU$43</f>
        <v>0</v>
      </c>
      <c r="GV50" s="51">
        <f t="shared" si="797"/>
        <v>0</v>
      </c>
      <c r="GW50" s="54"/>
      <c r="GX50" s="51">
        <f t="shared" ref="GX50:GX53" si="887">GT50*$GX$43</f>
        <v>1.6223625</v>
      </c>
      <c r="GY50" s="51">
        <f t="shared" ref="GY50:GY53" si="888">GU50*$GY$43</f>
        <v>0</v>
      </c>
      <c r="GZ50" s="51">
        <f t="shared" si="798"/>
        <v>0</v>
      </c>
      <c r="HA50" s="54"/>
      <c r="HB50" s="51">
        <f t="shared" ref="HB50:HB53" si="889">GX50*$HB$43</f>
        <v>1.6223625</v>
      </c>
      <c r="HC50" s="51">
        <f t="shared" ref="HC50:HC53" si="890">GY50*$HC$43</f>
        <v>0</v>
      </c>
      <c r="HD50" s="51">
        <f t="shared" si="799"/>
        <v>0</v>
      </c>
      <c r="HE50" s="54"/>
      <c r="HF50" s="51">
        <f t="shared" ref="HF50:HF53" si="891">HB50*$HF$43</f>
        <v>2.59578</v>
      </c>
      <c r="HG50" s="51">
        <f t="shared" ref="HG50:HG53" si="892">HC50*$HG$43</f>
        <v>0</v>
      </c>
      <c r="HH50" s="51">
        <f t="shared" si="800"/>
        <v>0</v>
      </c>
      <c r="HI50" s="54"/>
      <c r="HJ50" s="51">
        <f t="shared" ref="HJ50:HJ53" si="893">HF50*$HJ$43</f>
        <v>2.59578</v>
      </c>
      <c r="HK50" s="51">
        <f t="shared" ref="HK50:HK53" si="894">HG50*$HK$43</f>
        <v>0</v>
      </c>
      <c r="HL50" s="51">
        <f t="shared" si="801"/>
        <v>0</v>
      </c>
      <c r="HM50" s="54"/>
      <c r="HN50" s="51">
        <f t="shared" ref="HN50:HN53" si="895">HJ50*$HN$43</f>
        <v>2.59578</v>
      </c>
      <c r="HO50" s="51">
        <f t="shared" ref="HO50:HO53" si="896">HK50*$HO$43</f>
        <v>0</v>
      </c>
      <c r="HP50" s="51">
        <f t="shared" si="802"/>
        <v>0</v>
      </c>
      <c r="HQ50" s="54"/>
      <c r="HR50" s="51">
        <f t="shared" ref="HR50:HR53" si="897">HN50*$HR$43</f>
        <v>2.59578</v>
      </c>
      <c r="HS50" s="51">
        <f t="shared" ref="HS50:HS53" si="898">HO50*$HS$43</f>
        <v>0</v>
      </c>
      <c r="HT50" s="51">
        <f t="shared" si="803"/>
        <v>0</v>
      </c>
      <c r="HU50" s="54"/>
      <c r="HV50" s="51">
        <f t="shared" ref="HV50:HV53" si="899">HR50*$HV$43</f>
        <v>2.59578</v>
      </c>
      <c r="HW50" s="51">
        <f t="shared" ref="HW50:HW53" si="900">HS50*$HW$43</f>
        <v>0</v>
      </c>
      <c r="HX50" s="51">
        <f t="shared" si="804"/>
        <v>0</v>
      </c>
      <c r="HY50" s="54"/>
      <c r="HZ50" s="51">
        <f t="shared" ref="HZ50:HZ53" si="901">HV50*$HZ$43</f>
        <v>2.59578</v>
      </c>
      <c r="IA50" s="51">
        <f t="shared" ref="IA50:IA53" si="902">HW50*$IA$43</f>
        <v>0</v>
      </c>
      <c r="IB50" s="51">
        <f t="shared" si="805"/>
        <v>0</v>
      </c>
      <c r="IC50" s="54"/>
      <c r="ID50" s="51">
        <f t="shared" ref="ID50:ID53" si="903">HZ50*$ID$43</f>
        <v>2.59578</v>
      </c>
      <c r="IE50" s="51">
        <f t="shared" ref="IE50:IE53" si="904">IA50*$IE$43</f>
        <v>0</v>
      </c>
      <c r="IF50" s="51">
        <f t="shared" si="806"/>
        <v>0</v>
      </c>
      <c r="IG50" s="54"/>
      <c r="IH50" s="51">
        <f t="shared" ref="IH50:IH53" si="905">ID50*$IH$43</f>
        <v>2.59578</v>
      </c>
      <c r="II50" s="51">
        <f t="shared" ref="II50:II53" si="906">IE50*$II$43</f>
        <v>0</v>
      </c>
      <c r="IJ50" s="51">
        <f t="shared" si="807"/>
        <v>0</v>
      </c>
      <c r="IL50" s="51">
        <f t="shared" si="736"/>
        <v>2.59578</v>
      </c>
      <c r="IM50" s="51">
        <f t="shared" si="737"/>
        <v>0</v>
      </c>
      <c r="IN50" s="51">
        <f t="shared" si="808"/>
        <v>0</v>
      </c>
      <c r="IO50" s="54"/>
      <c r="IP50" s="51">
        <f t="shared" ref="IP50:IP53" si="907">IL50*$IP$43</f>
        <v>2.59578</v>
      </c>
      <c r="IQ50" s="51">
        <f t="shared" ref="IQ50:IQ53" si="908">IM50*$IQ$43</f>
        <v>0</v>
      </c>
      <c r="IR50" s="51">
        <f t="shared" si="809"/>
        <v>0</v>
      </c>
      <c r="IS50" s="54"/>
      <c r="IT50" s="51">
        <f t="shared" ref="IT50:IT53" si="909">IP50*$IT$43</f>
        <v>2.59578</v>
      </c>
      <c r="IU50" s="51">
        <f t="shared" ref="IU50:IU53" si="910">IQ50*$IU$43</f>
        <v>0</v>
      </c>
      <c r="IV50" s="51">
        <f t="shared" si="810"/>
        <v>0</v>
      </c>
      <c r="IW50" s="54"/>
      <c r="IX50" s="51">
        <f t="shared" ref="IX50:IX53" si="911">IT50*$IX$43</f>
        <v>2.59578</v>
      </c>
      <c r="IY50" s="51">
        <f t="shared" ref="IY50:IY53" si="912">IU50*$IY$43</f>
        <v>0</v>
      </c>
      <c r="IZ50" s="51">
        <f t="shared" si="811"/>
        <v>0</v>
      </c>
      <c r="JA50" s="54"/>
      <c r="JB50" s="51" t="e">
        <f t="shared" ref="JB50:JB53" si="913">IX50*$JB$43</f>
        <v>#REF!</v>
      </c>
      <c r="JC50" s="51">
        <f t="shared" ref="JC50:JC53" si="914">IY50*$JC$43</f>
        <v>0</v>
      </c>
      <c r="JD50" s="51">
        <f t="shared" si="812"/>
        <v>0</v>
      </c>
      <c r="JE50" s="54"/>
      <c r="JF50" s="51" t="e">
        <f t="shared" ref="JF50:JF53" si="915">JB50*$JF$43</f>
        <v>#REF!</v>
      </c>
      <c r="JG50" s="51">
        <f t="shared" ref="JG50:JG53" si="916">JC50*$JG$43</f>
        <v>0</v>
      </c>
      <c r="JH50" s="51">
        <f t="shared" si="813"/>
        <v>0</v>
      </c>
      <c r="JI50" s="54"/>
      <c r="JJ50" s="51" t="e">
        <f t="shared" ref="JJ50:JJ53" si="917">JF50*$JJ$43</f>
        <v>#REF!</v>
      </c>
      <c r="JK50" s="51">
        <f t="shared" ref="JK50:JK53" si="918">JG50*$JK$43</f>
        <v>0</v>
      </c>
      <c r="JL50" s="51">
        <f t="shared" si="814"/>
        <v>0</v>
      </c>
      <c r="JM50" s="54"/>
      <c r="JO50" s="80"/>
      <c r="JP50" s="80"/>
      <c r="JQ50" s="80">
        <f t="shared" si="738"/>
        <v>0</v>
      </c>
      <c r="JS50" s="80"/>
      <c r="JT50" s="80"/>
      <c r="JU50" s="80">
        <f t="shared" si="739"/>
        <v>0</v>
      </c>
      <c r="JW50" s="80"/>
      <c r="JX50" s="80"/>
      <c r="JY50" s="80">
        <f t="shared" si="740"/>
        <v>0</v>
      </c>
      <c r="KA50" s="80"/>
      <c r="KB50" s="80"/>
      <c r="KC50" s="80">
        <f t="shared" si="741"/>
        <v>0</v>
      </c>
      <c r="KE50" s="80"/>
      <c r="KF50" s="80"/>
      <c r="KG50" s="80">
        <f t="shared" si="742"/>
        <v>0</v>
      </c>
      <c r="KI50" s="80"/>
      <c r="KJ50" s="80"/>
      <c r="KK50" s="80">
        <f t="shared" si="743"/>
        <v>0</v>
      </c>
      <c r="KM50" s="80"/>
      <c r="KN50" s="80"/>
      <c r="KO50" s="80">
        <f t="shared" si="744"/>
        <v>0</v>
      </c>
    </row>
    <row r="51" ht="18.75" customHeight="1" spans="2:301" x14ac:dyDescent="0.25">
      <c r="B51" s="5" t="str">
        <f>A.IIOPEX!C51</f>
        <v>4g</v>
      </c>
      <c r="C51" s="27"/>
      <c r="D51" s="29">
        <f>A.IIOPEX!E51</f>
        <v>0</v>
      </c>
      <c r="E51" s="30"/>
      <c r="F51" s="51">
        <v>1</v>
      </c>
      <c r="G51" s="51"/>
      <c r="H51" s="51">
        <f>A.IIOPEX!I51</f>
        <v>0</v>
      </c>
      <c r="I51" s="54"/>
      <c r="J51" s="51">
        <f t="shared" si="724"/>
        <v>0.5</v>
      </c>
      <c r="K51" s="51"/>
      <c r="L51" s="51">
        <f t="shared" si="745"/>
        <v>0</v>
      </c>
      <c r="M51" s="54"/>
      <c r="N51" s="51">
        <f t="shared" si="725"/>
        <v>0.5</v>
      </c>
      <c r="O51" s="51"/>
      <c r="P51" s="51">
        <f t="shared" si="746"/>
        <v>0</v>
      </c>
      <c r="Q51" s="54"/>
      <c r="R51" s="51">
        <f t="shared" si="726"/>
        <v>0.5</v>
      </c>
      <c r="S51" s="51"/>
      <c r="T51" s="51">
        <f t="shared" si="747"/>
        <v>0</v>
      </c>
      <c r="U51" s="54"/>
      <c r="V51" s="51">
        <f t="shared" si="727"/>
        <v>0.5</v>
      </c>
      <c r="W51" s="51"/>
      <c r="X51" s="51">
        <f t="shared" si="748"/>
        <v>0</v>
      </c>
      <c r="Y51" s="54"/>
      <c r="Z51" s="51">
        <f t="shared" si="728"/>
        <v>0.5</v>
      </c>
      <c r="AA51" s="51"/>
      <c r="AB51" s="51">
        <f t="shared" si="749"/>
        <v>0</v>
      </c>
      <c r="AC51" s="54"/>
      <c r="AD51" s="51">
        <f t="shared" si="750"/>
        <v>0.5</v>
      </c>
      <c r="AE51" s="51"/>
      <c r="AF51" s="51">
        <f t="shared" si="751"/>
        <v>0</v>
      </c>
      <c r="AG51" s="54"/>
      <c r="AH51" s="51">
        <f t="shared" si="752"/>
        <v>0.575</v>
      </c>
      <c r="AI51" s="51"/>
      <c r="AJ51" s="51">
        <f t="shared" si="753"/>
        <v>0</v>
      </c>
      <c r="AK51" s="54"/>
      <c r="AL51" s="51">
        <f t="shared" si="816"/>
        <v>0.575</v>
      </c>
      <c r="AM51" s="51"/>
      <c r="AN51" s="51">
        <f t="shared" si="754"/>
        <v>0</v>
      </c>
      <c r="AO51" s="54"/>
      <c r="AP51" s="51">
        <f t="shared" si="817"/>
        <v>0.575</v>
      </c>
      <c r="AQ51" s="51"/>
      <c r="AR51" s="51">
        <f t="shared" si="756"/>
        <v>0</v>
      </c>
      <c r="AS51" s="54"/>
      <c r="AT51" s="51">
        <f t="shared" si="818"/>
        <v>0.575</v>
      </c>
      <c r="AU51" s="51"/>
      <c r="AV51" s="51">
        <f t="shared" si="757"/>
        <v>0</v>
      </c>
      <c r="AW51" s="54"/>
      <c r="AX51" s="51">
        <f t="shared" si="819"/>
        <v>0.575</v>
      </c>
      <c r="AY51" s="51"/>
      <c r="AZ51" s="51">
        <f t="shared" si="759"/>
        <v>0</v>
      </c>
      <c r="BA51" s="54"/>
      <c r="BB51" s="51">
        <f t="shared" si="729"/>
        <v>0.575</v>
      </c>
      <c r="BC51" s="51"/>
      <c r="BD51" s="51">
        <f t="shared" si="760"/>
        <v>0</v>
      </c>
      <c r="BE51" s="54"/>
      <c r="BF51" s="51">
        <f t="shared" si="820"/>
        <v>0.575</v>
      </c>
      <c r="BG51" s="51"/>
      <c r="BH51" s="51">
        <f t="shared" si="761"/>
        <v>0</v>
      </c>
      <c r="BI51" s="54"/>
      <c r="BJ51" s="51">
        <f t="shared" si="821"/>
        <v>0.575</v>
      </c>
      <c r="BK51" s="51">
        <f t="shared" si="822"/>
        <v>0</v>
      </c>
      <c r="BL51" s="51">
        <f t="shared" si="762"/>
        <v>0</v>
      </c>
      <c r="BM51" s="54"/>
      <c r="BN51" s="51">
        <f t="shared" si="823"/>
        <v>0.575</v>
      </c>
      <c r="BO51" s="51">
        <f t="shared" si="824"/>
        <v>0</v>
      </c>
      <c r="BP51" s="51">
        <f t="shared" si="763"/>
        <v>0</v>
      </c>
      <c r="BQ51" s="54"/>
      <c r="BR51" s="51">
        <f t="shared" si="825"/>
        <v>0.575</v>
      </c>
      <c r="BS51" s="51">
        <f t="shared" si="826"/>
        <v>0</v>
      </c>
      <c r="BT51" s="51">
        <f t="shared" si="764"/>
        <v>0</v>
      </c>
      <c r="BU51" s="54"/>
      <c r="BV51" s="51">
        <f t="shared" si="827"/>
        <v>0.575</v>
      </c>
      <c r="BW51" s="51">
        <f t="shared" si="828"/>
        <v>0</v>
      </c>
      <c r="BX51" s="51">
        <f t="shared" si="765"/>
        <v>0</v>
      </c>
      <c r="BY51" s="54"/>
      <c r="BZ51" s="51">
        <f t="shared" si="829"/>
        <v>0.575</v>
      </c>
      <c r="CA51" s="51">
        <f t="shared" si="830"/>
        <v>0</v>
      </c>
      <c r="CB51" s="51">
        <f t="shared" si="766"/>
        <v>0</v>
      </c>
      <c r="CC51" s="54"/>
      <c r="CD51" s="51">
        <f t="shared" si="831"/>
        <v>0.6325</v>
      </c>
      <c r="CE51" s="51">
        <f t="shared" si="832"/>
        <v>0</v>
      </c>
      <c r="CF51" s="51">
        <f t="shared" si="767"/>
        <v>0</v>
      </c>
      <c r="CG51" s="54"/>
      <c r="CH51" s="51">
        <f t="shared" si="833"/>
        <v>0.6325</v>
      </c>
      <c r="CI51" s="51">
        <f t="shared" si="834"/>
        <v>0</v>
      </c>
      <c r="CJ51" s="51">
        <f t="shared" si="768"/>
        <v>0</v>
      </c>
      <c r="CK51" s="54"/>
      <c r="CL51" s="51">
        <f t="shared" si="835"/>
        <v>0.6325</v>
      </c>
      <c r="CM51" s="51">
        <f t="shared" si="836"/>
        <v>0</v>
      </c>
      <c r="CN51" s="51">
        <f t="shared" si="769"/>
        <v>0</v>
      </c>
      <c r="CO51" s="54"/>
      <c r="CP51" s="51">
        <f t="shared" si="837"/>
        <v>0.6325</v>
      </c>
      <c r="CQ51" s="51">
        <f t="shared" si="838"/>
        <v>0</v>
      </c>
      <c r="CR51" s="51">
        <f t="shared" si="770"/>
        <v>0</v>
      </c>
      <c r="CS51" s="54"/>
      <c r="CT51" s="51">
        <f t="shared" si="839"/>
        <v>0.6325</v>
      </c>
      <c r="CU51" s="51">
        <f t="shared" si="840"/>
        <v>0</v>
      </c>
      <c r="CV51" s="51">
        <f t="shared" si="771"/>
        <v>0</v>
      </c>
      <c r="CW51" s="54"/>
      <c r="CX51" s="51">
        <f t="shared" si="730"/>
        <v>0.6325</v>
      </c>
      <c r="CY51" s="51">
        <f t="shared" si="731"/>
        <v>0</v>
      </c>
      <c r="CZ51" s="51">
        <f t="shared" si="772"/>
        <v>0</v>
      </c>
      <c r="DA51" s="54"/>
      <c r="DB51" s="51">
        <f t="shared" si="841"/>
        <v>0.6325</v>
      </c>
      <c r="DC51" s="51">
        <f t="shared" si="842"/>
        <v>0</v>
      </c>
      <c r="DD51" s="51">
        <f t="shared" si="773"/>
        <v>0</v>
      </c>
      <c r="DE51" s="54"/>
      <c r="DF51" s="51">
        <f t="shared" si="843"/>
        <v>0.6325</v>
      </c>
      <c r="DG51" s="51">
        <f t="shared" si="844"/>
        <v>0</v>
      </c>
      <c r="DH51" s="51">
        <f t="shared" si="774"/>
        <v>0</v>
      </c>
      <c r="DI51" s="54"/>
      <c r="DJ51" s="51">
        <f t="shared" si="845"/>
        <v>0.6325</v>
      </c>
      <c r="DK51" s="51">
        <f t="shared" si="846"/>
        <v>0</v>
      </c>
      <c r="DL51" s="51">
        <f t="shared" si="775"/>
        <v>0</v>
      </c>
      <c r="DM51" s="54"/>
      <c r="DN51" s="51">
        <f t="shared" si="847"/>
        <v>0.6325</v>
      </c>
      <c r="DO51" s="51">
        <f t="shared" si="848"/>
        <v>0</v>
      </c>
      <c r="DP51" s="51">
        <f t="shared" si="776"/>
        <v>0</v>
      </c>
      <c r="DQ51" s="54"/>
      <c r="DR51" s="51">
        <f t="shared" si="849"/>
        <v>0.6325</v>
      </c>
      <c r="DS51" s="51">
        <f t="shared" si="850"/>
        <v>0</v>
      </c>
      <c r="DT51" s="51">
        <f t="shared" si="777"/>
        <v>0</v>
      </c>
      <c r="DU51" s="54"/>
      <c r="DV51" s="51">
        <f t="shared" si="851"/>
        <v>0.6325</v>
      </c>
      <c r="DW51" s="51">
        <f t="shared" si="852"/>
        <v>0</v>
      </c>
      <c r="DX51" s="51">
        <f t="shared" si="778"/>
        <v>0</v>
      </c>
      <c r="DY51" s="54"/>
      <c r="DZ51" s="51">
        <f t="shared" si="853"/>
        <v>1.2017499999999999</v>
      </c>
      <c r="EA51" s="51">
        <f t="shared" si="854"/>
        <v>0</v>
      </c>
      <c r="EB51" s="51">
        <f t="shared" si="779"/>
        <v>0</v>
      </c>
      <c r="EC51" s="54"/>
      <c r="ED51" s="51">
        <f t="shared" si="855"/>
        <v>1.2017499999999999</v>
      </c>
      <c r="EE51" s="51">
        <f t="shared" si="856"/>
        <v>0</v>
      </c>
      <c r="EF51" s="51">
        <f t="shared" si="780"/>
        <v>0</v>
      </c>
      <c r="EG51" s="54"/>
      <c r="EH51" s="51">
        <f t="shared" si="857"/>
        <v>1.2017499999999999</v>
      </c>
      <c r="EI51" s="51">
        <f t="shared" si="858"/>
        <v>0</v>
      </c>
      <c r="EJ51" s="51">
        <f t="shared" si="781"/>
        <v>0</v>
      </c>
      <c r="EK51" s="54"/>
      <c r="EL51" s="51">
        <f t="shared" si="859"/>
        <v>1.2017499999999999</v>
      </c>
      <c r="EM51" s="51">
        <f t="shared" si="860"/>
        <v>0</v>
      </c>
      <c r="EN51" s="51">
        <f t="shared" si="782"/>
        <v>0</v>
      </c>
      <c r="EO51" s="54"/>
      <c r="EP51" s="51">
        <f t="shared" si="861"/>
        <v>1.2017499999999999</v>
      </c>
      <c r="EQ51" s="51">
        <f t="shared" si="862"/>
        <v>0</v>
      </c>
      <c r="ER51" s="51">
        <f t="shared" si="783"/>
        <v>0</v>
      </c>
      <c r="ES51" s="54"/>
      <c r="ET51" s="51">
        <f t="shared" si="732"/>
        <v>1.2017499999999999</v>
      </c>
      <c r="EU51" s="51">
        <f t="shared" si="733"/>
        <v>0</v>
      </c>
      <c r="EV51" s="51">
        <f t="shared" si="784"/>
        <v>0</v>
      </c>
      <c r="EW51" s="54"/>
      <c r="EX51" s="51">
        <f t="shared" si="863"/>
        <v>1.2017499999999999</v>
      </c>
      <c r="EY51" s="51">
        <f t="shared" si="864"/>
        <v>0</v>
      </c>
      <c r="EZ51" s="51">
        <f t="shared" si="785"/>
        <v>0</v>
      </c>
      <c r="FA51" s="54"/>
      <c r="FB51" s="51">
        <f t="shared" si="865"/>
        <v>1.2017499999999999</v>
      </c>
      <c r="FC51" s="51">
        <f t="shared" si="866"/>
        <v>0</v>
      </c>
      <c r="FD51" s="51">
        <f t="shared" si="786"/>
        <v>0</v>
      </c>
      <c r="FE51" s="54"/>
      <c r="FF51" s="51">
        <f t="shared" si="867"/>
        <v>1.2017499999999999</v>
      </c>
      <c r="FG51" s="51">
        <f t="shared" si="868"/>
        <v>0</v>
      </c>
      <c r="FH51" s="51">
        <f t="shared" si="787"/>
        <v>0</v>
      </c>
      <c r="FI51" s="54"/>
      <c r="FJ51" s="51">
        <f t="shared" si="869"/>
        <v>1.6223625</v>
      </c>
      <c r="FK51" s="51">
        <f t="shared" si="870"/>
        <v>0</v>
      </c>
      <c r="FL51" s="51">
        <f t="shared" si="788"/>
        <v>0</v>
      </c>
      <c r="FM51" s="54"/>
      <c r="FN51" s="51">
        <f t="shared" si="871"/>
        <v>1.6223625</v>
      </c>
      <c r="FO51" s="51">
        <f t="shared" si="872"/>
        <v>0</v>
      </c>
      <c r="FP51" s="51">
        <f t="shared" si="789"/>
        <v>0</v>
      </c>
      <c r="FQ51" s="54"/>
      <c r="FR51" s="51">
        <f t="shared" si="873"/>
        <v>1.6223625</v>
      </c>
      <c r="FS51" s="51">
        <f t="shared" si="874"/>
        <v>0</v>
      </c>
      <c r="FT51" s="51">
        <f t="shared" si="790"/>
        <v>0</v>
      </c>
      <c r="FU51" s="54"/>
      <c r="FV51" s="51">
        <f t="shared" si="875"/>
        <v>1.6223625</v>
      </c>
      <c r="FW51" s="51">
        <f t="shared" si="876"/>
        <v>0</v>
      </c>
      <c r="FX51" s="51">
        <f t="shared" si="791"/>
        <v>0</v>
      </c>
      <c r="FY51" s="54"/>
      <c r="FZ51" s="51">
        <f t="shared" si="877"/>
        <v>1.6223625</v>
      </c>
      <c r="GA51" s="51">
        <f t="shared" si="878"/>
        <v>0</v>
      </c>
      <c r="GB51" s="51">
        <f t="shared" si="792"/>
        <v>0</v>
      </c>
      <c r="GC51" s="54"/>
      <c r="GD51" s="51">
        <f t="shared" si="879"/>
        <v>1.6223625</v>
      </c>
      <c r="GE51" s="51">
        <f t="shared" si="880"/>
        <v>0</v>
      </c>
      <c r="GF51" s="51">
        <f t="shared" si="793"/>
        <v>0</v>
      </c>
      <c r="GG51" s="54"/>
      <c r="GH51" s="51">
        <f t="shared" si="881"/>
        <v>1.6223625</v>
      </c>
      <c r="GI51" s="51">
        <f t="shared" si="882"/>
        <v>0</v>
      </c>
      <c r="GJ51" s="51">
        <f t="shared" si="794"/>
        <v>0</v>
      </c>
      <c r="GK51" s="54"/>
      <c r="GL51" s="51">
        <f t="shared" si="883"/>
        <v>1.6223625</v>
      </c>
      <c r="GM51" s="51">
        <f t="shared" si="884"/>
        <v>0</v>
      </c>
      <c r="GN51" s="51">
        <f t="shared" si="795"/>
        <v>0</v>
      </c>
      <c r="GP51" s="51">
        <f t="shared" si="734"/>
        <v>1.6223625</v>
      </c>
      <c r="GQ51" s="51">
        <f t="shared" si="735"/>
        <v>0</v>
      </c>
      <c r="GR51" s="51">
        <f t="shared" si="796"/>
        <v>0</v>
      </c>
      <c r="GS51" s="54"/>
      <c r="GT51" s="51">
        <f t="shared" si="885"/>
        <v>1.6223625</v>
      </c>
      <c r="GU51" s="51">
        <f t="shared" si="886"/>
        <v>0</v>
      </c>
      <c r="GV51" s="51">
        <f t="shared" si="797"/>
        <v>0</v>
      </c>
      <c r="GW51" s="54"/>
      <c r="GX51" s="51">
        <f t="shared" si="887"/>
        <v>1.6223625</v>
      </c>
      <c r="GY51" s="51">
        <f t="shared" si="888"/>
        <v>0</v>
      </c>
      <c r="GZ51" s="51">
        <f t="shared" si="798"/>
        <v>0</v>
      </c>
      <c r="HA51" s="54"/>
      <c r="HB51" s="51">
        <f t="shared" si="889"/>
        <v>1.6223625</v>
      </c>
      <c r="HC51" s="51">
        <f t="shared" si="890"/>
        <v>0</v>
      </c>
      <c r="HD51" s="51">
        <f t="shared" si="799"/>
        <v>0</v>
      </c>
      <c r="HE51" s="54"/>
      <c r="HF51" s="51">
        <f t="shared" si="891"/>
        <v>2.59578</v>
      </c>
      <c r="HG51" s="51">
        <f t="shared" si="892"/>
        <v>0</v>
      </c>
      <c r="HH51" s="51">
        <f t="shared" si="800"/>
        <v>0</v>
      </c>
      <c r="HI51" s="54"/>
      <c r="HJ51" s="51">
        <f t="shared" si="893"/>
        <v>2.59578</v>
      </c>
      <c r="HK51" s="51">
        <f t="shared" si="894"/>
        <v>0</v>
      </c>
      <c r="HL51" s="51">
        <f t="shared" si="801"/>
        <v>0</v>
      </c>
      <c r="HM51" s="54"/>
      <c r="HN51" s="51">
        <f t="shared" si="895"/>
        <v>2.59578</v>
      </c>
      <c r="HO51" s="51">
        <f t="shared" si="896"/>
        <v>0</v>
      </c>
      <c r="HP51" s="51">
        <f t="shared" si="802"/>
        <v>0</v>
      </c>
      <c r="HQ51" s="54"/>
      <c r="HR51" s="51">
        <f t="shared" si="897"/>
        <v>2.59578</v>
      </c>
      <c r="HS51" s="51">
        <f t="shared" si="898"/>
        <v>0</v>
      </c>
      <c r="HT51" s="51">
        <f t="shared" si="803"/>
        <v>0</v>
      </c>
      <c r="HU51" s="54"/>
      <c r="HV51" s="51">
        <f t="shared" si="899"/>
        <v>2.59578</v>
      </c>
      <c r="HW51" s="51">
        <f t="shared" si="900"/>
        <v>0</v>
      </c>
      <c r="HX51" s="51">
        <f t="shared" si="804"/>
        <v>0</v>
      </c>
      <c r="HY51" s="54"/>
      <c r="HZ51" s="51">
        <f t="shared" si="901"/>
        <v>2.59578</v>
      </c>
      <c r="IA51" s="51">
        <f t="shared" si="902"/>
        <v>0</v>
      </c>
      <c r="IB51" s="51">
        <f t="shared" si="805"/>
        <v>0</v>
      </c>
      <c r="IC51" s="54"/>
      <c r="ID51" s="51">
        <f t="shared" si="903"/>
        <v>2.59578</v>
      </c>
      <c r="IE51" s="51">
        <f t="shared" si="904"/>
        <v>0</v>
      </c>
      <c r="IF51" s="51">
        <f t="shared" si="806"/>
        <v>0</v>
      </c>
      <c r="IG51" s="54"/>
      <c r="IH51" s="51">
        <f t="shared" si="905"/>
        <v>2.59578</v>
      </c>
      <c r="II51" s="51">
        <f t="shared" si="906"/>
        <v>0</v>
      </c>
      <c r="IJ51" s="51">
        <f t="shared" si="807"/>
        <v>0</v>
      </c>
      <c r="IL51" s="51">
        <f t="shared" si="736"/>
        <v>2.59578</v>
      </c>
      <c r="IM51" s="51">
        <f t="shared" si="737"/>
        <v>0</v>
      </c>
      <c r="IN51" s="51">
        <f t="shared" si="808"/>
        <v>0</v>
      </c>
      <c r="IO51" s="54"/>
      <c r="IP51" s="51">
        <f t="shared" si="907"/>
        <v>2.59578</v>
      </c>
      <c r="IQ51" s="51">
        <f t="shared" si="908"/>
        <v>0</v>
      </c>
      <c r="IR51" s="51">
        <f t="shared" si="809"/>
        <v>0</v>
      </c>
      <c r="IS51" s="54"/>
      <c r="IT51" s="51">
        <f t="shared" si="909"/>
        <v>2.59578</v>
      </c>
      <c r="IU51" s="51">
        <f t="shared" si="910"/>
        <v>0</v>
      </c>
      <c r="IV51" s="51">
        <f t="shared" si="810"/>
        <v>0</v>
      </c>
      <c r="IW51" s="54"/>
      <c r="IX51" s="51">
        <f t="shared" si="911"/>
        <v>2.59578</v>
      </c>
      <c r="IY51" s="51">
        <f t="shared" si="912"/>
        <v>0</v>
      </c>
      <c r="IZ51" s="51">
        <f t="shared" si="811"/>
        <v>0</v>
      </c>
      <c r="JA51" s="54"/>
      <c r="JB51" s="51" t="e">
        <f t="shared" si="913"/>
        <v>#REF!</v>
      </c>
      <c r="JC51" s="51">
        <f t="shared" si="914"/>
        <v>0</v>
      </c>
      <c r="JD51" s="51">
        <f t="shared" si="812"/>
        <v>0</v>
      </c>
      <c r="JE51" s="54"/>
      <c r="JF51" s="51" t="e">
        <f t="shared" si="915"/>
        <v>#REF!</v>
      </c>
      <c r="JG51" s="51">
        <f t="shared" si="916"/>
        <v>0</v>
      </c>
      <c r="JH51" s="51">
        <f t="shared" si="813"/>
        <v>0</v>
      </c>
      <c r="JI51" s="54"/>
      <c r="JJ51" s="51" t="e">
        <f t="shared" si="917"/>
        <v>#REF!</v>
      </c>
      <c r="JK51" s="51">
        <f t="shared" si="918"/>
        <v>0</v>
      </c>
      <c r="JL51" s="51">
        <f t="shared" si="814"/>
        <v>0</v>
      </c>
      <c r="JM51" s="54"/>
      <c r="JO51" s="80"/>
      <c r="JP51" s="80"/>
      <c r="JQ51" s="80">
        <f t="shared" si="738"/>
        <v>0</v>
      </c>
      <c r="JS51" s="80"/>
      <c r="JT51" s="80"/>
      <c r="JU51" s="80">
        <f t="shared" si="739"/>
        <v>0</v>
      </c>
      <c r="JW51" s="80"/>
      <c r="JX51" s="80"/>
      <c r="JY51" s="80">
        <f t="shared" si="740"/>
        <v>0</v>
      </c>
      <c r="KA51" s="80"/>
      <c r="KB51" s="80"/>
      <c r="KC51" s="80">
        <f t="shared" si="741"/>
        <v>0</v>
      </c>
      <c r="KE51" s="80"/>
      <c r="KF51" s="80"/>
      <c r="KG51" s="80">
        <f t="shared" si="742"/>
        <v>0</v>
      </c>
      <c r="KI51" s="80"/>
      <c r="KJ51" s="80"/>
      <c r="KK51" s="80">
        <f t="shared" si="743"/>
        <v>0</v>
      </c>
      <c r="KM51" s="80"/>
      <c r="KN51" s="80"/>
      <c r="KO51" s="80">
        <f t="shared" si="744"/>
        <v>0</v>
      </c>
    </row>
    <row r="52" ht="18.75" customHeight="1" spans="2:301" x14ac:dyDescent="0.25">
      <c r="B52" s="5" t="str">
        <f>A.IIOPEX!C52</f>
        <v>4h</v>
      </c>
      <c r="C52" s="27"/>
      <c r="D52" s="29">
        <f>A.IIOPEX!E52</f>
        <v>0</v>
      </c>
      <c r="E52" s="30"/>
      <c r="F52" s="51">
        <v>1</v>
      </c>
      <c r="G52" s="51"/>
      <c r="H52" s="51">
        <f>A.IIOPEX!I52</f>
        <v>0</v>
      </c>
      <c r="I52" s="54"/>
      <c r="J52" s="51">
        <f t="shared" si="724"/>
        <v>0.5</v>
      </c>
      <c r="K52" s="51"/>
      <c r="L52" s="51">
        <f t="shared" si="745"/>
        <v>0</v>
      </c>
      <c r="M52" s="54"/>
      <c r="N52" s="51">
        <f t="shared" si="725"/>
        <v>0.5</v>
      </c>
      <c r="O52" s="51"/>
      <c r="P52" s="51">
        <f t="shared" si="746"/>
        <v>0</v>
      </c>
      <c r="Q52" s="54"/>
      <c r="R52" s="51">
        <f t="shared" si="726"/>
        <v>0.5</v>
      </c>
      <c r="S52" s="51"/>
      <c r="T52" s="51">
        <f t="shared" si="747"/>
        <v>0</v>
      </c>
      <c r="U52" s="54"/>
      <c r="V52" s="51">
        <f t="shared" si="727"/>
        <v>0.5</v>
      </c>
      <c r="W52" s="51"/>
      <c r="X52" s="51">
        <f t="shared" si="748"/>
        <v>0</v>
      </c>
      <c r="Y52" s="54"/>
      <c r="Z52" s="51">
        <f t="shared" si="728"/>
        <v>0.5</v>
      </c>
      <c r="AA52" s="51"/>
      <c r="AB52" s="51">
        <f t="shared" si="749"/>
        <v>0</v>
      </c>
      <c r="AC52" s="54"/>
      <c r="AD52" s="51">
        <f t="shared" si="750"/>
        <v>0.5</v>
      </c>
      <c r="AE52" s="51"/>
      <c r="AF52" s="51">
        <f t="shared" si="751"/>
        <v>0</v>
      </c>
      <c r="AG52" s="54"/>
      <c r="AH52" s="51">
        <f t="shared" si="752"/>
        <v>0.575</v>
      </c>
      <c r="AI52" s="51"/>
      <c r="AJ52" s="51">
        <f t="shared" si="753"/>
        <v>0</v>
      </c>
      <c r="AK52" s="54"/>
      <c r="AL52" s="51">
        <f t="shared" si="816"/>
        <v>0.575</v>
      </c>
      <c r="AM52" s="51"/>
      <c r="AN52" s="51">
        <f t="shared" si="754"/>
        <v>0</v>
      </c>
      <c r="AO52" s="54"/>
      <c r="AP52" s="51">
        <f t="shared" si="817"/>
        <v>0.575</v>
      </c>
      <c r="AQ52" s="51"/>
      <c r="AR52" s="51">
        <f t="shared" si="756"/>
        <v>0</v>
      </c>
      <c r="AS52" s="54"/>
      <c r="AT52" s="51">
        <f t="shared" si="818"/>
        <v>0.575</v>
      </c>
      <c r="AU52" s="51"/>
      <c r="AV52" s="51">
        <f t="shared" si="757"/>
        <v>0</v>
      </c>
      <c r="AW52" s="54"/>
      <c r="AX52" s="51">
        <f t="shared" si="819"/>
        <v>0.575</v>
      </c>
      <c r="AY52" s="51"/>
      <c r="AZ52" s="51">
        <f t="shared" si="759"/>
        <v>0</v>
      </c>
      <c r="BA52" s="54"/>
      <c r="BB52" s="51">
        <f t="shared" si="729"/>
        <v>0.575</v>
      </c>
      <c r="BC52" s="51"/>
      <c r="BD52" s="51">
        <f t="shared" si="760"/>
        <v>0</v>
      </c>
      <c r="BE52" s="54"/>
      <c r="BF52" s="51">
        <f t="shared" si="820"/>
        <v>0.575</v>
      </c>
      <c r="BG52" s="51"/>
      <c r="BH52" s="51">
        <f t="shared" si="761"/>
        <v>0</v>
      </c>
      <c r="BI52" s="54"/>
      <c r="BJ52" s="51">
        <f t="shared" si="821"/>
        <v>0.575</v>
      </c>
      <c r="BK52" s="51">
        <f t="shared" si="822"/>
        <v>0</v>
      </c>
      <c r="BL52" s="51">
        <f t="shared" si="762"/>
        <v>0</v>
      </c>
      <c r="BM52" s="54"/>
      <c r="BN52" s="51">
        <f t="shared" si="823"/>
        <v>0.575</v>
      </c>
      <c r="BO52" s="51">
        <f t="shared" si="824"/>
        <v>0</v>
      </c>
      <c r="BP52" s="51">
        <f t="shared" si="763"/>
        <v>0</v>
      </c>
      <c r="BQ52" s="54"/>
      <c r="BR52" s="51">
        <f t="shared" si="825"/>
        <v>0.575</v>
      </c>
      <c r="BS52" s="51">
        <f t="shared" si="826"/>
        <v>0</v>
      </c>
      <c r="BT52" s="51">
        <f t="shared" si="764"/>
        <v>0</v>
      </c>
      <c r="BU52" s="54"/>
      <c r="BV52" s="51">
        <f t="shared" si="827"/>
        <v>0.575</v>
      </c>
      <c r="BW52" s="51">
        <f t="shared" si="828"/>
        <v>0</v>
      </c>
      <c r="BX52" s="51">
        <f t="shared" si="765"/>
        <v>0</v>
      </c>
      <c r="BY52" s="54"/>
      <c r="BZ52" s="51">
        <f t="shared" si="829"/>
        <v>0.575</v>
      </c>
      <c r="CA52" s="51">
        <f t="shared" si="830"/>
        <v>0</v>
      </c>
      <c r="CB52" s="51">
        <f t="shared" si="766"/>
        <v>0</v>
      </c>
      <c r="CC52" s="54"/>
      <c r="CD52" s="51">
        <f t="shared" si="831"/>
        <v>0.6325</v>
      </c>
      <c r="CE52" s="51">
        <f t="shared" si="832"/>
        <v>0</v>
      </c>
      <c r="CF52" s="51">
        <f t="shared" si="767"/>
        <v>0</v>
      </c>
      <c r="CG52" s="54"/>
      <c r="CH52" s="51">
        <f t="shared" si="833"/>
        <v>0.6325</v>
      </c>
      <c r="CI52" s="51">
        <f t="shared" si="834"/>
        <v>0</v>
      </c>
      <c r="CJ52" s="51">
        <f t="shared" si="768"/>
        <v>0</v>
      </c>
      <c r="CK52" s="54"/>
      <c r="CL52" s="51">
        <f t="shared" si="835"/>
        <v>0.6325</v>
      </c>
      <c r="CM52" s="51">
        <f t="shared" si="836"/>
        <v>0</v>
      </c>
      <c r="CN52" s="51">
        <f t="shared" si="769"/>
        <v>0</v>
      </c>
      <c r="CO52" s="54"/>
      <c r="CP52" s="51">
        <f t="shared" si="837"/>
        <v>0.6325</v>
      </c>
      <c r="CQ52" s="51">
        <f t="shared" si="838"/>
        <v>0</v>
      </c>
      <c r="CR52" s="51">
        <f t="shared" si="770"/>
        <v>0</v>
      </c>
      <c r="CS52" s="54"/>
      <c r="CT52" s="51">
        <f t="shared" si="839"/>
        <v>0.6325</v>
      </c>
      <c r="CU52" s="51">
        <f t="shared" si="840"/>
        <v>0</v>
      </c>
      <c r="CV52" s="51">
        <f t="shared" si="771"/>
        <v>0</v>
      </c>
      <c r="CW52" s="54"/>
      <c r="CX52" s="51">
        <f t="shared" si="730"/>
        <v>0.6325</v>
      </c>
      <c r="CY52" s="51">
        <f t="shared" si="731"/>
        <v>0</v>
      </c>
      <c r="CZ52" s="51">
        <f t="shared" si="772"/>
        <v>0</v>
      </c>
      <c r="DA52" s="54"/>
      <c r="DB52" s="51">
        <f t="shared" si="841"/>
        <v>0.6325</v>
      </c>
      <c r="DC52" s="51">
        <f t="shared" si="842"/>
        <v>0</v>
      </c>
      <c r="DD52" s="51">
        <f t="shared" si="773"/>
        <v>0</v>
      </c>
      <c r="DE52" s="54"/>
      <c r="DF52" s="51">
        <f t="shared" si="843"/>
        <v>0.6325</v>
      </c>
      <c r="DG52" s="51">
        <f t="shared" si="844"/>
        <v>0</v>
      </c>
      <c r="DH52" s="51">
        <f t="shared" si="774"/>
        <v>0</v>
      </c>
      <c r="DI52" s="54"/>
      <c r="DJ52" s="51">
        <f t="shared" si="845"/>
        <v>0.6325</v>
      </c>
      <c r="DK52" s="51">
        <f t="shared" si="846"/>
        <v>0</v>
      </c>
      <c r="DL52" s="51">
        <f t="shared" si="775"/>
        <v>0</v>
      </c>
      <c r="DM52" s="54"/>
      <c r="DN52" s="51">
        <f t="shared" si="847"/>
        <v>0.6325</v>
      </c>
      <c r="DO52" s="51">
        <f t="shared" si="848"/>
        <v>0</v>
      </c>
      <c r="DP52" s="51">
        <f t="shared" si="776"/>
        <v>0</v>
      </c>
      <c r="DQ52" s="54"/>
      <c r="DR52" s="51">
        <f t="shared" si="849"/>
        <v>0.6325</v>
      </c>
      <c r="DS52" s="51">
        <f t="shared" si="850"/>
        <v>0</v>
      </c>
      <c r="DT52" s="51">
        <f t="shared" si="777"/>
        <v>0</v>
      </c>
      <c r="DU52" s="54"/>
      <c r="DV52" s="51">
        <f t="shared" si="851"/>
        <v>0.6325</v>
      </c>
      <c r="DW52" s="51">
        <f t="shared" si="852"/>
        <v>0</v>
      </c>
      <c r="DX52" s="51">
        <f t="shared" si="778"/>
        <v>0</v>
      </c>
      <c r="DY52" s="54"/>
      <c r="DZ52" s="51">
        <f t="shared" si="853"/>
        <v>1.2017499999999999</v>
      </c>
      <c r="EA52" s="51">
        <f t="shared" si="854"/>
        <v>0</v>
      </c>
      <c r="EB52" s="51">
        <f t="shared" si="779"/>
        <v>0</v>
      </c>
      <c r="EC52" s="54"/>
      <c r="ED52" s="51">
        <f t="shared" si="855"/>
        <v>1.2017499999999999</v>
      </c>
      <c r="EE52" s="51">
        <f t="shared" si="856"/>
        <v>0</v>
      </c>
      <c r="EF52" s="51">
        <f t="shared" si="780"/>
        <v>0</v>
      </c>
      <c r="EG52" s="54"/>
      <c r="EH52" s="51">
        <f t="shared" si="857"/>
        <v>1.2017499999999999</v>
      </c>
      <c r="EI52" s="51">
        <f t="shared" si="858"/>
        <v>0</v>
      </c>
      <c r="EJ52" s="51">
        <f t="shared" si="781"/>
        <v>0</v>
      </c>
      <c r="EK52" s="54"/>
      <c r="EL52" s="51">
        <f t="shared" si="859"/>
        <v>1.2017499999999999</v>
      </c>
      <c r="EM52" s="51">
        <f t="shared" si="860"/>
        <v>0</v>
      </c>
      <c r="EN52" s="51">
        <f t="shared" si="782"/>
        <v>0</v>
      </c>
      <c r="EO52" s="54"/>
      <c r="EP52" s="51">
        <f t="shared" si="861"/>
        <v>1.2017499999999999</v>
      </c>
      <c r="EQ52" s="51">
        <f t="shared" si="862"/>
        <v>0</v>
      </c>
      <c r="ER52" s="51">
        <f t="shared" si="783"/>
        <v>0</v>
      </c>
      <c r="ES52" s="54"/>
      <c r="ET52" s="51">
        <f t="shared" si="732"/>
        <v>1.2017499999999999</v>
      </c>
      <c r="EU52" s="51">
        <f t="shared" si="733"/>
        <v>0</v>
      </c>
      <c r="EV52" s="51">
        <f t="shared" si="784"/>
        <v>0</v>
      </c>
      <c r="EW52" s="54"/>
      <c r="EX52" s="51">
        <f t="shared" si="863"/>
        <v>1.2017499999999999</v>
      </c>
      <c r="EY52" s="51">
        <f t="shared" si="864"/>
        <v>0</v>
      </c>
      <c r="EZ52" s="51">
        <f t="shared" si="785"/>
        <v>0</v>
      </c>
      <c r="FA52" s="54"/>
      <c r="FB52" s="51">
        <f t="shared" si="865"/>
        <v>1.2017499999999999</v>
      </c>
      <c r="FC52" s="51">
        <f t="shared" si="866"/>
        <v>0</v>
      </c>
      <c r="FD52" s="51">
        <f t="shared" si="786"/>
        <v>0</v>
      </c>
      <c r="FE52" s="54"/>
      <c r="FF52" s="51">
        <f t="shared" si="867"/>
        <v>1.2017499999999999</v>
      </c>
      <c r="FG52" s="51">
        <f t="shared" si="868"/>
        <v>0</v>
      </c>
      <c r="FH52" s="51">
        <f t="shared" si="787"/>
        <v>0</v>
      </c>
      <c r="FI52" s="54"/>
      <c r="FJ52" s="51">
        <f t="shared" si="869"/>
        <v>1.6223625</v>
      </c>
      <c r="FK52" s="51">
        <f t="shared" si="870"/>
        <v>0</v>
      </c>
      <c r="FL52" s="51">
        <f t="shared" si="788"/>
        <v>0</v>
      </c>
      <c r="FM52" s="54"/>
      <c r="FN52" s="51">
        <f t="shared" si="871"/>
        <v>1.6223625</v>
      </c>
      <c r="FO52" s="51">
        <f t="shared" si="872"/>
        <v>0</v>
      </c>
      <c r="FP52" s="51">
        <f t="shared" si="789"/>
        <v>0</v>
      </c>
      <c r="FQ52" s="54"/>
      <c r="FR52" s="51">
        <f t="shared" si="873"/>
        <v>1.6223625</v>
      </c>
      <c r="FS52" s="51">
        <f t="shared" si="874"/>
        <v>0</v>
      </c>
      <c r="FT52" s="51">
        <f t="shared" si="790"/>
        <v>0</v>
      </c>
      <c r="FU52" s="54"/>
      <c r="FV52" s="51">
        <f t="shared" si="875"/>
        <v>1.6223625</v>
      </c>
      <c r="FW52" s="51">
        <f t="shared" si="876"/>
        <v>0</v>
      </c>
      <c r="FX52" s="51">
        <f t="shared" si="791"/>
        <v>0</v>
      </c>
      <c r="FY52" s="54"/>
      <c r="FZ52" s="51">
        <f t="shared" si="877"/>
        <v>1.6223625</v>
      </c>
      <c r="GA52" s="51">
        <f t="shared" si="878"/>
        <v>0</v>
      </c>
      <c r="GB52" s="51">
        <f t="shared" si="792"/>
        <v>0</v>
      </c>
      <c r="GC52" s="54"/>
      <c r="GD52" s="51">
        <f t="shared" si="879"/>
        <v>1.6223625</v>
      </c>
      <c r="GE52" s="51">
        <f t="shared" si="880"/>
        <v>0</v>
      </c>
      <c r="GF52" s="51">
        <f t="shared" si="793"/>
        <v>0</v>
      </c>
      <c r="GG52" s="54"/>
      <c r="GH52" s="51">
        <f t="shared" si="881"/>
        <v>1.6223625</v>
      </c>
      <c r="GI52" s="51">
        <f t="shared" si="882"/>
        <v>0</v>
      </c>
      <c r="GJ52" s="51">
        <f t="shared" si="794"/>
        <v>0</v>
      </c>
      <c r="GK52" s="54"/>
      <c r="GL52" s="51">
        <f t="shared" si="883"/>
        <v>1.6223625</v>
      </c>
      <c r="GM52" s="51">
        <f t="shared" si="884"/>
        <v>0</v>
      </c>
      <c r="GN52" s="51">
        <f t="shared" si="795"/>
        <v>0</v>
      </c>
      <c r="GP52" s="51">
        <f t="shared" si="734"/>
        <v>1.6223625</v>
      </c>
      <c r="GQ52" s="51">
        <f t="shared" si="735"/>
        <v>0</v>
      </c>
      <c r="GR52" s="51">
        <f t="shared" si="796"/>
        <v>0</v>
      </c>
      <c r="GS52" s="54"/>
      <c r="GT52" s="51">
        <f t="shared" si="885"/>
        <v>1.6223625</v>
      </c>
      <c r="GU52" s="51">
        <f t="shared" si="886"/>
        <v>0</v>
      </c>
      <c r="GV52" s="51">
        <f t="shared" si="797"/>
        <v>0</v>
      </c>
      <c r="GW52" s="54"/>
      <c r="GX52" s="51">
        <f t="shared" si="887"/>
        <v>1.6223625</v>
      </c>
      <c r="GY52" s="51">
        <f t="shared" si="888"/>
        <v>0</v>
      </c>
      <c r="GZ52" s="51">
        <f t="shared" si="798"/>
        <v>0</v>
      </c>
      <c r="HA52" s="54"/>
      <c r="HB52" s="51">
        <f t="shared" si="889"/>
        <v>1.6223625</v>
      </c>
      <c r="HC52" s="51">
        <f t="shared" si="890"/>
        <v>0</v>
      </c>
      <c r="HD52" s="51">
        <f t="shared" si="799"/>
        <v>0</v>
      </c>
      <c r="HE52" s="54"/>
      <c r="HF52" s="51">
        <f t="shared" si="891"/>
        <v>2.59578</v>
      </c>
      <c r="HG52" s="51">
        <f t="shared" si="892"/>
        <v>0</v>
      </c>
      <c r="HH52" s="51">
        <f t="shared" si="800"/>
        <v>0</v>
      </c>
      <c r="HI52" s="54"/>
      <c r="HJ52" s="51">
        <f t="shared" si="893"/>
        <v>2.59578</v>
      </c>
      <c r="HK52" s="51">
        <f t="shared" si="894"/>
        <v>0</v>
      </c>
      <c r="HL52" s="51">
        <f t="shared" si="801"/>
        <v>0</v>
      </c>
      <c r="HM52" s="54"/>
      <c r="HN52" s="51">
        <f t="shared" si="895"/>
        <v>2.59578</v>
      </c>
      <c r="HO52" s="51">
        <f t="shared" si="896"/>
        <v>0</v>
      </c>
      <c r="HP52" s="51">
        <f t="shared" si="802"/>
        <v>0</v>
      </c>
      <c r="HQ52" s="54"/>
      <c r="HR52" s="51">
        <f t="shared" si="897"/>
        <v>2.59578</v>
      </c>
      <c r="HS52" s="51">
        <f t="shared" si="898"/>
        <v>0</v>
      </c>
      <c r="HT52" s="51">
        <f t="shared" si="803"/>
        <v>0</v>
      </c>
      <c r="HU52" s="54"/>
      <c r="HV52" s="51">
        <f t="shared" si="899"/>
        <v>2.59578</v>
      </c>
      <c r="HW52" s="51">
        <f t="shared" si="900"/>
        <v>0</v>
      </c>
      <c r="HX52" s="51">
        <f t="shared" si="804"/>
        <v>0</v>
      </c>
      <c r="HY52" s="54"/>
      <c r="HZ52" s="51">
        <f t="shared" si="901"/>
        <v>2.59578</v>
      </c>
      <c r="IA52" s="51">
        <f t="shared" si="902"/>
        <v>0</v>
      </c>
      <c r="IB52" s="51">
        <f t="shared" si="805"/>
        <v>0</v>
      </c>
      <c r="IC52" s="54"/>
      <c r="ID52" s="51">
        <f t="shared" si="903"/>
        <v>2.59578</v>
      </c>
      <c r="IE52" s="51">
        <f t="shared" si="904"/>
        <v>0</v>
      </c>
      <c r="IF52" s="51">
        <f t="shared" si="806"/>
        <v>0</v>
      </c>
      <c r="IG52" s="54"/>
      <c r="IH52" s="51">
        <f t="shared" si="905"/>
        <v>2.59578</v>
      </c>
      <c r="II52" s="51">
        <f t="shared" si="906"/>
        <v>0</v>
      </c>
      <c r="IJ52" s="51">
        <f t="shared" si="807"/>
        <v>0</v>
      </c>
      <c r="IL52" s="51">
        <f t="shared" si="736"/>
        <v>2.59578</v>
      </c>
      <c r="IM52" s="51">
        <f t="shared" si="737"/>
        <v>0</v>
      </c>
      <c r="IN52" s="51">
        <f t="shared" si="808"/>
        <v>0</v>
      </c>
      <c r="IO52" s="54"/>
      <c r="IP52" s="51">
        <f t="shared" si="907"/>
        <v>2.59578</v>
      </c>
      <c r="IQ52" s="51">
        <f t="shared" si="908"/>
        <v>0</v>
      </c>
      <c r="IR52" s="51">
        <f t="shared" si="809"/>
        <v>0</v>
      </c>
      <c r="IS52" s="54"/>
      <c r="IT52" s="51">
        <f t="shared" si="909"/>
        <v>2.59578</v>
      </c>
      <c r="IU52" s="51">
        <f t="shared" si="910"/>
        <v>0</v>
      </c>
      <c r="IV52" s="51">
        <f t="shared" si="810"/>
        <v>0</v>
      </c>
      <c r="IW52" s="54"/>
      <c r="IX52" s="51">
        <f t="shared" si="911"/>
        <v>2.59578</v>
      </c>
      <c r="IY52" s="51">
        <f t="shared" si="912"/>
        <v>0</v>
      </c>
      <c r="IZ52" s="51">
        <f t="shared" si="811"/>
        <v>0</v>
      </c>
      <c r="JA52" s="54"/>
      <c r="JB52" s="51" t="e">
        <f t="shared" si="913"/>
        <v>#REF!</v>
      </c>
      <c r="JC52" s="51">
        <f t="shared" si="914"/>
        <v>0</v>
      </c>
      <c r="JD52" s="51">
        <f t="shared" si="812"/>
        <v>0</v>
      </c>
      <c r="JE52" s="54"/>
      <c r="JF52" s="51" t="e">
        <f t="shared" si="915"/>
        <v>#REF!</v>
      </c>
      <c r="JG52" s="51">
        <f t="shared" si="916"/>
        <v>0</v>
      </c>
      <c r="JH52" s="51">
        <f t="shared" si="813"/>
        <v>0</v>
      </c>
      <c r="JI52" s="54"/>
      <c r="JJ52" s="51" t="e">
        <f t="shared" si="917"/>
        <v>#REF!</v>
      </c>
      <c r="JK52" s="51">
        <f t="shared" si="918"/>
        <v>0</v>
      </c>
      <c r="JL52" s="51">
        <f t="shared" si="814"/>
        <v>0</v>
      </c>
      <c r="JM52" s="54"/>
      <c r="JO52" s="80"/>
      <c r="JP52" s="80"/>
      <c r="JQ52" s="80">
        <f t="shared" si="738"/>
        <v>0</v>
      </c>
      <c r="JS52" s="80"/>
      <c r="JT52" s="80"/>
      <c r="JU52" s="80">
        <f t="shared" si="739"/>
        <v>0</v>
      </c>
      <c r="JW52" s="80"/>
      <c r="JX52" s="80"/>
      <c r="JY52" s="80">
        <f t="shared" si="740"/>
        <v>0</v>
      </c>
      <c r="KA52" s="80"/>
      <c r="KB52" s="80"/>
      <c r="KC52" s="80">
        <f t="shared" si="741"/>
        <v>0</v>
      </c>
      <c r="KE52" s="80"/>
      <c r="KF52" s="80"/>
      <c r="KG52" s="80">
        <f t="shared" si="742"/>
        <v>0</v>
      </c>
      <c r="KI52" s="80"/>
      <c r="KJ52" s="80"/>
      <c r="KK52" s="80">
        <f t="shared" si="743"/>
        <v>0</v>
      </c>
      <c r="KM52" s="80"/>
      <c r="KN52" s="80"/>
      <c r="KO52" s="80">
        <f t="shared" si="744"/>
        <v>0</v>
      </c>
    </row>
    <row r="53" ht="18.75" customHeight="1" spans="2:301" x14ac:dyDescent="0.25">
      <c r="B53" s="5" t="str">
        <f>A.IIOPEX!C53</f>
        <v>4i</v>
      </c>
      <c r="C53" s="27"/>
      <c r="D53" s="29">
        <f>A.IIOPEX!E53</f>
        <v>0</v>
      </c>
      <c r="E53" s="30"/>
      <c r="F53" s="51">
        <v>1</v>
      </c>
      <c r="G53" s="51"/>
      <c r="H53" s="51">
        <f>A.IIOPEX!I53</f>
        <v>0</v>
      </c>
      <c r="I53" s="54"/>
      <c r="J53" s="51">
        <f t="shared" si="724"/>
        <v>0.5</v>
      </c>
      <c r="K53" s="51"/>
      <c r="L53" s="51">
        <f t="shared" si="745"/>
        <v>0</v>
      </c>
      <c r="M53" s="54"/>
      <c r="N53" s="51">
        <f t="shared" si="725"/>
        <v>0.5</v>
      </c>
      <c r="O53" s="51"/>
      <c r="P53" s="51">
        <f t="shared" si="746"/>
        <v>0</v>
      </c>
      <c r="Q53" s="54"/>
      <c r="R53" s="51">
        <f t="shared" si="726"/>
        <v>0.5</v>
      </c>
      <c r="S53" s="51"/>
      <c r="T53" s="51">
        <f t="shared" si="747"/>
        <v>0</v>
      </c>
      <c r="U53" s="54"/>
      <c r="V53" s="51">
        <f t="shared" si="727"/>
        <v>0.5</v>
      </c>
      <c r="W53" s="51"/>
      <c r="X53" s="51">
        <f t="shared" si="748"/>
        <v>0</v>
      </c>
      <c r="Y53" s="54"/>
      <c r="Z53" s="51">
        <f t="shared" si="728"/>
        <v>0.5</v>
      </c>
      <c r="AA53" s="51"/>
      <c r="AB53" s="51">
        <f t="shared" si="749"/>
        <v>0</v>
      </c>
      <c r="AC53" s="54"/>
      <c r="AD53" s="51">
        <f t="shared" si="750"/>
        <v>0.5</v>
      </c>
      <c r="AE53" s="51"/>
      <c r="AF53" s="51">
        <f t="shared" si="751"/>
        <v>0</v>
      </c>
      <c r="AG53" s="54"/>
      <c r="AH53" s="51">
        <f t="shared" si="752"/>
        <v>0.575</v>
      </c>
      <c r="AI53" s="51"/>
      <c r="AJ53" s="51">
        <f t="shared" si="753"/>
        <v>0</v>
      </c>
      <c r="AK53" s="54"/>
      <c r="AL53" s="51">
        <f t="shared" si="816"/>
        <v>0.575</v>
      </c>
      <c r="AM53" s="51"/>
      <c r="AN53" s="51">
        <f t="shared" si="754"/>
        <v>0</v>
      </c>
      <c r="AO53" s="54"/>
      <c r="AP53" s="51">
        <f t="shared" si="817"/>
        <v>0.575</v>
      </c>
      <c r="AQ53" s="51"/>
      <c r="AR53" s="51">
        <f t="shared" si="756"/>
        <v>0</v>
      </c>
      <c r="AS53" s="54"/>
      <c r="AT53" s="51">
        <f t="shared" si="818"/>
        <v>0.575</v>
      </c>
      <c r="AU53" s="51"/>
      <c r="AV53" s="51">
        <f t="shared" si="757"/>
        <v>0</v>
      </c>
      <c r="AW53" s="54"/>
      <c r="AX53" s="51">
        <f t="shared" si="819"/>
        <v>0.575</v>
      </c>
      <c r="AY53" s="51"/>
      <c r="AZ53" s="51">
        <f t="shared" si="759"/>
        <v>0</v>
      </c>
      <c r="BA53" s="54"/>
      <c r="BB53" s="51">
        <f t="shared" si="729"/>
        <v>0.575</v>
      </c>
      <c r="BC53" s="51"/>
      <c r="BD53" s="51">
        <f t="shared" si="760"/>
        <v>0</v>
      </c>
      <c r="BE53" s="54"/>
      <c r="BF53" s="51">
        <f t="shared" si="820"/>
        <v>0.575</v>
      </c>
      <c r="BG53" s="51"/>
      <c r="BH53" s="51">
        <f t="shared" si="761"/>
        <v>0</v>
      </c>
      <c r="BI53" s="54"/>
      <c r="BJ53" s="51">
        <f t="shared" si="821"/>
        <v>0.575</v>
      </c>
      <c r="BK53" s="51">
        <f t="shared" si="822"/>
        <v>0</v>
      </c>
      <c r="BL53" s="51">
        <f t="shared" si="762"/>
        <v>0</v>
      </c>
      <c r="BM53" s="54"/>
      <c r="BN53" s="51">
        <f t="shared" si="823"/>
        <v>0.575</v>
      </c>
      <c r="BO53" s="51">
        <f t="shared" si="824"/>
        <v>0</v>
      </c>
      <c r="BP53" s="51">
        <f t="shared" si="763"/>
        <v>0</v>
      </c>
      <c r="BQ53" s="54"/>
      <c r="BR53" s="51">
        <f t="shared" si="825"/>
        <v>0.575</v>
      </c>
      <c r="BS53" s="51">
        <f t="shared" si="826"/>
        <v>0</v>
      </c>
      <c r="BT53" s="51">
        <f t="shared" si="764"/>
        <v>0</v>
      </c>
      <c r="BU53" s="54"/>
      <c r="BV53" s="51">
        <f t="shared" si="827"/>
        <v>0.575</v>
      </c>
      <c r="BW53" s="51">
        <f t="shared" si="828"/>
        <v>0</v>
      </c>
      <c r="BX53" s="51">
        <f t="shared" si="765"/>
        <v>0</v>
      </c>
      <c r="BY53" s="54"/>
      <c r="BZ53" s="51">
        <f t="shared" si="829"/>
        <v>0.575</v>
      </c>
      <c r="CA53" s="51">
        <f t="shared" si="830"/>
        <v>0</v>
      </c>
      <c r="CB53" s="51">
        <f t="shared" si="766"/>
        <v>0</v>
      </c>
      <c r="CC53" s="54"/>
      <c r="CD53" s="51">
        <f t="shared" si="831"/>
        <v>0.6325</v>
      </c>
      <c r="CE53" s="51">
        <f t="shared" si="832"/>
        <v>0</v>
      </c>
      <c r="CF53" s="51">
        <f t="shared" si="767"/>
        <v>0</v>
      </c>
      <c r="CG53" s="54"/>
      <c r="CH53" s="51">
        <f t="shared" si="833"/>
        <v>0.6325</v>
      </c>
      <c r="CI53" s="51">
        <f t="shared" si="834"/>
        <v>0</v>
      </c>
      <c r="CJ53" s="51">
        <f t="shared" si="768"/>
        <v>0</v>
      </c>
      <c r="CK53" s="54"/>
      <c r="CL53" s="51">
        <f t="shared" si="835"/>
        <v>0.6325</v>
      </c>
      <c r="CM53" s="51">
        <f t="shared" si="836"/>
        <v>0</v>
      </c>
      <c r="CN53" s="51">
        <f t="shared" si="769"/>
        <v>0</v>
      </c>
      <c r="CO53" s="54"/>
      <c r="CP53" s="51">
        <f t="shared" si="837"/>
        <v>0.6325</v>
      </c>
      <c r="CQ53" s="51">
        <f t="shared" si="838"/>
        <v>0</v>
      </c>
      <c r="CR53" s="51">
        <f t="shared" si="770"/>
        <v>0</v>
      </c>
      <c r="CS53" s="54"/>
      <c r="CT53" s="51">
        <f t="shared" si="839"/>
        <v>0.6325</v>
      </c>
      <c r="CU53" s="51">
        <f t="shared" si="840"/>
        <v>0</v>
      </c>
      <c r="CV53" s="51">
        <f t="shared" si="771"/>
        <v>0</v>
      </c>
      <c r="CW53" s="54"/>
      <c r="CX53" s="51">
        <f t="shared" si="730"/>
        <v>0.6325</v>
      </c>
      <c r="CY53" s="51">
        <f t="shared" si="731"/>
        <v>0</v>
      </c>
      <c r="CZ53" s="51">
        <f t="shared" si="772"/>
        <v>0</v>
      </c>
      <c r="DA53" s="54"/>
      <c r="DB53" s="51">
        <f t="shared" si="841"/>
        <v>0.6325</v>
      </c>
      <c r="DC53" s="51">
        <f t="shared" si="842"/>
        <v>0</v>
      </c>
      <c r="DD53" s="51">
        <f t="shared" si="773"/>
        <v>0</v>
      </c>
      <c r="DE53" s="54"/>
      <c r="DF53" s="51">
        <f t="shared" si="843"/>
        <v>0.6325</v>
      </c>
      <c r="DG53" s="51">
        <f t="shared" si="844"/>
        <v>0</v>
      </c>
      <c r="DH53" s="51">
        <f t="shared" si="774"/>
        <v>0</v>
      </c>
      <c r="DI53" s="54"/>
      <c r="DJ53" s="51">
        <f t="shared" si="845"/>
        <v>0.6325</v>
      </c>
      <c r="DK53" s="51">
        <f t="shared" si="846"/>
        <v>0</v>
      </c>
      <c r="DL53" s="51">
        <f t="shared" si="775"/>
        <v>0</v>
      </c>
      <c r="DM53" s="54"/>
      <c r="DN53" s="51">
        <f t="shared" si="847"/>
        <v>0.6325</v>
      </c>
      <c r="DO53" s="51">
        <f t="shared" si="848"/>
        <v>0</v>
      </c>
      <c r="DP53" s="51">
        <f t="shared" si="776"/>
        <v>0</v>
      </c>
      <c r="DQ53" s="54"/>
      <c r="DR53" s="51">
        <f t="shared" si="849"/>
        <v>0.6325</v>
      </c>
      <c r="DS53" s="51">
        <f t="shared" si="850"/>
        <v>0</v>
      </c>
      <c r="DT53" s="51">
        <f t="shared" si="777"/>
        <v>0</v>
      </c>
      <c r="DU53" s="54"/>
      <c r="DV53" s="51">
        <f t="shared" si="851"/>
        <v>0.6325</v>
      </c>
      <c r="DW53" s="51">
        <f t="shared" si="852"/>
        <v>0</v>
      </c>
      <c r="DX53" s="51">
        <f t="shared" si="778"/>
        <v>0</v>
      </c>
      <c r="DY53" s="54"/>
      <c r="DZ53" s="51">
        <f t="shared" si="853"/>
        <v>1.2017499999999999</v>
      </c>
      <c r="EA53" s="51">
        <f t="shared" si="854"/>
        <v>0</v>
      </c>
      <c r="EB53" s="51">
        <f t="shared" si="779"/>
        <v>0</v>
      </c>
      <c r="EC53" s="54"/>
      <c r="ED53" s="51">
        <f t="shared" si="855"/>
        <v>1.2017499999999999</v>
      </c>
      <c r="EE53" s="51">
        <f t="shared" si="856"/>
        <v>0</v>
      </c>
      <c r="EF53" s="51">
        <f t="shared" si="780"/>
        <v>0</v>
      </c>
      <c r="EG53" s="54"/>
      <c r="EH53" s="51">
        <f t="shared" si="857"/>
        <v>1.2017499999999999</v>
      </c>
      <c r="EI53" s="51">
        <f t="shared" si="858"/>
        <v>0</v>
      </c>
      <c r="EJ53" s="51">
        <f t="shared" si="781"/>
        <v>0</v>
      </c>
      <c r="EK53" s="54"/>
      <c r="EL53" s="51">
        <f t="shared" si="859"/>
        <v>1.2017499999999999</v>
      </c>
      <c r="EM53" s="51">
        <f t="shared" si="860"/>
        <v>0</v>
      </c>
      <c r="EN53" s="51">
        <f t="shared" si="782"/>
        <v>0</v>
      </c>
      <c r="EO53" s="54"/>
      <c r="EP53" s="51">
        <f t="shared" si="861"/>
        <v>1.2017499999999999</v>
      </c>
      <c r="EQ53" s="51">
        <f t="shared" si="862"/>
        <v>0</v>
      </c>
      <c r="ER53" s="51">
        <f t="shared" si="783"/>
        <v>0</v>
      </c>
      <c r="ES53" s="54"/>
      <c r="ET53" s="51">
        <f t="shared" si="732"/>
        <v>1.2017499999999999</v>
      </c>
      <c r="EU53" s="51">
        <f t="shared" si="733"/>
        <v>0</v>
      </c>
      <c r="EV53" s="51">
        <f t="shared" si="784"/>
        <v>0</v>
      </c>
      <c r="EW53" s="54"/>
      <c r="EX53" s="51">
        <f t="shared" si="863"/>
        <v>1.2017499999999999</v>
      </c>
      <c r="EY53" s="51">
        <f t="shared" si="864"/>
        <v>0</v>
      </c>
      <c r="EZ53" s="51">
        <f t="shared" si="785"/>
        <v>0</v>
      </c>
      <c r="FA53" s="54"/>
      <c r="FB53" s="51">
        <f t="shared" si="865"/>
        <v>1.2017499999999999</v>
      </c>
      <c r="FC53" s="51">
        <f t="shared" si="866"/>
        <v>0</v>
      </c>
      <c r="FD53" s="51">
        <f t="shared" si="786"/>
        <v>0</v>
      </c>
      <c r="FE53" s="54"/>
      <c r="FF53" s="51">
        <f t="shared" si="867"/>
        <v>1.2017499999999999</v>
      </c>
      <c r="FG53" s="51">
        <f t="shared" si="868"/>
        <v>0</v>
      </c>
      <c r="FH53" s="51">
        <f t="shared" si="787"/>
        <v>0</v>
      </c>
      <c r="FI53" s="54"/>
      <c r="FJ53" s="51">
        <f t="shared" si="869"/>
        <v>1.6223625</v>
      </c>
      <c r="FK53" s="51">
        <f t="shared" si="870"/>
        <v>0</v>
      </c>
      <c r="FL53" s="51">
        <f t="shared" si="788"/>
        <v>0</v>
      </c>
      <c r="FM53" s="54"/>
      <c r="FN53" s="51">
        <f t="shared" si="871"/>
        <v>1.6223625</v>
      </c>
      <c r="FO53" s="51">
        <f t="shared" si="872"/>
        <v>0</v>
      </c>
      <c r="FP53" s="51">
        <f t="shared" si="789"/>
        <v>0</v>
      </c>
      <c r="FQ53" s="54"/>
      <c r="FR53" s="51">
        <f t="shared" si="873"/>
        <v>1.6223625</v>
      </c>
      <c r="FS53" s="51">
        <f t="shared" si="874"/>
        <v>0</v>
      </c>
      <c r="FT53" s="51">
        <f t="shared" si="790"/>
        <v>0</v>
      </c>
      <c r="FU53" s="54"/>
      <c r="FV53" s="51">
        <f t="shared" si="875"/>
        <v>1.6223625</v>
      </c>
      <c r="FW53" s="51">
        <f t="shared" si="876"/>
        <v>0</v>
      </c>
      <c r="FX53" s="51">
        <f t="shared" si="791"/>
        <v>0</v>
      </c>
      <c r="FY53" s="54"/>
      <c r="FZ53" s="51">
        <f t="shared" si="877"/>
        <v>1.6223625</v>
      </c>
      <c r="GA53" s="51">
        <f t="shared" si="878"/>
        <v>0</v>
      </c>
      <c r="GB53" s="51">
        <f t="shared" si="792"/>
        <v>0</v>
      </c>
      <c r="GC53" s="54"/>
      <c r="GD53" s="51">
        <f t="shared" si="879"/>
        <v>1.6223625</v>
      </c>
      <c r="GE53" s="51">
        <f t="shared" si="880"/>
        <v>0</v>
      </c>
      <c r="GF53" s="51">
        <f t="shared" si="793"/>
        <v>0</v>
      </c>
      <c r="GG53" s="54"/>
      <c r="GH53" s="51">
        <f t="shared" si="881"/>
        <v>1.6223625</v>
      </c>
      <c r="GI53" s="51">
        <f t="shared" si="882"/>
        <v>0</v>
      </c>
      <c r="GJ53" s="51">
        <f t="shared" si="794"/>
        <v>0</v>
      </c>
      <c r="GK53" s="54"/>
      <c r="GL53" s="51">
        <f t="shared" si="883"/>
        <v>1.6223625</v>
      </c>
      <c r="GM53" s="51">
        <f t="shared" si="884"/>
        <v>0</v>
      </c>
      <c r="GN53" s="51">
        <f t="shared" si="795"/>
        <v>0</v>
      </c>
      <c r="GP53" s="51">
        <f t="shared" si="734"/>
        <v>1.6223625</v>
      </c>
      <c r="GQ53" s="51">
        <f t="shared" si="735"/>
        <v>0</v>
      </c>
      <c r="GR53" s="51">
        <f t="shared" si="796"/>
        <v>0</v>
      </c>
      <c r="GS53" s="54"/>
      <c r="GT53" s="51">
        <f t="shared" si="885"/>
        <v>1.6223625</v>
      </c>
      <c r="GU53" s="51">
        <f t="shared" si="886"/>
        <v>0</v>
      </c>
      <c r="GV53" s="51">
        <f t="shared" si="797"/>
        <v>0</v>
      </c>
      <c r="GW53" s="54"/>
      <c r="GX53" s="51">
        <f t="shared" si="887"/>
        <v>1.6223625</v>
      </c>
      <c r="GY53" s="51">
        <f t="shared" si="888"/>
        <v>0</v>
      </c>
      <c r="GZ53" s="51">
        <f t="shared" si="798"/>
        <v>0</v>
      </c>
      <c r="HA53" s="54"/>
      <c r="HB53" s="51">
        <f t="shared" si="889"/>
        <v>1.6223625</v>
      </c>
      <c r="HC53" s="51">
        <f t="shared" si="890"/>
        <v>0</v>
      </c>
      <c r="HD53" s="51">
        <f t="shared" si="799"/>
        <v>0</v>
      </c>
      <c r="HE53" s="54"/>
      <c r="HF53" s="51">
        <f t="shared" si="891"/>
        <v>2.59578</v>
      </c>
      <c r="HG53" s="51">
        <f t="shared" si="892"/>
        <v>0</v>
      </c>
      <c r="HH53" s="51">
        <f t="shared" si="800"/>
        <v>0</v>
      </c>
      <c r="HI53" s="54"/>
      <c r="HJ53" s="51">
        <f t="shared" si="893"/>
        <v>2.59578</v>
      </c>
      <c r="HK53" s="51">
        <f t="shared" si="894"/>
        <v>0</v>
      </c>
      <c r="HL53" s="51">
        <f t="shared" si="801"/>
        <v>0</v>
      </c>
      <c r="HM53" s="54"/>
      <c r="HN53" s="51">
        <f t="shared" si="895"/>
        <v>2.59578</v>
      </c>
      <c r="HO53" s="51">
        <f t="shared" si="896"/>
        <v>0</v>
      </c>
      <c r="HP53" s="51">
        <f t="shared" si="802"/>
        <v>0</v>
      </c>
      <c r="HQ53" s="54"/>
      <c r="HR53" s="51">
        <f t="shared" si="897"/>
        <v>2.59578</v>
      </c>
      <c r="HS53" s="51">
        <f t="shared" si="898"/>
        <v>0</v>
      </c>
      <c r="HT53" s="51">
        <f t="shared" si="803"/>
        <v>0</v>
      </c>
      <c r="HU53" s="54"/>
      <c r="HV53" s="51">
        <f t="shared" si="899"/>
        <v>2.59578</v>
      </c>
      <c r="HW53" s="51">
        <f t="shared" si="900"/>
        <v>0</v>
      </c>
      <c r="HX53" s="51">
        <f t="shared" si="804"/>
        <v>0</v>
      </c>
      <c r="HY53" s="54"/>
      <c r="HZ53" s="51">
        <f t="shared" si="901"/>
        <v>2.59578</v>
      </c>
      <c r="IA53" s="51">
        <f t="shared" si="902"/>
        <v>0</v>
      </c>
      <c r="IB53" s="51">
        <f t="shared" si="805"/>
        <v>0</v>
      </c>
      <c r="IC53" s="54"/>
      <c r="ID53" s="51">
        <f t="shared" si="903"/>
        <v>2.59578</v>
      </c>
      <c r="IE53" s="51">
        <f t="shared" si="904"/>
        <v>0</v>
      </c>
      <c r="IF53" s="51">
        <f t="shared" si="806"/>
        <v>0</v>
      </c>
      <c r="IG53" s="54"/>
      <c r="IH53" s="51">
        <f t="shared" si="905"/>
        <v>2.59578</v>
      </c>
      <c r="II53" s="51">
        <f t="shared" si="906"/>
        <v>0</v>
      </c>
      <c r="IJ53" s="51">
        <f t="shared" si="807"/>
        <v>0</v>
      </c>
      <c r="IL53" s="51">
        <f t="shared" si="736"/>
        <v>2.59578</v>
      </c>
      <c r="IM53" s="51">
        <f t="shared" si="737"/>
        <v>0</v>
      </c>
      <c r="IN53" s="51">
        <f t="shared" si="808"/>
        <v>0</v>
      </c>
      <c r="IO53" s="54"/>
      <c r="IP53" s="51">
        <f t="shared" si="907"/>
        <v>2.59578</v>
      </c>
      <c r="IQ53" s="51">
        <f t="shared" si="908"/>
        <v>0</v>
      </c>
      <c r="IR53" s="51">
        <f t="shared" si="809"/>
        <v>0</v>
      </c>
      <c r="IS53" s="54"/>
      <c r="IT53" s="51">
        <f t="shared" si="909"/>
        <v>2.59578</v>
      </c>
      <c r="IU53" s="51">
        <f t="shared" si="910"/>
        <v>0</v>
      </c>
      <c r="IV53" s="51">
        <f t="shared" si="810"/>
        <v>0</v>
      </c>
      <c r="IW53" s="54"/>
      <c r="IX53" s="51">
        <f t="shared" si="911"/>
        <v>2.59578</v>
      </c>
      <c r="IY53" s="51">
        <f t="shared" si="912"/>
        <v>0</v>
      </c>
      <c r="IZ53" s="51">
        <f t="shared" si="811"/>
        <v>0</v>
      </c>
      <c r="JA53" s="54"/>
      <c r="JB53" s="51" t="e">
        <f t="shared" si="913"/>
        <v>#REF!</v>
      </c>
      <c r="JC53" s="51">
        <f t="shared" si="914"/>
        <v>0</v>
      </c>
      <c r="JD53" s="51">
        <f t="shared" si="812"/>
        <v>0</v>
      </c>
      <c r="JE53" s="54"/>
      <c r="JF53" s="51" t="e">
        <f t="shared" si="915"/>
        <v>#REF!</v>
      </c>
      <c r="JG53" s="51">
        <f t="shared" si="916"/>
        <v>0</v>
      </c>
      <c r="JH53" s="51">
        <f t="shared" si="813"/>
        <v>0</v>
      </c>
      <c r="JI53" s="54"/>
      <c r="JJ53" s="51" t="e">
        <f t="shared" si="917"/>
        <v>#REF!</v>
      </c>
      <c r="JK53" s="51">
        <f t="shared" si="918"/>
        <v>0</v>
      </c>
      <c r="JL53" s="51">
        <f t="shared" si="814"/>
        <v>0</v>
      </c>
      <c r="JM53" s="54"/>
      <c r="JO53" s="80"/>
      <c r="JP53" s="80"/>
      <c r="JQ53" s="80">
        <f t="shared" si="738"/>
        <v>0</v>
      </c>
      <c r="JS53" s="80"/>
      <c r="JT53" s="80"/>
      <c r="JU53" s="80">
        <f t="shared" si="739"/>
        <v>0</v>
      </c>
      <c r="JW53" s="80"/>
      <c r="JX53" s="80"/>
      <c r="JY53" s="80">
        <f t="shared" si="740"/>
        <v>0</v>
      </c>
      <c r="KA53" s="80"/>
      <c r="KB53" s="80"/>
      <c r="KC53" s="80">
        <f t="shared" si="741"/>
        <v>0</v>
      </c>
      <c r="KE53" s="80"/>
      <c r="KF53" s="80"/>
      <c r="KG53" s="80">
        <f t="shared" si="742"/>
        <v>0</v>
      </c>
      <c r="KI53" s="80"/>
      <c r="KJ53" s="80"/>
      <c r="KK53" s="80">
        <f t="shared" si="743"/>
        <v>0</v>
      </c>
      <c r="KM53" s="80"/>
      <c r="KN53" s="80"/>
      <c r="KO53" s="80">
        <f t="shared" si="744"/>
        <v>0</v>
      </c>
    </row>
    <row r="54" ht="18.75" customHeight="1" spans="2:301" x14ac:dyDescent="0.25">
      <c r="B54" s="34" t="s">
        <v>58</v>
      </c>
      <c r="C54" s="34"/>
      <c r="D54" s="34"/>
      <c r="E54" s="30"/>
      <c r="F54" s="81">
        <f>SUM(F45:F53)</f>
        <v>9</v>
      </c>
      <c r="G54" s="81"/>
      <c r="H54" s="81">
        <f>SUM(H45:H53)</f>
        <v>640000</v>
      </c>
      <c r="I54" s="81"/>
      <c r="J54" s="81">
        <f>SUM(J45:J53)</f>
        <v>4.5</v>
      </c>
      <c r="K54" s="81"/>
      <c r="L54" s="81">
        <f>SUM(L45:L53)</f>
        <v>320000</v>
      </c>
      <c r="M54" s="81"/>
      <c r="N54" s="81">
        <f>SUM(N45:N53)</f>
        <v>4.5</v>
      </c>
      <c r="O54" s="81"/>
      <c r="P54" s="81">
        <f>SUM(P45:P53)</f>
        <v>320000</v>
      </c>
      <c r="Q54" s="81"/>
      <c r="R54" s="81">
        <f>SUM(R45:R53)</f>
        <v>4.5</v>
      </c>
      <c r="S54" s="81"/>
      <c r="T54" s="81">
        <f>SUM(T45:T53)</f>
        <v>320000</v>
      </c>
      <c r="U54" s="81"/>
      <c r="V54" s="81">
        <f>SUM(V45:V53)</f>
        <v>4.5</v>
      </c>
      <c r="W54" s="81"/>
      <c r="X54" s="81">
        <f>SUM(X45:X53)</f>
        <v>320000</v>
      </c>
      <c r="Y54" s="81"/>
      <c r="Z54" s="81">
        <f>SUM(Z45:Z53)</f>
        <v>4.5</v>
      </c>
      <c r="AA54" s="81"/>
      <c r="AB54" s="81">
        <f>SUM(AB45:AB53)</f>
        <v>320000</v>
      </c>
      <c r="AC54" s="81"/>
      <c r="AD54" s="81">
        <f>SUM(AD45:AD53)</f>
        <v>4.5</v>
      </c>
      <c r="AE54" s="81"/>
      <c r="AF54" s="81">
        <f>SUM(AF45:AF53)</f>
        <v>320000</v>
      </c>
      <c r="AG54" s="81"/>
      <c r="AH54" s="81">
        <f>SUM(AH45:AH53)</f>
        <v>5.175000000000001</v>
      </c>
      <c r="AI54" s="81"/>
      <c r="AJ54" s="81">
        <f>SUM(AJ45:AJ53)</f>
        <v>368000</v>
      </c>
      <c r="AK54" s="81"/>
      <c r="AL54" s="81">
        <f>SUM(AL45:AL53)</f>
        <v>5.175000000000001</v>
      </c>
      <c r="AM54" s="81"/>
      <c r="AN54" s="81">
        <f>SUM(AN45:AN53)</f>
        <v>368000</v>
      </c>
      <c r="AO54" s="81"/>
      <c r="AP54" s="81">
        <f>SUM(AP45:AP53)</f>
        <v>5.175000000000001</v>
      </c>
      <c r="AQ54" s="81"/>
      <c r="AR54" s="81">
        <f>SUM(AR45:AR53)</f>
        <v>368000</v>
      </c>
      <c r="AS54" s="81"/>
      <c r="AT54" s="81">
        <f>SUM(AT45:AT53)</f>
        <v>5.175000000000001</v>
      </c>
      <c r="AU54" s="81"/>
      <c r="AV54" s="81">
        <f>SUM(AV45:AV53)</f>
        <v>368000</v>
      </c>
      <c r="AW54" s="81"/>
      <c r="AX54" s="81">
        <f>SUM(AX45:AX53)</f>
        <v>5.175000000000001</v>
      </c>
      <c r="AY54" s="81"/>
      <c r="AZ54" s="81">
        <f>SUM(AZ45:AZ53)</f>
        <v>368000</v>
      </c>
      <c r="BA54" s="81"/>
      <c r="BB54" s="81">
        <f>SUM(BB45:BB53)</f>
        <v>5.175000000000001</v>
      </c>
      <c r="BC54" s="81"/>
      <c r="BD54" s="81">
        <f>SUM(BD45:BD53)</f>
        <v>368000</v>
      </c>
      <c r="BE54" s="81"/>
      <c r="BF54" s="81">
        <f>SUM(BF45:BF53)</f>
        <v>5.175000000000001</v>
      </c>
      <c r="BG54" s="81"/>
      <c r="BH54" s="81">
        <f>SUM(BH45:BH53)</f>
        <v>368000</v>
      </c>
      <c r="BI54" s="81"/>
      <c r="BJ54" s="81">
        <f>SUM(BJ45:BJ53)</f>
        <v>5.175000000000001</v>
      </c>
      <c r="BK54" s="81"/>
      <c r="BL54" s="81">
        <f>SUM(BL45:BL53)</f>
        <v>368000</v>
      </c>
      <c r="BM54" s="81"/>
      <c r="BN54" s="81">
        <f>SUM(BN45:BN53)</f>
        <v>5.175000000000001</v>
      </c>
      <c r="BO54" s="81"/>
      <c r="BP54" s="81">
        <f>SUM(BP45:BP53)</f>
        <v>368000</v>
      </c>
      <c r="BQ54" s="81"/>
      <c r="BR54" s="81">
        <f>SUM(BR45:BR53)</f>
        <v>5.175000000000001</v>
      </c>
      <c r="BS54" s="81"/>
      <c r="BT54" s="81">
        <f>SUM(BT45:BT53)</f>
        <v>368000</v>
      </c>
      <c r="BU54" s="81"/>
      <c r="BV54" s="81">
        <f>SUM(BV45:BV53)</f>
        <v>5.175000000000001</v>
      </c>
      <c r="BW54" s="81"/>
      <c r="BX54" s="81">
        <f>SUM(BX45:BX53)</f>
        <v>368000</v>
      </c>
      <c r="BY54" s="81"/>
      <c r="BZ54" s="81">
        <f>SUM(BZ45:BZ53)</f>
        <v>5.175000000000001</v>
      </c>
      <c r="CA54" s="81"/>
      <c r="CB54" s="81">
        <f>SUM(CB45:CB53)</f>
        <v>368000</v>
      </c>
      <c r="CC54" s="81"/>
      <c r="CD54" s="81">
        <f>SUM(CD45:CD53)</f>
        <v>5.6925</v>
      </c>
      <c r="CE54" s="81"/>
      <c r="CF54" s="81">
        <f>SUM(CF45:CF53)</f>
        <v>404800</v>
      </c>
      <c r="CG54" s="81"/>
      <c r="CH54" s="81">
        <f>SUM(CH45:CH53)</f>
        <v>5.6925</v>
      </c>
      <c r="CI54" s="81"/>
      <c r="CJ54" s="81">
        <f>SUM(CJ45:CJ53)</f>
        <v>404800</v>
      </c>
      <c r="CK54" s="81"/>
      <c r="CL54" s="81">
        <f>SUM(CL45:CL53)</f>
        <v>5.6925</v>
      </c>
      <c r="CM54" s="81"/>
      <c r="CN54" s="81">
        <f>SUM(CN45:CN53)</f>
        <v>404800</v>
      </c>
      <c r="CO54" s="81"/>
      <c r="CP54" s="81">
        <f>SUM(CP45:CP53)</f>
        <v>5.6925</v>
      </c>
      <c r="CQ54" s="81"/>
      <c r="CR54" s="81">
        <f>SUM(CR45:CR53)</f>
        <v>404800</v>
      </c>
      <c r="CS54" s="81"/>
      <c r="CT54" s="81">
        <f>SUM(CT45:CT53)</f>
        <v>5.6925</v>
      </c>
      <c r="CU54" s="81"/>
      <c r="CV54" s="81">
        <f>SUM(CV45:CV53)</f>
        <v>404800</v>
      </c>
      <c r="CW54" s="81"/>
      <c r="CX54" s="81">
        <f>SUM(CX45:CX53)</f>
        <v>5.6925</v>
      </c>
      <c r="CY54" s="81"/>
      <c r="CZ54" s="81">
        <f>SUM(CZ45:CZ53)</f>
        <v>404800</v>
      </c>
      <c r="DA54" s="81"/>
      <c r="DB54" s="81">
        <f>SUM(DB45:DB53)</f>
        <v>5.6925</v>
      </c>
      <c r="DC54" s="81"/>
      <c r="DD54" s="81">
        <f>SUM(DD45:DD53)</f>
        <v>404800</v>
      </c>
      <c r="DE54" s="81"/>
      <c r="DF54" s="81">
        <f>SUM(DF45:DF53)</f>
        <v>5.6925</v>
      </c>
      <c r="DG54" s="81"/>
      <c r="DH54" s="81">
        <f>SUM(DH45:DH53)</f>
        <v>404800</v>
      </c>
      <c r="DI54" s="81"/>
      <c r="DJ54" s="81">
        <f>SUM(DJ45:DJ53)</f>
        <v>5.6925</v>
      </c>
      <c r="DK54" s="81"/>
      <c r="DL54" s="81">
        <f>SUM(DL45:DL53)</f>
        <v>404800</v>
      </c>
      <c r="DM54" s="81"/>
      <c r="DN54" s="81">
        <f>SUM(DN45:DN53)</f>
        <v>5.6925</v>
      </c>
      <c r="DO54" s="81"/>
      <c r="DP54" s="81">
        <f>SUM(DP45:DP53)</f>
        <v>404800</v>
      </c>
      <c r="DQ54" s="81"/>
      <c r="DR54" s="81">
        <f>SUM(DR45:DR53)</f>
        <v>5.6925</v>
      </c>
      <c r="DS54" s="81"/>
      <c r="DT54" s="81">
        <f>SUM(DT45:DT53)</f>
        <v>404800</v>
      </c>
      <c r="DU54" s="81"/>
      <c r="DV54" s="81">
        <f>SUM(DV45:DV53)</f>
        <v>5.6925</v>
      </c>
      <c r="DW54" s="81"/>
      <c r="DX54" s="81">
        <f>SUM(DX45:DX53)</f>
        <v>404800</v>
      </c>
      <c r="DY54" s="81"/>
      <c r="DZ54" s="81">
        <f>SUM(DZ45:DZ53)</f>
        <v>10.81575</v>
      </c>
      <c r="EA54" s="81"/>
      <c r="EB54" s="81">
        <f>SUM(EB45:EB53)</f>
        <v>769120</v>
      </c>
      <c r="EC54" s="81"/>
      <c r="ED54" s="81">
        <f>SUM(ED45:ED53)</f>
        <v>10.81575</v>
      </c>
      <c r="EE54" s="81"/>
      <c r="EF54" s="81">
        <f>SUM(EF45:EF53)</f>
        <v>769120</v>
      </c>
      <c r="EG54" s="81"/>
      <c r="EH54" s="81">
        <f>SUM(EH45:EH53)</f>
        <v>10.81575</v>
      </c>
      <c r="EI54" s="81"/>
      <c r="EJ54" s="81">
        <f>SUM(EJ45:EJ53)</f>
        <v>769120</v>
      </c>
      <c r="EK54" s="81"/>
      <c r="EL54" s="81">
        <f>SUM(EL45:EL53)</f>
        <v>10.81575</v>
      </c>
      <c r="EM54" s="81"/>
      <c r="EN54" s="81">
        <f>SUM(EN45:EN53)</f>
        <v>769120</v>
      </c>
      <c r="EO54" s="81"/>
      <c r="EP54" s="81">
        <f>SUM(EP45:EP53)</f>
        <v>10.81575</v>
      </c>
      <c r="EQ54" s="81"/>
      <c r="ER54" s="81">
        <f>SUM(ER45:ER53)</f>
        <v>769120</v>
      </c>
      <c r="ES54" s="81"/>
      <c r="ET54" s="81">
        <f>SUM(ET45:ET53)</f>
        <v>10.81575</v>
      </c>
      <c r="EU54" s="81"/>
      <c r="EV54" s="81">
        <f>SUM(EV45:EV53)</f>
        <v>769120</v>
      </c>
      <c r="EW54" s="81"/>
      <c r="EX54" s="81">
        <f>SUM(EX45:EX53)</f>
        <v>10.81575</v>
      </c>
      <c r="EY54" s="81"/>
      <c r="EZ54" s="81">
        <f>SUM(EZ45:EZ53)</f>
        <v>769120</v>
      </c>
      <c r="FA54" s="81"/>
      <c r="FB54" s="81">
        <f>SUM(FB45:FB53)</f>
        <v>10.81575</v>
      </c>
      <c r="FC54" s="81"/>
      <c r="FD54" s="81">
        <f>SUM(FD45:FD53)</f>
        <v>769120</v>
      </c>
      <c r="FE54" s="81"/>
      <c r="FF54" s="81">
        <f>SUM(FF45:FF53)</f>
        <v>10.81575</v>
      </c>
      <c r="FG54" s="81"/>
      <c r="FH54" s="81">
        <f>SUM(FH45:FH53)</f>
        <v>769120</v>
      </c>
      <c r="FI54" s="81"/>
      <c r="FJ54" s="81">
        <f>SUM(FJ45:FJ53)</f>
        <v>14.601262499999997</v>
      </c>
      <c r="FK54" s="81"/>
      <c r="FL54" s="81">
        <f>SUM(FL45:FL53)</f>
        <v>769120</v>
      </c>
      <c r="FM54" s="81"/>
      <c r="FN54" s="81">
        <f>SUM(FN45:FN53)</f>
        <v>14.601262499999997</v>
      </c>
      <c r="FO54" s="81"/>
      <c r="FP54" s="81">
        <f>SUM(FP45:FP53)</f>
        <v>769120</v>
      </c>
      <c r="FQ54" s="81"/>
      <c r="FR54" s="81">
        <f>SUM(FR45:FR53)</f>
        <v>14.601262499999997</v>
      </c>
      <c r="FS54" s="81"/>
      <c r="FT54" s="81">
        <f>SUM(FT45:FT53)</f>
        <v>769120</v>
      </c>
      <c r="FU54" s="81"/>
      <c r="FV54" s="81">
        <f>SUM(FV45:FV53)</f>
        <v>14.601262499999997</v>
      </c>
      <c r="FW54" s="81"/>
      <c r="FX54" s="81">
        <f>SUM(FX45:FX53)</f>
        <v>1038312</v>
      </c>
      <c r="FY54" s="81"/>
      <c r="FZ54" s="81">
        <f>SUM(FZ45:FZ53)</f>
        <v>14.601262499999997</v>
      </c>
      <c r="GA54" s="81"/>
      <c r="GB54" s="81">
        <f>SUM(GB45:GB53)</f>
        <v>1038312</v>
      </c>
      <c r="GC54" s="81"/>
      <c r="GD54" s="81">
        <f>SUM(GD45:GD53)</f>
        <v>14.601262499999997</v>
      </c>
      <c r="GE54" s="81"/>
      <c r="GF54" s="81">
        <f>SUM(GF45:GF53)</f>
        <v>1038312</v>
      </c>
      <c r="GG54" s="81"/>
      <c r="GH54" s="81">
        <f>SUM(GH45:GH53)</f>
        <v>14.601262499999997</v>
      </c>
      <c r="GI54" s="81"/>
      <c r="GJ54" s="81">
        <f>SUM(GJ45:GJ53)</f>
        <v>1038312</v>
      </c>
      <c r="GK54" s="81"/>
      <c r="GL54" s="81">
        <f>SUM(GL45:GL53)</f>
        <v>14.601262499999997</v>
      </c>
      <c r="GM54" s="81"/>
      <c r="GN54" s="81">
        <f>SUM(GN45:GN53)</f>
        <v>1038312</v>
      </c>
      <c r="GO54" s="9"/>
      <c r="GP54" s="81">
        <f>SUM(GP45:GP53)</f>
        <v>14.601262499999997</v>
      </c>
      <c r="GQ54" s="81"/>
      <c r="GR54" s="81">
        <f>SUM(GR45:GR53)</f>
        <v>1038312</v>
      </c>
      <c r="GS54" s="81"/>
      <c r="GT54" s="81">
        <f>SUM(GT45:GT53)</f>
        <v>14.601262499999997</v>
      </c>
      <c r="GU54" s="81"/>
      <c r="GV54" s="81">
        <f>SUM(GV45:GV53)</f>
        <v>1038312</v>
      </c>
      <c r="GW54" s="81"/>
      <c r="GX54" s="81">
        <f>SUM(GX45:GX53)</f>
        <v>14.601262499999997</v>
      </c>
      <c r="GY54" s="81"/>
      <c r="GZ54" s="81">
        <f>SUM(GZ45:GZ53)</f>
        <v>1038312</v>
      </c>
      <c r="HA54" s="81"/>
      <c r="HB54" s="81">
        <f>SUM(HB45:HB53)</f>
        <v>14.601262499999997</v>
      </c>
      <c r="HC54" s="81"/>
      <c r="HD54" s="81">
        <f>SUM(HD45:HD53)</f>
        <v>1038312</v>
      </c>
      <c r="HE54" s="81"/>
      <c r="HF54" s="81">
        <f>SUM(HF45:HF53)</f>
        <v>23.36202</v>
      </c>
      <c r="HG54" s="81"/>
      <c r="HH54" s="81">
        <f>SUM(HH45:HH53)</f>
        <v>1038312</v>
      </c>
      <c r="HI54" s="81"/>
      <c r="HJ54" s="81">
        <f>SUM(HJ45:HJ53)</f>
        <v>23.36202</v>
      </c>
      <c r="HK54" s="81"/>
      <c r="HL54" s="81">
        <f>SUM(HL45:HL53)</f>
        <v>1038312</v>
      </c>
      <c r="HM54" s="81"/>
      <c r="HN54" s="81">
        <f>SUM(HN45:HN53)</f>
        <v>23.36202</v>
      </c>
      <c r="HO54" s="81"/>
      <c r="HP54" s="81">
        <f>SUM(HP45:HP53)</f>
        <v>1038312</v>
      </c>
      <c r="HQ54" s="81"/>
      <c r="HR54" s="81">
        <f>SUM(HR45:HR53)</f>
        <v>23.36202</v>
      </c>
      <c r="HS54" s="81"/>
      <c r="HT54" s="81">
        <f>SUM(HT45:HT53)</f>
        <v>1661299.2000000002</v>
      </c>
      <c r="HU54" s="81"/>
      <c r="HV54" s="81">
        <f>SUM(HV45:HV53)</f>
        <v>23.36202</v>
      </c>
      <c r="HW54" s="81"/>
      <c r="HX54" s="81">
        <f>SUM(HX45:HX53)</f>
        <v>1661299.2000000002</v>
      </c>
      <c r="HY54" s="81"/>
      <c r="HZ54" s="81">
        <f>SUM(HZ45:HZ53)</f>
        <v>23.36202</v>
      </c>
      <c r="IA54" s="81"/>
      <c r="IB54" s="81">
        <f>SUM(IB45:IB53)</f>
        <v>1661299.2000000002</v>
      </c>
      <c r="IC54" s="81"/>
      <c r="ID54" s="81">
        <f>SUM(ID45:ID53)</f>
        <v>23.36202</v>
      </c>
      <c r="IE54" s="81"/>
      <c r="IF54" s="81">
        <f>SUM(IF45:IF53)</f>
        <v>1661299.2000000002</v>
      </c>
      <c r="IG54" s="81"/>
      <c r="IH54" s="81">
        <f>SUM(IH45:IH53)</f>
        <v>23.36202</v>
      </c>
      <c r="II54" s="81"/>
      <c r="IJ54" s="81">
        <f>SUM(IJ45:IJ53)</f>
        <v>1661299.2000000002</v>
      </c>
      <c r="IK54" s="9"/>
      <c r="IL54" s="81">
        <f>SUM(IL45:IL53)</f>
        <v>23.36202</v>
      </c>
      <c r="IM54" s="81"/>
      <c r="IN54" s="81">
        <f>SUM(IN45:IN53)</f>
        <v>1661299.2000000002</v>
      </c>
      <c r="IO54" s="81"/>
      <c r="IP54" s="81">
        <f>SUM(IP45:IP53)</f>
        <v>23.36202</v>
      </c>
      <c r="IQ54" s="81"/>
      <c r="IR54" s="81">
        <f>SUM(IR45:IR53)</f>
        <v>1661299.2000000002</v>
      </c>
      <c r="IS54" s="81"/>
      <c r="IT54" s="81">
        <f>SUM(IT45:IT53)</f>
        <v>23.36202</v>
      </c>
      <c r="IU54" s="81"/>
      <c r="IV54" s="81">
        <f>SUM(IV45:IV53)</f>
        <v>1661299.2000000002</v>
      </c>
      <c r="IW54" s="81"/>
      <c r="IX54" s="81">
        <f>SUM(IX45:IX53)</f>
        <v>23.36202</v>
      </c>
      <c r="IY54" s="81"/>
      <c r="IZ54" s="81">
        <f>SUM(IZ45:IZ53)</f>
        <v>1661299.2000000002</v>
      </c>
      <c r="JA54" s="81"/>
      <c r="JB54" s="81" t="e">
        <f>SUM(JB45:JB53)</f>
        <v>#REF!</v>
      </c>
      <c r="JC54" s="81"/>
      <c r="JD54" s="81">
        <f>SUM(JD45:JD53)</f>
        <v>1661299.2000000002</v>
      </c>
      <c r="JE54" s="81"/>
      <c r="JF54" s="81" t="e">
        <f>SUM(JF45:JF53)</f>
        <v>#REF!</v>
      </c>
      <c r="JG54" s="81"/>
      <c r="JH54" s="81">
        <f>SUM(JH45:JH53)</f>
        <v>1661299.2000000002</v>
      </c>
      <c r="JI54" s="81"/>
      <c r="JJ54" s="81" t="e">
        <f>SUM(JJ45:JJ53)</f>
        <v>#REF!</v>
      </c>
      <c r="JK54" s="81"/>
      <c r="JL54" s="81">
        <f>SUM(JL45:JL53)</f>
        <v>1661299.2000000002</v>
      </c>
      <c r="JM54" s="81"/>
      <c r="JN54" s="9"/>
      <c r="JO54" s="81"/>
      <c r="JP54" s="81"/>
      <c r="JQ54" s="80">
        <f t="shared" si="738"/>
        <v>3296000</v>
      </c>
      <c r="JS54" s="81"/>
      <c r="JT54" s="81"/>
      <c r="JU54" s="80">
        <f t="shared" si="739"/>
        <v>3680000</v>
      </c>
      <c r="JW54" s="81"/>
      <c r="JX54" s="81"/>
      <c r="JY54" s="80">
        <f t="shared" si="740"/>
        <v>4857600</v>
      </c>
      <c r="KA54" s="81"/>
      <c r="KB54" s="81"/>
      <c r="KC54" s="80">
        <f t="shared" si="741"/>
        <v>9229440</v>
      </c>
      <c r="KE54" s="81"/>
      <c r="KF54" s="81"/>
      <c r="KG54" s="80">
        <f t="shared" si="742"/>
        <v>12459744</v>
      </c>
      <c r="KI54" s="81"/>
      <c r="KJ54" s="81"/>
      <c r="KK54" s="80">
        <f t="shared" si="743"/>
        <v>19935590.4</v>
      </c>
      <c r="KM54" s="81"/>
      <c r="KN54" s="81"/>
      <c r="KO54" s="80">
        <f t="shared" si="744"/>
        <v>19935590.4</v>
      </c>
    </row>
    <row r="55" ht="9.75" customHeight="1" spans="2:301" x14ac:dyDescent="0.25">
      <c r="B55" s="9"/>
      <c r="C55" s="28"/>
      <c r="D55" s="30"/>
      <c r="E55" s="30"/>
      <c r="F55" s="54"/>
      <c r="G55" s="54"/>
      <c r="H55" s="54"/>
      <c r="I55" s="54"/>
      <c r="J55" s="54"/>
      <c r="K55" s="54"/>
      <c r="L55" s="54"/>
      <c r="M55" s="54"/>
      <c r="N55" s="54"/>
      <c r="O55" s="54"/>
      <c r="P55" s="54"/>
      <c r="Q55" s="54"/>
      <c r="R55" s="54"/>
      <c r="S55" s="54"/>
      <c r="T55" s="54"/>
      <c r="U55" s="54"/>
      <c r="V55" s="54"/>
      <c r="W55" s="54"/>
      <c r="X55" s="54"/>
      <c r="Y55" s="54"/>
      <c r="Z55" s="54"/>
      <c r="AA55" s="54"/>
      <c r="AB55" s="54"/>
      <c r="AC55" s="54"/>
      <c r="AD55" s="54"/>
      <c r="AE55" s="54"/>
      <c r="AF55" s="54"/>
      <c r="AG55" s="54"/>
      <c r="AH55" s="54"/>
      <c r="AI55" s="54"/>
      <c r="AJ55" s="54"/>
      <c r="AK55" s="54"/>
      <c r="AL55" s="54"/>
      <c r="AM55" s="54"/>
      <c r="AN55" s="54"/>
      <c r="AO55" s="54"/>
      <c r="AP55" s="54"/>
      <c r="AQ55" s="54"/>
      <c r="AR55" s="54"/>
      <c r="AS55" s="54"/>
      <c r="AT55" s="54"/>
      <c r="AU55" s="54"/>
      <c r="AV55" s="54"/>
      <c r="AW55" s="54"/>
      <c r="AX55" s="54"/>
      <c r="AY55" s="54"/>
      <c r="AZ55" s="54"/>
      <c r="BA55" s="54"/>
      <c r="BB55" s="54"/>
      <c r="BC55" s="54"/>
      <c r="BD55" s="54"/>
      <c r="BE55" s="54"/>
      <c r="BF55" s="54"/>
      <c r="BG55" s="54"/>
      <c r="BH55" s="54"/>
      <c r="BI55" s="54"/>
      <c r="BJ55" s="54"/>
      <c r="BK55" s="54"/>
      <c r="BL55" s="54"/>
      <c r="BM55" s="54"/>
      <c r="BN55" s="54"/>
      <c r="BO55" s="54"/>
      <c r="BP55" s="54"/>
      <c r="BQ55" s="54"/>
      <c r="BR55" s="54"/>
      <c r="BS55" s="54"/>
      <c r="BT55" s="54"/>
      <c r="BU55" s="54"/>
      <c r="BV55" s="54"/>
      <c r="BW55" s="54"/>
      <c r="BX55" s="54"/>
      <c r="BY55" s="54"/>
      <c r="BZ55" s="54"/>
      <c r="CA55" s="54"/>
      <c r="CB55" s="54"/>
      <c r="CC55" s="54"/>
      <c r="CD55" s="54"/>
      <c r="CE55" s="54"/>
      <c r="CF55" s="54"/>
      <c r="CG55" s="54"/>
      <c r="CH55" s="54"/>
      <c r="CI55" s="54"/>
      <c r="CJ55" s="54"/>
      <c r="CK55" s="54"/>
      <c r="CL55" s="54"/>
      <c r="CM55" s="54"/>
      <c r="CN55" s="54"/>
      <c r="CO55" s="54"/>
      <c r="CP55" s="54"/>
      <c r="CQ55" s="54"/>
      <c r="CR55" s="54"/>
      <c r="CS55" s="54"/>
      <c r="CT55" s="54"/>
      <c r="CU55" s="54"/>
      <c r="CV55" s="54"/>
      <c r="CW55" s="54"/>
      <c r="CX55" s="54"/>
      <c r="CY55" s="54"/>
      <c r="CZ55" s="54"/>
      <c r="DA55" s="54"/>
      <c r="DB55" s="54"/>
      <c r="DC55" s="54"/>
      <c r="DD55" s="54"/>
      <c r="DE55" s="54"/>
      <c r="DF55" s="54"/>
      <c r="DG55" s="54"/>
      <c r="DH55" s="54"/>
      <c r="DI55" s="54"/>
      <c r="DJ55" s="54"/>
      <c r="DK55" s="54"/>
      <c r="DL55" s="54"/>
      <c r="DM55" s="54"/>
      <c r="DN55" s="54"/>
      <c r="DO55" s="54"/>
      <c r="DP55" s="54"/>
      <c r="DQ55" s="54"/>
      <c r="DR55" s="54"/>
      <c r="DS55" s="54"/>
      <c r="DT55" s="54"/>
      <c r="DU55" s="54"/>
      <c r="DV55" s="54"/>
      <c r="DW55" s="54"/>
      <c r="DX55" s="54"/>
      <c r="DY55" s="54"/>
      <c r="DZ55" s="54"/>
      <c r="EA55" s="54"/>
      <c r="EB55" s="54"/>
      <c r="EC55" s="54"/>
      <c r="ED55" s="54"/>
      <c r="EE55" s="54"/>
      <c r="EF55" s="54"/>
      <c r="EG55" s="54"/>
      <c r="EH55" s="54"/>
      <c r="EI55" s="54"/>
      <c r="EJ55" s="54"/>
      <c r="EK55" s="54"/>
      <c r="EL55" s="54"/>
      <c r="EM55" s="54"/>
      <c r="EN55" s="54"/>
      <c r="EO55" s="54"/>
      <c r="EP55" s="54"/>
      <c r="EQ55" s="54"/>
      <c r="ER55" s="54"/>
      <c r="ES55" s="54"/>
      <c r="ET55" s="54"/>
      <c r="EU55" s="54"/>
      <c r="EV55" s="54"/>
      <c r="EW55" s="54"/>
      <c r="EX55" s="54"/>
      <c r="EY55" s="54"/>
      <c r="EZ55" s="54"/>
      <c r="FA55" s="54"/>
      <c r="FB55" s="54"/>
      <c r="FC55" s="54"/>
      <c r="FD55" s="54"/>
      <c r="FE55" s="54"/>
      <c r="FF55" s="54"/>
      <c r="FG55" s="54"/>
      <c r="FH55" s="54"/>
      <c r="FI55" s="54"/>
      <c r="FJ55" s="54"/>
      <c r="FK55" s="54"/>
      <c r="FL55" s="54"/>
      <c r="FM55" s="54"/>
      <c r="FN55" s="54"/>
      <c r="FO55" s="54"/>
      <c r="FP55" s="54"/>
      <c r="FQ55" s="54"/>
      <c r="FR55" s="54"/>
      <c r="FS55" s="54"/>
      <c r="FT55" s="54"/>
      <c r="FU55" s="54"/>
      <c r="FV55" s="54"/>
      <c r="FW55" s="54"/>
      <c r="FX55" s="54"/>
      <c r="FY55" s="54"/>
      <c r="FZ55" s="54"/>
      <c r="GA55" s="54"/>
      <c r="GB55" s="54"/>
      <c r="GC55" s="54"/>
      <c r="GD55" s="54"/>
      <c r="GE55" s="54"/>
      <c r="GF55" s="54"/>
      <c r="GG55" s="54"/>
      <c r="GH55" s="54"/>
      <c r="GI55" s="54"/>
      <c r="GJ55" s="54"/>
      <c r="GK55" s="54"/>
      <c r="GL55" s="54"/>
      <c r="GM55" s="54"/>
      <c r="GN55" s="54"/>
      <c r="GP55" s="54"/>
      <c r="GQ55" s="54"/>
      <c r="GR55" s="54"/>
      <c r="GS55" s="54"/>
      <c r="GT55" s="54"/>
      <c r="GU55" s="54"/>
      <c r="GV55" s="54"/>
      <c r="GW55" s="54"/>
      <c r="GX55" s="54"/>
      <c r="GY55" s="54"/>
      <c r="GZ55" s="54"/>
      <c r="HA55" s="54"/>
      <c r="HB55" s="54"/>
      <c r="HC55" s="54"/>
      <c r="HD55" s="54"/>
      <c r="HE55" s="54"/>
      <c r="HF55" s="54"/>
      <c r="HG55" s="54"/>
      <c r="HH55" s="54"/>
      <c r="HI55" s="54"/>
      <c r="HJ55" s="54"/>
      <c r="HK55" s="54"/>
      <c r="HL55" s="54"/>
      <c r="HM55" s="54"/>
      <c r="HN55" s="54"/>
      <c r="HO55" s="54"/>
      <c r="HP55" s="54"/>
      <c r="HQ55" s="54"/>
      <c r="HR55" s="54"/>
      <c r="HS55" s="54"/>
      <c r="HT55" s="54"/>
      <c r="HU55" s="54"/>
      <c r="HV55" s="54"/>
      <c r="HW55" s="54"/>
      <c r="HX55" s="54"/>
      <c r="HY55" s="54"/>
      <c r="HZ55" s="54"/>
      <c r="IA55" s="54"/>
      <c r="IB55" s="54"/>
      <c r="IC55" s="54"/>
      <c r="ID55" s="54"/>
      <c r="IE55" s="54"/>
      <c r="IF55" s="54"/>
      <c r="IG55" s="54"/>
      <c r="IH55" s="54"/>
      <c r="II55" s="54"/>
      <c r="IJ55" s="54"/>
      <c r="IL55" s="54"/>
      <c r="IM55" s="54"/>
      <c r="IN55" s="54"/>
      <c r="IO55" s="54"/>
      <c r="IP55" s="54"/>
      <c r="IQ55" s="54"/>
      <c r="IR55" s="54"/>
      <c r="IS55" s="54"/>
      <c r="IT55" s="54"/>
      <c r="IU55" s="54"/>
      <c r="IV55" s="54"/>
      <c r="IW55" s="54"/>
      <c r="IX55" s="54"/>
      <c r="IY55" s="54"/>
      <c r="IZ55" s="54"/>
      <c r="JA55" s="54"/>
      <c r="JB55" s="54"/>
      <c r="JC55" s="54"/>
      <c r="JD55" s="54"/>
      <c r="JE55" s="54"/>
      <c r="JF55" s="54"/>
      <c r="JG55" s="54"/>
      <c r="JH55" s="54"/>
      <c r="JI55" s="54"/>
      <c r="JJ55" s="54"/>
      <c r="JK55" s="54"/>
      <c r="JL55" s="54"/>
      <c r="JM55" s="54"/>
      <c r="JO55" s="54"/>
      <c r="JP55" s="54"/>
      <c r="JQ55" s="54"/>
      <c r="JS55" s="54"/>
      <c r="JT55" s="54"/>
      <c r="JU55" s="54"/>
      <c r="JW55" s="54"/>
      <c r="JX55" s="54"/>
      <c r="JY55" s="54"/>
      <c r="KA55" s="54"/>
      <c r="KB55" s="54"/>
      <c r="KC55" s="54"/>
      <c r="KE55" s="54"/>
      <c r="KF55" s="54"/>
      <c r="KG55" s="54"/>
      <c r="KI55" s="54"/>
      <c r="KJ55" s="54"/>
      <c r="KK55" s="54"/>
      <c r="KM55" s="54"/>
      <c r="KN55" s="54"/>
      <c r="KO55" s="54"/>
    </row>
    <row r="56" ht="12" customHeight="1" spans="2:301" s="101" customFormat="1" x14ac:dyDescent="0.25">
      <c r="B56" s="102"/>
      <c r="J56" s="78">
        <f>A.IIOPEX!K58+100%</f>
        <v>0.65</v>
      </c>
      <c r="K56" s="78">
        <f>$K$8</f>
        <v>1</v>
      </c>
      <c r="L56" s="78">
        <f>A.IIOPEX!K58+100%</f>
        <v>0.65</v>
      </c>
      <c r="M56" s="103"/>
      <c r="N56" s="78">
        <v>1</v>
      </c>
      <c r="O56" s="78">
        <v>1</v>
      </c>
      <c r="P56" s="78">
        <v>1</v>
      </c>
      <c r="Q56" s="103"/>
      <c r="R56" s="78">
        <f>N56</f>
        <v>1</v>
      </c>
      <c r="S56" s="78">
        <v>1</v>
      </c>
      <c r="T56" s="78">
        <f>P56</f>
        <v>1</v>
      </c>
      <c r="U56" s="103"/>
      <c r="V56" s="78">
        <f>R56</f>
        <v>1</v>
      </c>
      <c r="W56" s="78">
        <v>1</v>
      </c>
      <c r="X56" s="78">
        <f>T56</f>
        <v>1</v>
      </c>
      <c r="Y56" s="103"/>
      <c r="Z56" s="78">
        <v>1</v>
      </c>
      <c r="AA56" s="78">
        <v>1</v>
      </c>
      <c r="AB56" s="78">
        <f>X56</f>
        <v>1</v>
      </c>
      <c r="AC56" s="103"/>
      <c r="AD56" s="78">
        <f>Z56</f>
        <v>1</v>
      </c>
      <c r="AE56" s="78">
        <v>1</v>
      </c>
      <c r="AF56" s="78">
        <f>AB56</f>
        <v>1</v>
      </c>
      <c r="AG56" s="103"/>
      <c r="AH56" s="78">
        <f>A.IIOPEX!M58+100%</f>
        <v>1.02</v>
      </c>
      <c r="AI56" s="78">
        <v>1</v>
      </c>
      <c r="AJ56" s="78">
        <f>A.IIOPEX!M58+100%</f>
        <v>1.02</v>
      </c>
      <c r="AK56" s="103"/>
      <c r="AL56" s="78">
        <v>1</v>
      </c>
      <c r="AM56" s="78">
        <v>1</v>
      </c>
      <c r="AN56" s="78">
        <v>1</v>
      </c>
      <c r="AO56" s="103"/>
      <c r="AP56" s="78">
        <f>AL56</f>
        <v>1</v>
      </c>
      <c r="AQ56" s="78">
        <v>1</v>
      </c>
      <c r="AR56" s="78">
        <f>AN56</f>
        <v>1</v>
      </c>
      <c r="AS56" s="103"/>
      <c r="AT56" s="78">
        <f>AP56</f>
        <v>1</v>
      </c>
      <c r="AU56" s="78">
        <v>1</v>
      </c>
      <c r="AV56" s="78">
        <f>AR56</f>
        <v>1</v>
      </c>
      <c r="AW56" s="103"/>
      <c r="AX56" s="78">
        <f>AT56</f>
        <v>1</v>
      </c>
      <c r="AY56" s="78">
        <v>1</v>
      </c>
      <c r="AZ56" s="78">
        <f>AV56</f>
        <v>1</v>
      </c>
      <c r="BA56" s="103"/>
      <c r="BB56" s="78">
        <f>AX56</f>
        <v>1</v>
      </c>
      <c r="BC56" s="78">
        <v>1</v>
      </c>
      <c r="BD56" s="78">
        <f>AZ56</f>
        <v>1</v>
      </c>
      <c r="BE56" s="103"/>
      <c r="BF56" s="78">
        <f>BB56</f>
        <v>1</v>
      </c>
      <c r="BG56" s="78">
        <v>1</v>
      </c>
      <c r="BH56" s="78">
        <f>BD56</f>
        <v>1</v>
      </c>
      <c r="BI56" s="103"/>
      <c r="BJ56" s="78">
        <f>BF56</f>
        <v>1</v>
      </c>
      <c r="BK56" s="78">
        <v>1</v>
      </c>
      <c r="BL56" s="78">
        <f>BH56</f>
        <v>1</v>
      </c>
      <c r="BM56" s="103"/>
      <c r="BN56" s="79">
        <f>BJ56</f>
        <v>1</v>
      </c>
      <c r="BO56" s="79">
        <v>1</v>
      </c>
      <c r="BP56" s="78">
        <f>BL56</f>
        <v>1</v>
      </c>
      <c r="BQ56" s="103"/>
      <c r="BR56" s="78">
        <f>BN56</f>
        <v>1</v>
      </c>
      <c r="BS56" s="78">
        <v>1</v>
      </c>
      <c r="BT56" s="78">
        <f>BP56</f>
        <v>1</v>
      </c>
      <c r="BU56" s="103"/>
      <c r="BV56" s="78">
        <v>1</v>
      </c>
      <c r="BW56" s="78">
        <v>1</v>
      </c>
      <c r="BX56" s="78">
        <f>BT56</f>
        <v>1</v>
      </c>
      <c r="BY56" s="103"/>
      <c r="BZ56" s="78">
        <f>BV56</f>
        <v>1</v>
      </c>
      <c r="CA56" s="78">
        <v>1</v>
      </c>
      <c r="CB56" s="78">
        <f>BX56</f>
        <v>1</v>
      </c>
      <c r="CC56" s="103"/>
      <c r="CD56" s="78">
        <f>A.IIOPEX!O58+100%</f>
        <v>2.25</v>
      </c>
      <c r="CE56" s="78">
        <v>1</v>
      </c>
      <c r="CF56" s="78">
        <f>A.IIOPEX!O58+100%</f>
        <v>2.25</v>
      </c>
      <c r="CG56" s="103"/>
      <c r="CH56" s="78">
        <v>1</v>
      </c>
      <c r="CI56" s="78">
        <v>1</v>
      </c>
      <c r="CJ56" s="78">
        <v>1</v>
      </c>
      <c r="CK56" s="103"/>
      <c r="CL56" s="78">
        <f>CH56</f>
        <v>1</v>
      </c>
      <c r="CM56" s="78">
        <v>1</v>
      </c>
      <c r="CN56" s="78">
        <f>CJ56</f>
        <v>1</v>
      </c>
      <c r="CO56" s="103"/>
      <c r="CP56" s="78">
        <f>CL56</f>
        <v>1</v>
      </c>
      <c r="CQ56" s="78">
        <v>1</v>
      </c>
      <c r="CR56" s="78">
        <f>CN56</f>
        <v>1</v>
      </c>
      <c r="CS56" s="103"/>
      <c r="CT56" s="78">
        <f>CP56</f>
        <v>1</v>
      </c>
      <c r="CU56" s="78">
        <v>1</v>
      </c>
      <c r="CV56" s="78">
        <f>CR56</f>
        <v>1</v>
      </c>
      <c r="CW56" s="103"/>
      <c r="CX56" s="78">
        <f>CT56</f>
        <v>1</v>
      </c>
      <c r="CY56" s="78">
        <v>1</v>
      </c>
      <c r="CZ56" s="78">
        <f>CV56</f>
        <v>1</v>
      </c>
      <c r="DA56" s="103"/>
      <c r="DB56" s="78">
        <f>CX56</f>
        <v>1</v>
      </c>
      <c r="DC56" s="78">
        <v>1</v>
      </c>
      <c r="DD56" s="78">
        <f>CZ56</f>
        <v>1</v>
      </c>
      <c r="DE56" s="103"/>
      <c r="DF56" s="78">
        <f>DB56</f>
        <v>1</v>
      </c>
      <c r="DG56" s="78">
        <v>1</v>
      </c>
      <c r="DH56" s="78">
        <f>DD56</f>
        <v>1</v>
      </c>
      <c r="DI56" s="103"/>
      <c r="DJ56" s="79">
        <f>DF56</f>
        <v>1</v>
      </c>
      <c r="DK56" s="79">
        <v>1</v>
      </c>
      <c r="DL56" s="78">
        <f>DH56</f>
        <v>1</v>
      </c>
      <c r="DM56" s="103"/>
      <c r="DN56" s="78">
        <f>DJ56</f>
        <v>1</v>
      </c>
      <c r="DO56" s="78">
        <v>1</v>
      </c>
      <c r="DP56" s="78">
        <f>DL56</f>
        <v>1</v>
      </c>
      <c r="DQ56" s="103"/>
      <c r="DR56" s="78">
        <v>1</v>
      </c>
      <c r="DS56" s="78">
        <v>1</v>
      </c>
      <c r="DT56" s="78">
        <f>DP56</f>
        <v>1</v>
      </c>
      <c r="DU56" s="103"/>
      <c r="DV56" s="78">
        <f>DR56</f>
        <v>1</v>
      </c>
      <c r="DW56" s="78">
        <v>1</v>
      </c>
      <c r="DX56" s="78">
        <f>DT56</f>
        <v>1</v>
      </c>
      <c r="DY56" s="103"/>
      <c r="DZ56" s="78">
        <f>A.IIOPEX!Q58+100%</f>
        <v>5.5</v>
      </c>
      <c r="EA56" s="78">
        <v>1</v>
      </c>
      <c r="EB56" s="78">
        <f>A.IIOPEX!Q58+100%</f>
        <v>5.5</v>
      </c>
      <c r="EC56" s="103"/>
      <c r="ED56" s="78">
        <v>1</v>
      </c>
      <c r="EE56" s="78">
        <v>1</v>
      </c>
      <c r="EF56" s="78">
        <v>1</v>
      </c>
      <c r="EG56" s="103"/>
      <c r="EH56" s="78">
        <f>ED56</f>
        <v>1</v>
      </c>
      <c r="EI56" s="78">
        <v>1</v>
      </c>
      <c r="EJ56" s="78">
        <f>EF56</f>
        <v>1</v>
      </c>
      <c r="EK56" s="103"/>
      <c r="EL56" s="78">
        <f>EH56</f>
        <v>1</v>
      </c>
      <c r="EM56" s="78">
        <v>1</v>
      </c>
      <c r="EN56" s="78">
        <f>EJ56</f>
        <v>1</v>
      </c>
      <c r="EO56" s="103"/>
      <c r="EP56" s="78">
        <f>EL56</f>
        <v>1</v>
      </c>
      <c r="EQ56" s="78">
        <v>1</v>
      </c>
      <c r="ER56" s="78">
        <f>EN56</f>
        <v>1</v>
      </c>
      <c r="ES56" s="103"/>
      <c r="ET56" s="78">
        <f>EP56</f>
        <v>1</v>
      </c>
      <c r="EU56" s="78">
        <v>1</v>
      </c>
      <c r="EV56" s="78">
        <f>ER56</f>
        <v>1</v>
      </c>
      <c r="EW56" s="103"/>
      <c r="EX56" s="78">
        <f>ET56</f>
        <v>1</v>
      </c>
      <c r="EY56" s="78">
        <v>1</v>
      </c>
      <c r="EZ56" s="78">
        <f>EV56</f>
        <v>1</v>
      </c>
      <c r="FA56" s="103"/>
      <c r="FB56" s="78">
        <f>EX56</f>
        <v>1</v>
      </c>
      <c r="FC56" s="78">
        <v>1</v>
      </c>
      <c r="FD56" s="78">
        <f>EZ56</f>
        <v>1</v>
      </c>
      <c r="FE56" s="103"/>
      <c r="FF56" s="79">
        <f>FB56</f>
        <v>1</v>
      </c>
      <c r="FG56" s="79">
        <v>1</v>
      </c>
      <c r="FH56" s="78">
        <f>FD56</f>
        <v>1</v>
      </c>
      <c r="FI56" s="103"/>
      <c r="FJ56" s="78">
        <f>A.IIOPEX!S58+100%</f>
        <v>1.7</v>
      </c>
      <c r="FK56" s="78">
        <v>1</v>
      </c>
      <c r="FL56" s="78">
        <f>FH56</f>
        <v>1</v>
      </c>
      <c r="FM56" s="103"/>
      <c r="FN56" s="78">
        <v>1</v>
      </c>
      <c r="FO56" s="78">
        <v>1</v>
      </c>
      <c r="FP56" s="78">
        <f>FL56</f>
        <v>1</v>
      </c>
      <c r="FQ56" s="103"/>
      <c r="FR56" s="78">
        <f>FN56</f>
        <v>1</v>
      </c>
      <c r="FS56" s="78">
        <v>1</v>
      </c>
      <c r="FT56" s="78">
        <f>FP56</f>
        <v>1</v>
      </c>
      <c r="FU56" s="103"/>
      <c r="FV56" s="78">
        <f>FR56</f>
        <v>1</v>
      </c>
      <c r="FW56" s="78">
        <v>1</v>
      </c>
      <c r="FX56" s="78">
        <f>A.IIOPEX!S58+100%</f>
        <v>1.7</v>
      </c>
      <c r="FY56" s="103"/>
      <c r="FZ56" s="78">
        <f>FV56</f>
        <v>1</v>
      </c>
      <c r="GA56" s="78">
        <v>1</v>
      </c>
      <c r="GB56" s="78">
        <v>1</v>
      </c>
      <c r="GC56" s="103"/>
      <c r="GD56" s="78">
        <f>FZ56</f>
        <v>1</v>
      </c>
      <c r="GE56" s="78">
        <v>1</v>
      </c>
      <c r="GF56" s="78">
        <f>GB56</f>
        <v>1</v>
      </c>
      <c r="GG56" s="103"/>
      <c r="GH56" s="78">
        <f>GD56</f>
        <v>1</v>
      </c>
      <c r="GI56" s="78">
        <v>1</v>
      </c>
      <c r="GJ56" s="78">
        <f>GF56</f>
        <v>1</v>
      </c>
      <c r="GK56" s="103"/>
      <c r="GL56" s="78">
        <f>GH56</f>
        <v>1</v>
      </c>
      <c r="GM56" s="78">
        <v>1</v>
      </c>
      <c r="GN56" s="78">
        <f>GJ56</f>
        <v>1</v>
      </c>
      <c r="GO56" s="103"/>
      <c r="GP56" s="78">
        <f>GL56</f>
        <v>1</v>
      </c>
      <c r="GQ56" s="78">
        <v>1</v>
      </c>
      <c r="GR56" s="78">
        <f>GN56</f>
        <v>1</v>
      </c>
      <c r="GS56" s="103"/>
      <c r="GT56" s="78">
        <f>GP56</f>
        <v>1</v>
      </c>
      <c r="GU56" s="78">
        <v>1</v>
      </c>
      <c r="GV56" s="78">
        <f>GR56</f>
        <v>1</v>
      </c>
      <c r="GW56" s="103"/>
      <c r="GX56" s="78">
        <f>GT56</f>
        <v>1</v>
      </c>
      <c r="GY56" s="78">
        <v>1</v>
      </c>
      <c r="GZ56" s="78">
        <f>GV56</f>
        <v>1</v>
      </c>
      <c r="HA56" s="103"/>
      <c r="HB56" s="79">
        <f>GX56</f>
        <v>1</v>
      </c>
      <c r="HC56" s="79">
        <v>1</v>
      </c>
      <c r="HD56" s="78">
        <f>GZ56</f>
        <v>1</v>
      </c>
      <c r="HE56" s="103"/>
      <c r="HF56" s="78">
        <f>A.IIOPEX!U58+100%</f>
        <v>1.5</v>
      </c>
      <c r="HG56" s="78">
        <v>1</v>
      </c>
      <c r="HH56" s="78">
        <f>HD56</f>
        <v>1</v>
      </c>
      <c r="HI56" s="103"/>
      <c r="HJ56" s="78">
        <v>1</v>
      </c>
      <c r="HK56" s="78">
        <v>1</v>
      </c>
      <c r="HL56" s="78">
        <f>HH56</f>
        <v>1</v>
      </c>
      <c r="HM56" s="103"/>
      <c r="HN56" s="78">
        <f>HJ56</f>
        <v>1</v>
      </c>
      <c r="HO56" s="78">
        <v>1</v>
      </c>
      <c r="HP56" s="78">
        <f>HL56</f>
        <v>1</v>
      </c>
      <c r="HQ56" s="103"/>
      <c r="HR56" s="78">
        <f>HN56</f>
        <v>1</v>
      </c>
      <c r="HS56" s="78">
        <v>1</v>
      </c>
      <c r="HT56" s="78">
        <f>A.IIOPEX!U58+100%</f>
        <v>1.5</v>
      </c>
      <c r="HU56" s="103"/>
      <c r="HV56" s="78">
        <f>HR56</f>
        <v>1</v>
      </c>
      <c r="HW56" s="78">
        <v>1</v>
      </c>
      <c r="HX56" s="78">
        <v>1</v>
      </c>
      <c r="HY56" s="103"/>
      <c r="HZ56" s="78">
        <f>HV56</f>
        <v>1</v>
      </c>
      <c r="IA56" s="78">
        <v>1</v>
      </c>
      <c r="IB56" s="78">
        <f>HX56</f>
        <v>1</v>
      </c>
      <c r="IC56" s="103"/>
      <c r="ID56" s="78">
        <f>HZ56</f>
        <v>1</v>
      </c>
      <c r="IE56" s="78">
        <v>1</v>
      </c>
      <c r="IF56" s="78">
        <f>IB56</f>
        <v>1</v>
      </c>
      <c r="IG56" s="103"/>
      <c r="IH56" s="78">
        <f>ID56</f>
        <v>1</v>
      </c>
      <c r="II56" s="78">
        <v>1</v>
      </c>
      <c r="IJ56" s="78">
        <f>IF56</f>
        <v>1</v>
      </c>
      <c r="IK56" s="103"/>
      <c r="IL56" s="78">
        <f>IH56</f>
        <v>1</v>
      </c>
      <c r="IM56" s="78">
        <v>1</v>
      </c>
      <c r="IN56" s="78">
        <f>IJ56</f>
        <v>1</v>
      </c>
      <c r="IO56" s="103"/>
      <c r="IP56" s="78">
        <f>IL56</f>
        <v>1</v>
      </c>
      <c r="IQ56" s="78">
        <v>1</v>
      </c>
      <c r="IR56" s="78">
        <f>IN56</f>
        <v>1</v>
      </c>
      <c r="IS56" s="103"/>
      <c r="IT56" s="78">
        <f>IP56</f>
        <v>1</v>
      </c>
      <c r="IU56" s="78">
        <v>1</v>
      </c>
      <c r="IV56" s="78">
        <f>IR56</f>
        <v>1</v>
      </c>
      <c r="IW56" s="103"/>
      <c r="IX56" s="79">
        <f>IT56</f>
        <v>1</v>
      </c>
      <c r="IY56" s="79">
        <v>1</v>
      </c>
      <c r="IZ56" s="78">
        <f>IV56</f>
        <v>1</v>
      </c>
      <c r="JA56" s="103"/>
      <c r="JB56" s="78" t="e">
        <f>A.IIOPEX!#REF!+100%</f>
        <v>#REF!</v>
      </c>
      <c r="JC56" s="78">
        <v>1</v>
      </c>
      <c r="JD56" s="78">
        <f>IZ56</f>
        <v>1</v>
      </c>
      <c r="JE56" s="103"/>
      <c r="JF56" s="78" t="e">
        <f>JB56</f>
        <v>#REF!</v>
      </c>
      <c r="JG56" s="78">
        <v>1</v>
      </c>
      <c r="JH56" s="78">
        <f>JD56</f>
        <v>1</v>
      </c>
      <c r="JI56" s="103"/>
      <c r="JJ56" s="79" t="e">
        <f>JF56</f>
        <v>#REF!</v>
      </c>
      <c r="JK56" s="79">
        <v>1</v>
      </c>
      <c r="JL56" s="78">
        <f>JH56</f>
        <v>1</v>
      </c>
      <c r="JM56" s="103"/>
      <c r="JO56" s="78">
        <f>'A.I Revenue Streams - P2'!DU46+100%</f>
        <v>1</v>
      </c>
      <c r="JP56" s="78">
        <v>1</v>
      </c>
      <c r="JQ56" s="103"/>
      <c r="JS56" s="78">
        <f>'A.I Revenue Streams - P2'!DY46+100%</f>
        <v>1</v>
      </c>
      <c r="JT56" s="78">
        <v>1</v>
      </c>
      <c r="JU56" s="103"/>
      <c r="JW56" s="78">
        <f>'A.I Revenue Streams - P2'!EC46+100%</f>
        <v>1</v>
      </c>
      <c r="JX56" s="78">
        <v>1</v>
      </c>
      <c r="JY56" s="103"/>
      <c r="KA56" s="78">
        <f>'A.I Revenue Streams - P2'!EG46+100%</f>
        <v>1</v>
      </c>
      <c r="KB56" s="78">
        <v>1</v>
      </c>
      <c r="KC56" s="103"/>
      <c r="KE56" s="78">
        <f>'A.I Revenue Streams - P2'!EK46+100%</f>
        <v>1</v>
      </c>
      <c r="KF56" s="78">
        <v>1</v>
      </c>
      <c r="KG56" s="103"/>
      <c r="KI56" s="78">
        <f>'A.I Revenue Streams - P2'!EO46+100%</f>
        <v>1</v>
      </c>
      <c r="KJ56" s="78">
        <v>1</v>
      </c>
      <c r="KK56" s="103"/>
      <c r="KM56" s="78">
        <f>'A.I Revenue Streams - P2'!ES46+100%</f>
        <v>1</v>
      </c>
      <c r="KN56" s="78">
        <v>1</v>
      </c>
      <c r="KO56" s="103"/>
    </row>
    <row r="57" ht="18.75" customHeight="1" spans="2:301" x14ac:dyDescent="0.25">
      <c r="B57" s="5">
        <v>5</v>
      </c>
      <c r="C57" s="27" t="str">
        <f>A.IIOPEX!D57</f>
        <v>Digital Marketing &amp; Advertisement</v>
      </c>
      <c r="D57" s="27"/>
      <c r="E57" s="28"/>
      <c r="F57" s="51"/>
      <c r="G57" s="51"/>
      <c r="H57" s="51"/>
      <c r="I57" s="54"/>
      <c r="J57" s="51"/>
      <c r="K57" s="51"/>
      <c r="L57" s="51"/>
      <c r="M57" s="54"/>
      <c r="N57" s="51"/>
      <c r="O57" s="51"/>
      <c r="P57" s="51"/>
      <c r="Q57" s="54"/>
      <c r="R57" s="51"/>
      <c r="S57" s="51"/>
      <c r="T57" s="51"/>
      <c r="U57" s="54"/>
      <c r="V57" s="51"/>
      <c r="W57" s="51"/>
      <c r="X57" s="51"/>
      <c r="Y57" s="54"/>
      <c r="Z57" s="51"/>
      <c r="AA57" s="51"/>
      <c r="AB57" s="51"/>
      <c r="AC57" s="54"/>
      <c r="AD57" s="51"/>
      <c r="AE57" s="51"/>
      <c r="AF57" s="51"/>
      <c r="AG57" s="54"/>
      <c r="AH57" s="51"/>
      <c r="AI57" s="51"/>
      <c r="AJ57" s="51"/>
      <c r="AK57" s="54"/>
      <c r="AL57" s="51"/>
      <c r="AM57" s="51"/>
      <c r="AN57" s="51"/>
      <c r="AO57" s="54"/>
      <c r="AP57" s="51"/>
      <c r="AQ57" s="51"/>
      <c r="AR57" s="51"/>
      <c r="AS57" s="54"/>
      <c r="AT57" s="51"/>
      <c r="AU57" s="51"/>
      <c r="AV57" s="51"/>
      <c r="AW57" s="54"/>
      <c r="AX57" s="51"/>
      <c r="AY57" s="51"/>
      <c r="AZ57" s="51"/>
      <c r="BA57" s="54"/>
      <c r="BB57" s="51"/>
      <c r="BC57" s="51"/>
      <c r="BD57" s="51"/>
      <c r="BE57" s="54"/>
      <c r="BF57" s="51"/>
      <c r="BG57" s="51"/>
      <c r="BH57" s="51"/>
      <c r="BI57" s="54"/>
      <c r="BJ57" s="51"/>
      <c r="BK57" s="51"/>
      <c r="BL57" s="51"/>
      <c r="BM57" s="54"/>
      <c r="BN57" s="51"/>
      <c r="BO57" s="51"/>
      <c r="BP57" s="51"/>
      <c r="BQ57" s="54"/>
      <c r="BR57" s="51"/>
      <c r="BS57" s="51"/>
      <c r="BT57" s="51"/>
      <c r="BU57" s="54"/>
      <c r="BV57" s="51"/>
      <c r="BW57" s="51"/>
      <c r="BX57" s="51"/>
      <c r="BY57" s="54"/>
      <c r="BZ57" s="51"/>
      <c r="CA57" s="51"/>
      <c r="CB57" s="51"/>
      <c r="CC57" s="54"/>
      <c r="CD57" s="51"/>
      <c r="CE57" s="51"/>
      <c r="CF57" s="51"/>
      <c r="CG57" s="54"/>
      <c r="CH57" s="51"/>
      <c r="CI57" s="51"/>
      <c r="CJ57" s="51"/>
      <c r="CK57" s="54"/>
      <c r="CL57" s="51"/>
      <c r="CM57" s="51"/>
      <c r="CN57" s="51"/>
      <c r="CO57" s="54"/>
      <c r="CP57" s="51"/>
      <c r="CQ57" s="51"/>
      <c r="CR57" s="51"/>
      <c r="CS57" s="54"/>
      <c r="CT57" s="51"/>
      <c r="CU57" s="51"/>
      <c r="CV57" s="51"/>
      <c r="CW57" s="54"/>
      <c r="CX57" s="51"/>
      <c r="CY57" s="51"/>
      <c r="CZ57" s="51"/>
      <c r="DA57" s="54"/>
      <c r="DB57" s="51"/>
      <c r="DC57" s="51"/>
      <c r="DD57" s="51"/>
      <c r="DE57" s="54"/>
      <c r="DF57" s="51"/>
      <c r="DG57" s="51"/>
      <c r="DH57" s="51"/>
      <c r="DI57" s="54"/>
      <c r="DJ57" s="51"/>
      <c r="DK57" s="51"/>
      <c r="DL57" s="51"/>
      <c r="DM57" s="54"/>
      <c r="DN57" s="51"/>
      <c r="DO57" s="51"/>
      <c r="DP57" s="51"/>
      <c r="DQ57" s="54"/>
      <c r="DR57" s="51"/>
      <c r="DS57" s="51"/>
      <c r="DT57" s="51"/>
      <c r="DU57" s="54"/>
      <c r="DV57" s="51"/>
      <c r="DW57" s="51"/>
      <c r="DX57" s="51"/>
      <c r="DY57" s="54"/>
      <c r="DZ57" s="51"/>
      <c r="EA57" s="51"/>
      <c r="EB57" s="51"/>
      <c r="EC57" s="54"/>
      <c r="ED57" s="51"/>
      <c r="EE57" s="51"/>
      <c r="EF57" s="51"/>
      <c r="EG57" s="54"/>
      <c r="EH57" s="51"/>
      <c r="EI57" s="51"/>
      <c r="EJ57" s="51"/>
      <c r="EK57" s="54"/>
      <c r="EL57" s="51"/>
      <c r="EM57" s="51"/>
      <c r="EN57" s="51"/>
      <c r="EO57" s="54"/>
      <c r="EP57" s="51"/>
      <c r="EQ57" s="51"/>
      <c r="ER57" s="51"/>
      <c r="ES57" s="54"/>
      <c r="ET57" s="51"/>
      <c r="EU57" s="51"/>
      <c r="EV57" s="51"/>
      <c r="EW57" s="54"/>
      <c r="EX57" s="51"/>
      <c r="EY57" s="51"/>
      <c r="EZ57" s="51"/>
      <c r="FA57" s="54"/>
      <c r="FB57" s="51"/>
      <c r="FC57" s="51"/>
      <c r="FD57" s="51"/>
      <c r="FE57" s="54"/>
      <c r="FF57" s="51"/>
      <c r="FG57" s="51"/>
      <c r="FH57" s="51"/>
      <c r="FI57" s="54"/>
      <c r="FJ57" s="51"/>
      <c r="FK57" s="51"/>
      <c r="FL57" s="51"/>
      <c r="FM57" s="54"/>
      <c r="FN57" s="51"/>
      <c r="FO57" s="51"/>
      <c r="FP57" s="51"/>
      <c r="FQ57" s="54"/>
      <c r="FR57" s="51"/>
      <c r="FS57" s="51"/>
      <c r="FT57" s="51"/>
      <c r="FU57" s="54"/>
      <c r="FV57" s="51"/>
      <c r="FW57" s="51"/>
      <c r="FX57" s="51"/>
      <c r="FY57" s="54"/>
      <c r="FZ57" s="51"/>
      <c r="GA57" s="51"/>
      <c r="GB57" s="51"/>
      <c r="GC57" s="54"/>
      <c r="GD57" s="51"/>
      <c r="GE57" s="51"/>
      <c r="GF57" s="51"/>
      <c r="GG57" s="54"/>
      <c r="GH57" s="51"/>
      <c r="GI57" s="51"/>
      <c r="GJ57" s="51"/>
      <c r="GK57" s="54"/>
      <c r="GL57" s="51"/>
      <c r="GM57" s="51"/>
      <c r="GN57" s="51"/>
      <c r="GP57" s="51"/>
      <c r="GQ57" s="51"/>
      <c r="GR57" s="51"/>
      <c r="GS57" s="54"/>
      <c r="GT57" s="51"/>
      <c r="GU57" s="51"/>
      <c r="GV57" s="51"/>
      <c r="GW57" s="54"/>
      <c r="GX57" s="51"/>
      <c r="GY57" s="51"/>
      <c r="GZ57" s="51"/>
      <c r="HA57" s="54"/>
      <c r="HB57" s="51"/>
      <c r="HC57" s="51"/>
      <c r="HD57" s="51"/>
      <c r="HE57" s="54"/>
      <c r="HF57" s="51"/>
      <c r="HG57" s="51"/>
      <c r="HH57" s="51"/>
      <c r="HI57" s="54"/>
      <c r="HJ57" s="51"/>
      <c r="HK57" s="51"/>
      <c r="HL57" s="51"/>
      <c r="HM57" s="54"/>
      <c r="HN57" s="51"/>
      <c r="HO57" s="51"/>
      <c r="HP57" s="51"/>
      <c r="HQ57" s="54"/>
      <c r="HR57" s="51"/>
      <c r="HS57" s="51"/>
      <c r="HT57" s="51"/>
      <c r="HU57" s="54"/>
      <c r="HV57" s="51"/>
      <c r="HW57" s="51"/>
      <c r="HX57" s="51"/>
      <c r="HY57" s="54"/>
      <c r="HZ57" s="51"/>
      <c r="IA57" s="51"/>
      <c r="IB57" s="51"/>
      <c r="IC57" s="54"/>
      <c r="ID57" s="51"/>
      <c r="IE57" s="51"/>
      <c r="IF57" s="51"/>
      <c r="IG57" s="54"/>
      <c r="IH57" s="51"/>
      <c r="II57" s="51"/>
      <c r="IJ57" s="51"/>
      <c r="IL57" s="51"/>
      <c r="IM57" s="51"/>
      <c r="IN57" s="51"/>
      <c r="IO57" s="54"/>
      <c r="IP57" s="51"/>
      <c r="IQ57" s="51"/>
      <c r="IR57" s="51"/>
      <c r="IS57" s="54"/>
      <c r="IT57" s="51"/>
      <c r="IU57" s="51"/>
      <c r="IV57" s="51"/>
      <c r="IW57" s="54"/>
      <c r="IX57" s="51"/>
      <c r="IY57" s="51"/>
      <c r="IZ57" s="51"/>
      <c r="JA57" s="54"/>
      <c r="JB57" s="51"/>
      <c r="JC57" s="51"/>
      <c r="JD57" s="51"/>
      <c r="JE57" s="54"/>
      <c r="JF57" s="51"/>
      <c r="JG57" s="51"/>
      <c r="JH57" s="51"/>
      <c r="JI57" s="54"/>
      <c r="JJ57" s="51"/>
      <c r="JK57" s="51"/>
      <c r="JL57" s="51"/>
      <c r="JM57" s="54"/>
      <c r="JO57" s="80"/>
      <c r="JP57" s="80"/>
      <c r="JQ57" s="80"/>
      <c r="JS57" s="80"/>
      <c r="JT57" s="80"/>
      <c r="JU57" s="80"/>
      <c r="JW57" s="80"/>
      <c r="JX57" s="80"/>
      <c r="JY57" s="80"/>
      <c r="KA57" s="80"/>
      <c r="KB57" s="80"/>
      <c r="KC57" s="80"/>
      <c r="KE57" s="80"/>
      <c r="KF57" s="80"/>
      <c r="KG57" s="80"/>
      <c r="KI57" s="80"/>
      <c r="KJ57" s="80"/>
      <c r="KK57" s="80"/>
      <c r="KM57" s="80"/>
      <c r="KN57" s="80"/>
      <c r="KO57" s="80"/>
    </row>
    <row r="58" ht="18.75" customHeight="1" spans="2:301" x14ac:dyDescent="0.25">
      <c r="B58" s="5" t="str">
        <f>A.IIOPEX!C58</f>
        <v>5a</v>
      </c>
      <c r="C58" s="27"/>
      <c r="D58" s="29" t="str">
        <f>A.IIOPEX!E58</f>
        <v>Initial Launch Event or Campaign</v>
      </c>
      <c r="E58" s="30"/>
      <c r="F58" s="51">
        <v>1</v>
      </c>
      <c r="G58" s="51"/>
      <c r="H58" s="51">
        <f>A.IIOPEX!I58</f>
        <v>33333.333333333336</v>
      </c>
      <c r="I58" s="54"/>
      <c r="J58" s="51">
        <f t="shared" ref="J58:J64" si="919">F58*$J$56</f>
        <v>0.65</v>
      </c>
      <c r="K58" s="51"/>
      <c r="L58" s="51">
        <f>H58*L$56</f>
        <v>21666.666666666668</v>
      </c>
      <c r="M58" s="54"/>
      <c r="N58" s="51">
        <f t="shared" ref="N58:N64" si="920">J58*$N$56</f>
        <v>0.65</v>
      </c>
      <c r="O58" s="51"/>
      <c r="P58" s="51">
        <f>L58*P$56</f>
        <v>21666.666666666668</v>
      </c>
      <c r="Q58" s="54"/>
      <c r="R58" s="51">
        <f t="shared" ref="R58:R64" si="921">N58*$R$56</f>
        <v>0.65</v>
      </c>
      <c r="S58" s="51"/>
      <c r="T58" s="51">
        <f>P58*T$56</f>
        <v>21666.666666666668</v>
      </c>
      <c r="U58" s="54"/>
      <c r="V58" s="51">
        <f t="shared" ref="V58:V64" si="922">R58*$V$56</f>
        <v>0.65</v>
      </c>
      <c r="W58" s="51"/>
      <c r="X58" s="51">
        <f>T58*X$56</f>
        <v>21666.666666666668</v>
      </c>
      <c r="Y58" s="54"/>
      <c r="Z58" s="51">
        <f t="shared" ref="Z58:Z64" si="923">V58*$Z$56</f>
        <v>0.65</v>
      </c>
      <c r="AA58" s="51"/>
      <c r="AB58" s="51">
        <f>X58*AB$56</f>
        <v>21666.666666666668</v>
      </c>
      <c r="AC58" s="54"/>
      <c r="AD58" s="51">
        <f>Z58*$AD$56</f>
        <v>0.65</v>
      </c>
      <c r="AE58" s="51"/>
      <c r="AF58" s="51">
        <f>AB58*AF$56</f>
        <v>21666.666666666668</v>
      </c>
      <c r="AG58" s="54"/>
      <c r="AH58" s="51">
        <f>AD58*$AH$56</f>
        <v>0.663</v>
      </c>
      <c r="AI58" s="51"/>
      <c r="AJ58" s="51">
        <f>AF58*AJ$56</f>
        <v>22100</v>
      </c>
      <c r="AK58" s="54"/>
      <c r="AL58" s="51">
        <f>AH58*$AL$56</f>
        <v>0.663</v>
      </c>
      <c r="AM58" s="51"/>
      <c r="AN58" s="51">
        <f>AJ58*AN$56</f>
        <v>22100</v>
      </c>
      <c r="AO58" s="54"/>
      <c r="AP58" s="51">
        <f>AL58*$AP$56</f>
        <v>0.663</v>
      </c>
      <c r="AQ58" s="51"/>
      <c r="AR58" s="51">
        <f>AN58*AR$56</f>
        <v>22100</v>
      </c>
      <c r="AS58" s="54"/>
      <c r="AT58" s="51">
        <f>AP58*$AT$56</f>
        <v>0.663</v>
      </c>
      <c r="AU58" s="51"/>
      <c r="AV58" s="51">
        <f>AR58*AV$56</f>
        <v>22100</v>
      </c>
      <c r="AW58" s="54"/>
      <c r="AX58" s="51">
        <f>AT58*$AX$56</f>
        <v>0.663</v>
      </c>
      <c r="AY58" s="51"/>
      <c r="AZ58" s="51">
        <f>AV58*AZ$56</f>
        <v>22100</v>
      </c>
      <c r="BA58" s="54"/>
      <c r="BB58" s="51">
        <f t="shared" ref="BB58:BB64" si="924">AX58*$BB$56</f>
        <v>0.663</v>
      </c>
      <c r="BC58" s="51"/>
      <c r="BD58" s="51">
        <f>AZ58*BD$56</f>
        <v>22100</v>
      </c>
      <c r="BE58" s="54"/>
      <c r="BF58" s="51">
        <f>BB58*$BF$56</f>
        <v>0.663</v>
      </c>
      <c r="BG58" s="51"/>
      <c r="BH58" s="51">
        <f>BD58*BH$56</f>
        <v>22100</v>
      </c>
      <c r="BI58" s="54"/>
      <c r="BJ58" s="51">
        <f>BF58*$BJ$56</f>
        <v>0.663</v>
      </c>
      <c r="BK58" s="51">
        <f>BG58*$BK$56</f>
        <v>0</v>
      </c>
      <c r="BL58" s="51">
        <f>BH58*BL$56</f>
        <v>22100</v>
      </c>
      <c r="BM58" s="54"/>
      <c r="BN58" s="51">
        <f>BJ58*$BN$56</f>
        <v>0.663</v>
      </c>
      <c r="BO58" s="51">
        <f>BK58*$BO$56</f>
        <v>0</v>
      </c>
      <c r="BP58" s="51">
        <f>BL58*BP$56</f>
        <v>22100</v>
      </c>
      <c r="BQ58" s="54"/>
      <c r="BR58" s="51">
        <f>BN58*$BR$56</f>
        <v>0.663</v>
      </c>
      <c r="BS58" s="51">
        <f>BO58*$BS$56</f>
        <v>0</v>
      </c>
      <c r="BT58" s="51">
        <f>BP58*BT$56</f>
        <v>22100</v>
      </c>
      <c r="BU58" s="54"/>
      <c r="BV58" s="51">
        <f>BR58*$BV$56</f>
        <v>0.663</v>
      </c>
      <c r="BW58" s="51">
        <f>BS58*$BW$56</f>
        <v>0</v>
      </c>
      <c r="BX58" s="51">
        <f>BT58*BX$56</f>
        <v>22100</v>
      </c>
      <c r="BY58" s="54"/>
      <c r="BZ58" s="51">
        <f>BV58*$BZ$56</f>
        <v>0.663</v>
      </c>
      <c r="CA58" s="51">
        <f>BW58*$CA$56</f>
        <v>0</v>
      </c>
      <c r="CB58" s="51">
        <f>BX58*CB$56</f>
        <v>22100</v>
      </c>
      <c r="CC58" s="54"/>
      <c r="CD58" s="51">
        <f>BZ58*$CD$56</f>
        <v>1.4917500000000001</v>
      </c>
      <c r="CE58" s="51">
        <f>CA58*$CE$56</f>
        <v>0</v>
      </c>
      <c r="CF58" s="51">
        <f>CB58*CF$56</f>
        <v>49725</v>
      </c>
      <c r="CG58" s="54"/>
      <c r="CH58" s="51">
        <f>CD58*$CH$56</f>
        <v>1.4917500000000001</v>
      </c>
      <c r="CI58" s="51">
        <f>CE58*$CI$56</f>
        <v>0</v>
      </c>
      <c r="CJ58" s="51">
        <f>CF58*CJ$56</f>
        <v>49725</v>
      </c>
      <c r="CK58" s="54"/>
      <c r="CL58" s="51">
        <f>CH58*$CL$56</f>
        <v>1.4917500000000001</v>
      </c>
      <c r="CM58" s="51">
        <f>CI58*$CM$56</f>
        <v>0</v>
      </c>
      <c r="CN58" s="51">
        <f>CJ58*CN$56</f>
        <v>49725</v>
      </c>
      <c r="CO58" s="54"/>
      <c r="CP58" s="51">
        <f>CL58*$CP$56</f>
        <v>1.4917500000000001</v>
      </c>
      <c r="CQ58" s="51">
        <f>CM58*$CQ$56</f>
        <v>0</v>
      </c>
      <c r="CR58" s="51">
        <f>CN58*CR$56</f>
        <v>49725</v>
      </c>
      <c r="CS58" s="54"/>
      <c r="CT58" s="51">
        <f>CP58*$CT$56</f>
        <v>1.4917500000000001</v>
      </c>
      <c r="CU58" s="51">
        <f>CQ58*$CU$56</f>
        <v>0</v>
      </c>
      <c r="CV58" s="51">
        <f>CR58*CV$56</f>
        <v>49725</v>
      </c>
      <c r="CW58" s="54"/>
      <c r="CX58" s="51">
        <f t="shared" ref="CX58:CX64" si="925">CT58*$CX$56</f>
        <v>1.4917500000000001</v>
      </c>
      <c r="CY58" s="51">
        <f t="shared" ref="CY58:CY64" si="926">CU58*$CY$56</f>
        <v>0</v>
      </c>
      <c r="CZ58" s="51">
        <f>CV58*CZ$56</f>
        <v>49725</v>
      </c>
      <c r="DA58" s="54"/>
      <c r="DB58" s="51">
        <f>CX58*$DB$56</f>
        <v>1.4917500000000001</v>
      </c>
      <c r="DC58" s="51">
        <f>CY58*$DC$56</f>
        <v>0</v>
      </c>
      <c r="DD58" s="51">
        <f>CZ58*DD$56</f>
        <v>49725</v>
      </c>
      <c r="DE58" s="54"/>
      <c r="DF58" s="51">
        <f>DB58*$DF$56</f>
        <v>1.4917500000000001</v>
      </c>
      <c r="DG58" s="51">
        <f>DC58*$DG$56</f>
        <v>0</v>
      </c>
      <c r="DH58" s="51">
        <f>DD58*DH$56</f>
        <v>49725</v>
      </c>
      <c r="DI58" s="54"/>
      <c r="DJ58" s="51">
        <f>DF58*$DJ$56</f>
        <v>1.4917500000000001</v>
      </c>
      <c r="DK58" s="51">
        <f>DG58*$DK$56</f>
        <v>0</v>
      </c>
      <c r="DL58" s="51">
        <f>DH58*DL$56</f>
        <v>49725</v>
      </c>
      <c r="DM58" s="54"/>
      <c r="DN58" s="51">
        <f>DJ58*$DN$56</f>
        <v>1.4917500000000001</v>
      </c>
      <c r="DO58" s="51">
        <f>DK58*$DO$56</f>
        <v>0</v>
      </c>
      <c r="DP58" s="51">
        <f>DL58*DP$56</f>
        <v>49725</v>
      </c>
      <c r="DQ58" s="54"/>
      <c r="DR58" s="51">
        <f>DN58*$DR$56</f>
        <v>1.4917500000000001</v>
      </c>
      <c r="DS58" s="51">
        <f>DO58*$DS$56</f>
        <v>0</v>
      </c>
      <c r="DT58" s="51">
        <f>DP58*DT$56</f>
        <v>49725</v>
      </c>
      <c r="DU58" s="54"/>
      <c r="DV58" s="51">
        <f>DR58*$DV$56</f>
        <v>1.4917500000000001</v>
      </c>
      <c r="DW58" s="51">
        <f>DS58*$DW$56</f>
        <v>0</v>
      </c>
      <c r="DX58" s="51">
        <f>DT58*DX$56</f>
        <v>49725</v>
      </c>
      <c r="DY58" s="54"/>
      <c r="DZ58" s="51">
        <f>DV58*$DZ$56</f>
        <v>8.204625</v>
      </c>
      <c r="EA58" s="51">
        <f>DW58*$EA$56</f>
        <v>0</v>
      </c>
      <c r="EB58" s="51">
        <f>DX58*EB$56</f>
        <v>273487.5</v>
      </c>
      <c r="EC58" s="54"/>
      <c r="ED58" s="51">
        <f>DZ58*$ED$56</f>
        <v>8.204625</v>
      </c>
      <c r="EE58" s="51">
        <f>EA58*$EE$56</f>
        <v>0</v>
      </c>
      <c r="EF58" s="51">
        <f>EB58*EF$56</f>
        <v>273487.5</v>
      </c>
      <c r="EG58" s="54"/>
      <c r="EH58" s="51">
        <f>ED58*$EH$56</f>
        <v>8.204625</v>
      </c>
      <c r="EI58" s="51">
        <f>EE58*$EI$56</f>
        <v>0</v>
      </c>
      <c r="EJ58" s="51">
        <f>EF58*EJ$56</f>
        <v>273487.5</v>
      </c>
      <c r="EK58" s="54"/>
      <c r="EL58" s="51">
        <f>EH58*$EL$56</f>
        <v>8.204625</v>
      </c>
      <c r="EM58" s="51">
        <f>EI58*$EM$56</f>
        <v>0</v>
      </c>
      <c r="EN58" s="51">
        <f>EJ58*EN$56</f>
        <v>273487.5</v>
      </c>
      <c r="EO58" s="54"/>
      <c r="EP58" s="51">
        <f>EL58*$EP$56</f>
        <v>8.204625</v>
      </c>
      <c r="EQ58" s="51">
        <f>EM58*$EQ$56</f>
        <v>0</v>
      </c>
      <c r="ER58" s="51">
        <f>EN58*ER$56</f>
        <v>273487.5</v>
      </c>
      <c r="ES58" s="54"/>
      <c r="ET58" s="51">
        <f t="shared" ref="ET58:ET64" si="927">EP58*$ET$56</f>
        <v>8.204625</v>
      </c>
      <c r="EU58" s="51">
        <f t="shared" ref="EU58:EU64" si="928">EQ58*$EU$56</f>
        <v>0</v>
      </c>
      <c r="EV58" s="51">
        <f>ER58*EV$56</f>
        <v>273487.5</v>
      </c>
      <c r="EW58" s="54"/>
      <c r="EX58" s="51">
        <f>ET58*$EX$56</f>
        <v>8.204625</v>
      </c>
      <c r="EY58" s="51">
        <f>EU58*$EY$56</f>
        <v>0</v>
      </c>
      <c r="EZ58" s="51">
        <f>EV58*EZ$56</f>
        <v>273487.5</v>
      </c>
      <c r="FA58" s="54"/>
      <c r="FB58" s="51">
        <f>EX58*$FB$56</f>
        <v>8.204625</v>
      </c>
      <c r="FC58" s="51">
        <f>EY58*$FC$56</f>
        <v>0</v>
      </c>
      <c r="FD58" s="51">
        <f>EZ58*FD$56</f>
        <v>273487.5</v>
      </c>
      <c r="FE58" s="54"/>
      <c r="FF58" s="51">
        <f>FB58*$FF$56</f>
        <v>8.204625</v>
      </c>
      <c r="FG58" s="51">
        <f>FC58*$FG$56</f>
        <v>0</v>
      </c>
      <c r="FH58" s="51">
        <f>FD58*FH$56</f>
        <v>273487.5</v>
      </c>
      <c r="FI58" s="54"/>
      <c r="FJ58" s="51">
        <f>FF58*$FJ$56</f>
        <v>13.9478625</v>
      </c>
      <c r="FK58" s="51">
        <f>FG58*$FK$56</f>
        <v>0</v>
      </c>
      <c r="FL58" s="51">
        <f>FH58*FL$56</f>
        <v>273487.5</v>
      </c>
      <c r="FM58" s="54"/>
      <c r="FN58" s="51">
        <f>FJ58*$FN$56</f>
        <v>13.9478625</v>
      </c>
      <c r="FO58" s="51">
        <f>FK58*$FO$56</f>
        <v>0</v>
      </c>
      <c r="FP58" s="51">
        <f>FL58*FP$56</f>
        <v>273487.5</v>
      </c>
      <c r="FQ58" s="54"/>
      <c r="FR58" s="51">
        <f>FN58*$FR$56</f>
        <v>13.9478625</v>
      </c>
      <c r="FS58" s="51">
        <f>FO58*$FS$56</f>
        <v>0</v>
      </c>
      <c r="FT58" s="51">
        <f>FP58*FT$56</f>
        <v>273487.5</v>
      </c>
      <c r="FU58" s="54"/>
      <c r="FV58" s="51">
        <f>FR58*$FV$56</f>
        <v>13.9478625</v>
      </c>
      <c r="FW58" s="51">
        <f>FS58*$FW$56</f>
        <v>0</v>
      </c>
      <c r="FX58" s="51">
        <f>FT58*FX$56</f>
        <v>464928.75</v>
      </c>
      <c r="FY58" s="54"/>
      <c r="FZ58" s="51">
        <f>FV58*$FZ$56</f>
        <v>13.9478625</v>
      </c>
      <c r="GA58" s="51">
        <f>FW58*$GA$56</f>
        <v>0</v>
      </c>
      <c r="GB58" s="51">
        <f>FX58*GB$56</f>
        <v>464928.75</v>
      </c>
      <c r="GC58" s="54"/>
      <c r="GD58" s="51">
        <f>FZ58*$GD$56</f>
        <v>13.9478625</v>
      </c>
      <c r="GE58" s="51">
        <f>GA58*$GE$56</f>
        <v>0</v>
      </c>
      <c r="GF58" s="51">
        <f>GB58*GF$56</f>
        <v>464928.75</v>
      </c>
      <c r="GG58" s="54"/>
      <c r="GH58" s="51">
        <f>GD58*$GH$56</f>
        <v>13.9478625</v>
      </c>
      <c r="GI58" s="51">
        <f>GE58*$GI$56</f>
        <v>0</v>
      </c>
      <c r="GJ58" s="51">
        <f>GF58*GJ$56</f>
        <v>464928.75</v>
      </c>
      <c r="GK58" s="54"/>
      <c r="GL58" s="51">
        <f>GH58*$GL$56</f>
        <v>13.9478625</v>
      </c>
      <c r="GM58" s="51">
        <f>GI58*$GM$56</f>
        <v>0</v>
      </c>
      <c r="GN58" s="51">
        <f>GJ58*GN$56</f>
        <v>464928.75</v>
      </c>
      <c r="GP58" s="51">
        <f t="shared" ref="GP58:GP64" si="929">GL58*$GP$56</f>
        <v>13.9478625</v>
      </c>
      <c r="GQ58" s="51">
        <f t="shared" ref="GQ58:GQ64" si="930">GM58*$GQ$56</f>
        <v>0</v>
      </c>
      <c r="GR58" s="51">
        <f>GN58*GR$56</f>
        <v>464928.75</v>
      </c>
      <c r="GS58" s="54"/>
      <c r="GT58" s="51">
        <f>GP58*$GT$56</f>
        <v>13.9478625</v>
      </c>
      <c r="GU58" s="51">
        <f>GQ58*$GU$56</f>
        <v>0</v>
      </c>
      <c r="GV58" s="51">
        <f>GR58*GV$56</f>
        <v>464928.75</v>
      </c>
      <c r="GW58" s="54"/>
      <c r="GX58" s="51">
        <f>GT58*$GX$56</f>
        <v>13.9478625</v>
      </c>
      <c r="GY58" s="51">
        <f>GU58*$GY$56</f>
        <v>0</v>
      </c>
      <c r="GZ58" s="51">
        <f>GV58*GZ$56</f>
        <v>464928.75</v>
      </c>
      <c r="HA58" s="54"/>
      <c r="HB58" s="51">
        <f>GX58*$HB$56</f>
        <v>13.9478625</v>
      </c>
      <c r="HC58" s="51">
        <f>GY58*$HC$56</f>
        <v>0</v>
      </c>
      <c r="HD58" s="51">
        <f>GZ58*HD$56</f>
        <v>464928.75</v>
      </c>
      <c r="HE58" s="54"/>
      <c r="HF58" s="51">
        <f>HB58*$HF$56</f>
        <v>20.92179375</v>
      </c>
      <c r="HG58" s="51">
        <f>HC58*$HG$56</f>
        <v>0</v>
      </c>
      <c r="HH58" s="51">
        <f>HD58*HH$56</f>
        <v>464928.75</v>
      </c>
      <c r="HI58" s="54"/>
      <c r="HJ58" s="51">
        <f>HF58*$HJ$56</f>
        <v>20.92179375</v>
      </c>
      <c r="HK58" s="51">
        <f>HG58*$HK$56</f>
        <v>0</v>
      </c>
      <c r="HL58" s="51">
        <f>HH58*HL$56</f>
        <v>464928.75</v>
      </c>
      <c r="HM58" s="54"/>
      <c r="HN58" s="51">
        <f>HJ58*$HN$56</f>
        <v>20.92179375</v>
      </c>
      <c r="HO58" s="51">
        <f>HK58*$HO$56</f>
        <v>0</v>
      </c>
      <c r="HP58" s="51">
        <f>HL58*HP$56</f>
        <v>464928.75</v>
      </c>
      <c r="HQ58" s="54"/>
      <c r="HR58" s="51">
        <f>HN58*$HR$56</f>
        <v>20.92179375</v>
      </c>
      <c r="HS58" s="51">
        <f>HO58*$HS$56</f>
        <v>0</v>
      </c>
      <c r="HT58" s="51">
        <f>HP58*HT$56</f>
        <v>697393.125</v>
      </c>
      <c r="HU58" s="54"/>
      <c r="HV58" s="51">
        <f>HR58*$HV$56</f>
        <v>20.92179375</v>
      </c>
      <c r="HW58" s="51">
        <f>HS58*$HW$56</f>
        <v>0</v>
      </c>
      <c r="HX58" s="51">
        <f>HT58*HX$56</f>
        <v>697393.125</v>
      </c>
      <c r="HY58" s="54"/>
      <c r="HZ58" s="51">
        <f>HV58*$HZ$56</f>
        <v>20.92179375</v>
      </c>
      <c r="IA58" s="51">
        <f>HW58*$IA$56</f>
        <v>0</v>
      </c>
      <c r="IB58" s="51">
        <f>HX58*IB$56</f>
        <v>697393.125</v>
      </c>
      <c r="IC58" s="54"/>
      <c r="ID58" s="51">
        <f>HZ58*$ID$56</f>
        <v>20.92179375</v>
      </c>
      <c r="IE58" s="51">
        <f>IA58*$IE$56</f>
        <v>0</v>
      </c>
      <c r="IF58" s="51">
        <f>IB58*IF$56</f>
        <v>697393.125</v>
      </c>
      <c r="IG58" s="54"/>
      <c r="IH58" s="51">
        <f>ID58*$IH$56</f>
        <v>20.92179375</v>
      </c>
      <c r="II58" s="51">
        <f>IE58*$II$56</f>
        <v>0</v>
      </c>
      <c r="IJ58" s="51">
        <f>IF58*IJ$56</f>
        <v>697393.125</v>
      </c>
      <c r="IL58" s="51">
        <f t="shared" ref="IL58:IL64" si="931">IH58*$IL$56</f>
        <v>20.92179375</v>
      </c>
      <c r="IM58" s="51">
        <f t="shared" ref="IM58:IM64" si="932">II58*$IM$56</f>
        <v>0</v>
      </c>
      <c r="IN58" s="51">
        <f>IJ58*IN$56</f>
        <v>697393.125</v>
      </c>
      <c r="IO58" s="54"/>
      <c r="IP58" s="51">
        <f>IL58*$IP$56</f>
        <v>20.92179375</v>
      </c>
      <c r="IQ58" s="51">
        <f>IM58*$IQ$56</f>
        <v>0</v>
      </c>
      <c r="IR58" s="51">
        <f>IN58*IR$56</f>
        <v>697393.125</v>
      </c>
      <c r="IS58" s="54"/>
      <c r="IT58" s="51">
        <f>IP58*$IT$56</f>
        <v>20.92179375</v>
      </c>
      <c r="IU58" s="51">
        <f>IQ58*$IU$56</f>
        <v>0</v>
      </c>
      <c r="IV58" s="51">
        <f>IR58*IV$56</f>
        <v>697393.125</v>
      </c>
      <c r="IW58" s="54"/>
      <c r="IX58" s="51">
        <f>IT58*$IX$56</f>
        <v>20.92179375</v>
      </c>
      <c r="IY58" s="51">
        <f>IU58*$IY$56</f>
        <v>0</v>
      </c>
      <c r="IZ58" s="51">
        <f>IV58*IZ$56</f>
        <v>697393.125</v>
      </c>
      <c r="JA58" s="54"/>
      <c r="JB58" s="51" t="e">
        <f>IX58*$JB$56</f>
        <v>#REF!</v>
      </c>
      <c r="JC58" s="51">
        <f>IY58*$JC$56</f>
        <v>0</v>
      </c>
      <c r="JD58" s="51">
        <f>IZ58*JD$56</f>
        <v>697393.125</v>
      </c>
      <c r="JE58" s="54"/>
      <c r="JF58" s="51" t="e">
        <f>JB58*$JF$56</f>
        <v>#REF!</v>
      </c>
      <c r="JG58" s="51">
        <f>JC58*$JG$56</f>
        <v>0</v>
      </c>
      <c r="JH58" s="51">
        <f>JD58*JH$56</f>
        <v>697393.125</v>
      </c>
      <c r="JI58" s="54"/>
      <c r="JJ58" s="51" t="e">
        <f>JF58*$JJ$56</f>
        <v>#REF!</v>
      </c>
      <c r="JK58" s="51">
        <f>JG58*$JK$56</f>
        <v>0</v>
      </c>
      <c r="JL58" s="51">
        <f>JH58*JL$56</f>
        <v>697393.125</v>
      </c>
      <c r="JM58" s="54"/>
      <c r="JO58" s="80"/>
      <c r="JP58" s="80"/>
      <c r="JQ58" s="80">
        <f t="shared" ref="JQ58:JQ65" si="933">SUMIFS($F58:$JM58,$F$3:$JM$3,JO$5,$F$6:$JM$6,JQ$6)</f>
        <v>207533.33333333334</v>
      </c>
      <c r="JS58" s="80"/>
      <c r="JT58" s="80"/>
      <c r="JU58" s="80">
        <f t="shared" ref="JU58:JU65" si="934">SUMIFS($F58:$JM58,$F$3:$JM$3,JS$5,$F$6:$JM$6,JU$6)</f>
        <v>221000</v>
      </c>
      <c r="JW58" s="80"/>
      <c r="JX58" s="80"/>
      <c r="JY58" s="80">
        <f t="shared" ref="JY58:JY65" si="935">SUMIFS($F58:$JM58,$F$3:$JM$3,JW$5,$F$6:$JM$6,JY$6)</f>
        <v>596700</v>
      </c>
      <c r="KA58" s="80"/>
      <c r="KB58" s="80"/>
      <c r="KC58" s="80">
        <f t="shared" ref="KC58:KC65" si="936">SUMIFS($F58:$JM58,$F$3:$JM$3,KA$5,$F$6:$JM$6,KC$6)</f>
        <v>3281850</v>
      </c>
      <c r="KE58" s="80"/>
      <c r="KF58" s="80"/>
      <c r="KG58" s="80">
        <f t="shared" ref="KG58:KG65" si="937">SUMIFS($F58:$JM58,$F$3:$JM$3,KE$5,$F$6:$JM$6,KG$6)</f>
        <v>5579145</v>
      </c>
      <c r="KI58" s="80"/>
      <c r="KJ58" s="80"/>
      <c r="KK58" s="80">
        <f t="shared" ref="KK58:KK65" si="938">SUMIFS($F58:$JM58,$F$3:$JM$3,KI$5,$F$6:$JM$6,KK$6)</f>
        <v>8368717.5</v>
      </c>
      <c r="KM58" s="80"/>
      <c r="KN58" s="80"/>
      <c r="KO58" s="80">
        <f t="shared" ref="KO58:KO65" si="939">SUMIFS($F58:$JM58,$F$3:$JM$3,KM$5,$F$6:$JM$6,KO$6)</f>
        <v>8368717.5</v>
      </c>
    </row>
    <row r="59" ht="18.75" customHeight="1" spans="2:301" x14ac:dyDescent="0.25">
      <c r="B59" s="5" t="str">
        <f>A.IIOPEX!C59</f>
        <v>5b</v>
      </c>
      <c r="C59" s="27"/>
      <c r="D59" s="29" t="str">
        <f>A.IIOPEX!E59</f>
        <v>Patient Promotions</v>
      </c>
      <c r="E59" s="30"/>
      <c r="F59" s="51">
        <v>1</v>
      </c>
      <c r="G59" s="51"/>
      <c r="H59" s="51">
        <f>A.IIOPEX!I59</f>
        <v>150000</v>
      </c>
      <c r="I59" s="54"/>
      <c r="J59" s="51">
        <f t="shared" si="919"/>
        <v>0.65</v>
      </c>
      <c r="K59" s="51"/>
      <c r="L59" s="51">
        <f t="shared" ref="L59:L64" si="940">H59*L$56</f>
        <v>97500</v>
      </c>
      <c r="M59" s="54"/>
      <c r="N59" s="51">
        <f t="shared" si="920"/>
        <v>0.65</v>
      </c>
      <c r="O59" s="51"/>
      <c r="P59" s="51">
        <f t="shared" ref="P59:P64" si="941">L59*P$56</f>
        <v>97500</v>
      </c>
      <c r="Q59" s="54"/>
      <c r="R59" s="51">
        <f t="shared" si="921"/>
        <v>0.65</v>
      </c>
      <c r="S59" s="51"/>
      <c r="T59" s="51">
        <f t="shared" ref="T59:T64" si="942">P59*T$56</f>
        <v>97500</v>
      </c>
      <c r="U59" s="54"/>
      <c r="V59" s="51">
        <f t="shared" si="922"/>
        <v>0.65</v>
      </c>
      <c r="W59" s="51"/>
      <c r="X59" s="51">
        <f t="shared" ref="X59:X64" si="943">T59*X$56</f>
        <v>97500</v>
      </c>
      <c r="Y59" s="54"/>
      <c r="Z59" s="51">
        <f t="shared" si="923"/>
        <v>0.65</v>
      </c>
      <c r="AA59" s="51"/>
      <c r="AB59" s="51">
        <f t="shared" ref="AB59:AB64" si="944">X59*AB$56</f>
        <v>97500</v>
      </c>
      <c r="AC59" s="54"/>
      <c r="AD59" s="51">
        <f>Z59*$AD$56</f>
        <v>0.65</v>
      </c>
      <c r="AE59" s="51"/>
      <c r="AF59" s="51">
        <f t="shared" ref="AF59:AF64" si="945">AB59*AF$56</f>
        <v>97500</v>
      </c>
      <c r="AG59" s="54"/>
      <c r="AH59" s="51">
        <f>AD59*$AH$56</f>
        <v>0.663</v>
      </c>
      <c r="AI59" s="51"/>
      <c r="AJ59" s="51">
        <f t="shared" ref="AJ59:AJ64" si="946">AF59*AJ$56</f>
        <v>99450</v>
      </c>
      <c r="AK59" s="54"/>
      <c r="AL59" s="51">
        <f>AH59*$AL$56</f>
        <v>0.663</v>
      </c>
      <c r="AM59" s="51"/>
      <c r="AN59" s="51">
        <f t="shared" ref="AN59:AN64" si="947">AJ59*AN$56</f>
        <v>99450</v>
      </c>
      <c r="AO59" s="54"/>
      <c r="AP59" s="51">
        <f t="shared" ref="AP59:AP62" si="948">AL59*$AP$56</f>
        <v>0.663</v>
      </c>
      <c r="AQ59" s="51"/>
      <c r="AR59" s="51">
        <f t="shared" ref="AR59:AR64" si="949">AN59*AR$56</f>
        <v>99450</v>
      </c>
      <c r="AS59" s="54"/>
      <c r="AT59" s="51">
        <f t="shared" ref="AT59:AT62" si="950">AP59*$AT$56</f>
        <v>0.663</v>
      </c>
      <c r="AU59" s="51"/>
      <c r="AV59" s="51">
        <f t="shared" ref="AV59:AV64" si="951">AR59*AV$56</f>
        <v>99450</v>
      </c>
      <c r="AW59" s="54"/>
      <c r="AX59" s="51">
        <f t="shared" ref="AX59:AX62" si="952">AT59*$AX$56</f>
        <v>0.663</v>
      </c>
      <c r="AY59" s="51"/>
      <c r="AZ59" s="51">
        <f t="shared" ref="AZ59:AZ64" si="953">AV59*AZ$56</f>
        <v>99450</v>
      </c>
      <c r="BA59" s="54"/>
      <c r="BB59" s="51">
        <f t="shared" si="924"/>
        <v>0.663</v>
      </c>
      <c r="BC59" s="51"/>
      <c r="BD59" s="51">
        <f t="shared" ref="BD59:BD64" si="954">AZ59*BD$56</f>
        <v>99450</v>
      </c>
      <c r="BE59" s="54"/>
      <c r="BF59" s="51">
        <f>BB59*$BF$56</f>
        <v>0.663</v>
      </c>
      <c r="BG59" s="51"/>
      <c r="BH59" s="51">
        <f t="shared" ref="BH59:BH64" si="955">BD59*BH$56</f>
        <v>99450</v>
      </c>
      <c r="BI59" s="54"/>
      <c r="BJ59" s="51">
        <f t="shared" ref="BJ59:BJ62" si="956">BF59*$BJ$56</f>
        <v>0.663</v>
      </c>
      <c r="BK59" s="51">
        <f t="shared" ref="BK59:BK62" si="957">BG59*$BK$56</f>
        <v>0</v>
      </c>
      <c r="BL59" s="51">
        <f t="shared" ref="BL59:BL64" si="958">BH59*BL$56</f>
        <v>99450</v>
      </c>
      <c r="BM59" s="54"/>
      <c r="BN59" s="51">
        <f t="shared" ref="BN59:BN62" si="959">BJ59*$BN$56</f>
        <v>0.663</v>
      </c>
      <c r="BO59" s="51">
        <f t="shared" ref="BO59:BO62" si="960">BK59*$BO$56</f>
        <v>0</v>
      </c>
      <c r="BP59" s="51">
        <f t="shared" ref="BP59:BP64" si="961">BL59*BP$56</f>
        <v>99450</v>
      </c>
      <c r="BQ59" s="54"/>
      <c r="BR59" s="51">
        <f t="shared" ref="BR59:BR62" si="962">BN59*$BR$56</f>
        <v>0.663</v>
      </c>
      <c r="BS59" s="51">
        <f t="shared" ref="BS59:BS62" si="963">BO59*$BS$56</f>
        <v>0</v>
      </c>
      <c r="BT59" s="51">
        <f t="shared" ref="BT59:BT64" si="964">BP59*BT$56</f>
        <v>99450</v>
      </c>
      <c r="BU59" s="54"/>
      <c r="BV59" s="51">
        <f t="shared" ref="BV59:BV62" si="965">BR59*$BV$56</f>
        <v>0.663</v>
      </c>
      <c r="BW59" s="51">
        <f t="shared" ref="BW59:BW62" si="966">BS59*$BW$56</f>
        <v>0</v>
      </c>
      <c r="BX59" s="51">
        <f t="shared" ref="BX59:BX64" si="967">BT59*BX$56</f>
        <v>99450</v>
      </c>
      <c r="BY59" s="54"/>
      <c r="BZ59" s="51">
        <f t="shared" ref="BZ59:BZ62" si="968">BV59*$BZ$56</f>
        <v>0.663</v>
      </c>
      <c r="CA59" s="51">
        <f t="shared" ref="CA59:CA62" si="969">BW59*$CA$56</f>
        <v>0</v>
      </c>
      <c r="CB59" s="51">
        <f t="shared" ref="CB59:CB64" si="970">BX59*CB$56</f>
        <v>99450</v>
      </c>
      <c r="CC59" s="54"/>
      <c r="CD59" s="51">
        <f t="shared" ref="CD59:CD62" si="971">BZ59*$CD$56</f>
        <v>1.4917500000000001</v>
      </c>
      <c r="CE59" s="51">
        <f t="shared" ref="CE59:CE62" si="972">CA59*$CE$56</f>
        <v>0</v>
      </c>
      <c r="CF59" s="51">
        <f t="shared" ref="CF59:CF64" si="973">CB59*CF$56</f>
        <v>223762.5</v>
      </c>
      <c r="CG59" s="54"/>
      <c r="CH59" s="51">
        <f t="shared" ref="CH59:CH62" si="974">CD59*$CH$56</f>
        <v>1.4917500000000001</v>
      </c>
      <c r="CI59" s="51">
        <f t="shared" ref="CI59:CI62" si="975">CE59*$CI$56</f>
        <v>0</v>
      </c>
      <c r="CJ59" s="51">
        <f t="shared" ref="CJ59:CJ64" si="976">CF59*CJ$56</f>
        <v>223762.5</v>
      </c>
      <c r="CK59" s="54"/>
      <c r="CL59" s="51">
        <f t="shared" ref="CL59:CL62" si="977">CH59*$CL$56</f>
        <v>1.4917500000000001</v>
      </c>
      <c r="CM59" s="51">
        <f t="shared" ref="CM59:CM62" si="978">CI59*$CM$56</f>
        <v>0</v>
      </c>
      <c r="CN59" s="51">
        <f t="shared" ref="CN59:CN64" si="979">CJ59*CN$56</f>
        <v>223762.5</v>
      </c>
      <c r="CO59" s="54"/>
      <c r="CP59" s="51">
        <f t="shared" ref="CP59:CP62" si="980">CL59*$CP$56</f>
        <v>1.4917500000000001</v>
      </c>
      <c r="CQ59" s="51">
        <f t="shared" ref="CQ59:CQ62" si="981">CM59*$CQ$56</f>
        <v>0</v>
      </c>
      <c r="CR59" s="51">
        <f t="shared" ref="CR59:CR64" si="982">CN59*CR$56</f>
        <v>223762.5</v>
      </c>
      <c r="CS59" s="54"/>
      <c r="CT59" s="51">
        <f t="shared" ref="CT59:CT62" si="983">CP59*$CT$56</f>
        <v>1.4917500000000001</v>
      </c>
      <c r="CU59" s="51">
        <f t="shared" ref="CU59:CU62" si="984">CQ59*$CU$56</f>
        <v>0</v>
      </c>
      <c r="CV59" s="51">
        <f t="shared" ref="CV59:CV64" si="985">CR59*CV$56</f>
        <v>223762.5</v>
      </c>
      <c r="CW59" s="54"/>
      <c r="CX59" s="51">
        <f t="shared" si="925"/>
        <v>1.4917500000000001</v>
      </c>
      <c r="CY59" s="51">
        <f t="shared" si="926"/>
        <v>0</v>
      </c>
      <c r="CZ59" s="51">
        <f t="shared" ref="CZ59:CZ64" si="986">CV59*CZ$56</f>
        <v>223762.5</v>
      </c>
      <c r="DA59" s="54"/>
      <c r="DB59" s="51">
        <f>CX59*$DB$56</f>
        <v>1.4917500000000001</v>
      </c>
      <c r="DC59" s="51">
        <f t="shared" ref="DC59" si="987">CY59*$DC$56</f>
        <v>0</v>
      </c>
      <c r="DD59" s="51">
        <f t="shared" ref="DD59:DD64" si="988">CZ59*DD$56</f>
        <v>223762.5</v>
      </c>
      <c r="DE59" s="54"/>
      <c r="DF59" s="51">
        <f t="shared" ref="DF59:DF62" si="989">DB59*$DF$56</f>
        <v>1.4917500000000001</v>
      </c>
      <c r="DG59" s="51">
        <f t="shared" ref="DG59:DG62" si="990">DC59*$DG$56</f>
        <v>0</v>
      </c>
      <c r="DH59" s="51">
        <f t="shared" ref="DH59:DH64" si="991">DD59*DH$56</f>
        <v>223762.5</v>
      </c>
      <c r="DI59" s="54"/>
      <c r="DJ59" s="51">
        <f t="shared" ref="DJ59:DJ62" si="992">DF59*$DJ$56</f>
        <v>1.4917500000000001</v>
      </c>
      <c r="DK59" s="51">
        <f t="shared" ref="DK59:DK62" si="993">DG59*$DK$56</f>
        <v>0</v>
      </c>
      <c r="DL59" s="51">
        <f t="shared" ref="DL59:DL64" si="994">DH59*DL$56</f>
        <v>223762.5</v>
      </c>
      <c r="DM59" s="54"/>
      <c r="DN59" s="51">
        <f t="shared" ref="DN59:DN62" si="995">DJ59*$DN$56</f>
        <v>1.4917500000000001</v>
      </c>
      <c r="DO59" s="51">
        <f t="shared" ref="DO59:DO62" si="996">DK59*$DO$56</f>
        <v>0</v>
      </c>
      <c r="DP59" s="51">
        <f t="shared" ref="DP59:DP64" si="997">DL59*DP$56</f>
        <v>223762.5</v>
      </c>
      <c r="DQ59" s="54"/>
      <c r="DR59" s="51">
        <f t="shared" ref="DR59:DR62" si="998">DN59*$DR$56</f>
        <v>1.4917500000000001</v>
      </c>
      <c r="DS59" s="51">
        <f t="shared" ref="DS59:DS62" si="999">DO59*$DS$56</f>
        <v>0</v>
      </c>
      <c r="DT59" s="51">
        <f t="shared" ref="DT59:DT64" si="1000">DP59*DT$56</f>
        <v>223762.5</v>
      </c>
      <c r="DU59" s="54"/>
      <c r="DV59" s="51">
        <f t="shared" ref="DV59:DV62" si="1001">DR59*$DV$56</f>
        <v>1.4917500000000001</v>
      </c>
      <c r="DW59" s="51">
        <f>DS59*$DW$56</f>
        <v>0</v>
      </c>
      <c r="DX59" s="51">
        <f t="shared" ref="DX59:DX64" si="1002">DT59*DX$56</f>
        <v>223762.5</v>
      </c>
      <c r="DY59" s="54"/>
      <c r="DZ59" s="51">
        <f>DV59*$DZ$56</f>
        <v>8.204625</v>
      </c>
      <c r="EA59" s="51">
        <f>DW59*$EA$56</f>
        <v>0</v>
      </c>
      <c r="EB59" s="51">
        <f t="shared" ref="EB59:EB64" si="1003">DX59*EB$56</f>
        <v>1230693.75</v>
      </c>
      <c r="EC59" s="54"/>
      <c r="ED59" s="51">
        <f t="shared" ref="ED59:ED62" si="1004">DZ59*$ED$56</f>
        <v>8.204625</v>
      </c>
      <c r="EE59" s="51">
        <f t="shared" ref="EE59:EE62" si="1005">EA59*$EE$56</f>
        <v>0</v>
      </c>
      <c r="EF59" s="51">
        <f t="shared" ref="EF59:EF64" si="1006">EB59*EF$56</f>
        <v>1230693.75</v>
      </c>
      <c r="EG59" s="54"/>
      <c r="EH59" s="51">
        <f t="shared" ref="EH59:EH62" si="1007">ED59*$EH$56</f>
        <v>8.204625</v>
      </c>
      <c r="EI59" s="51">
        <f t="shared" ref="EI59:EI62" si="1008">EE59*$EI$56</f>
        <v>0</v>
      </c>
      <c r="EJ59" s="51">
        <f t="shared" ref="EJ59:EJ64" si="1009">EF59*EJ$56</f>
        <v>1230693.75</v>
      </c>
      <c r="EK59" s="54"/>
      <c r="EL59" s="51">
        <f t="shared" ref="EL59:EL62" si="1010">EH59*$EL$56</f>
        <v>8.204625</v>
      </c>
      <c r="EM59" s="51">
        <f t="shared" ref="EM59:EM62" si="1011">EI59*$EM$56</f>
        <v>0</v>
      </c>
      <c r="EN59" s="51">
        <f t="shared" ref="EN59:EN64" si="1012">EJ59*EN$56</f>
        <v>1230693.75</v>
      </c>
      <c r="EO59" s="54"/>
      <c r="EP59" s="51">
        <f t="shared" ref="EP59:EP62" si="1013">EL59*$EP$56</f>
        <v>8.204625</v>
      </c>
      <c r="EQ59" s="51">
        <f t="shared" ref="EQ59:EQ62" si="1014">EM59*$EQ$56</f>
        <v>0</v>
      </c>
      <c r="ER59" s="51">
        <f t="shared" ref="ER59:ER64" si="1015">EN59*ER$56</f>
        <v>1230693.75</v>
      </c>
      <c r="ES59" s="54"/>
      <c r="ET59" s="51">
        <f t="shared" si="927"/>
        <v>8.204625</v>
      </c>
      <c r="EU59" s="51">
        <f t="shared" si="928"/>
        <v>0</v>
      </c>
      <c r="EV59" s="51">
        <f t="shared" ref="EV59:EV64" si="1016">ER59*EV$56</f>
        <v>1230693.75</v>
      </c>
      <c r="EW59" s="54"/>
      <c r="EX59" s="51">
        <f t="shared" ref="EX59:EX62" si="1017">ET59*$EX$56</f>
        <v>8.204625</v>
      </c>
      <c r="EY59" s="51">
        <f t="shared" ref="EY59:EY62" si="1018">EU59*$EY$56</f>
        <v>0</v>
      </c>
      <c r="EZ59" s="51">
        <f t="shared" ref="EZ59:EZ64" si="1019">EV59*EZ$56</f>
        <v>1230693.75</v>
      </c>
      <c r="FA59" s="54"/>
      <c r="FB59" s="51">
        <f t="shared" ref="FB59:FB62" si="1020">EX59*$FB$56</f>
        <v>8.204625</v>
      </c>
      <c r="FC59" s="51">
        <f t="shared" ref="FC59:FC62" si="1021">EY59*$FC$56</f>
        <v>0</v>
      </c>
      <c r="FD59" s="51">
        <f t="shared" ref="FD59:FD64" si="1022">EZ59*FD$56</f>
        <v>1230693.75</v>
      </c>
      <c r="FE59" s="54"/>
      <c r="FF59" s="51">
        <f t="shared" ref="FF59:FF62" si="1023">FB59*$FF$56</f>
        <v>8.204625</v>
      </c>
      <c r="FG59" s="51">
        <f t="shared" ref="FG59:FG62" si="1024">FC59*$FG$56</f>
        <v>0</v>
      </c>
      <c r="FH59" s="51">
        <f t="shared" ref="FH59:FH64" si="1025">FD59*FH$56</f>
        <v>1230693.75</v>
      </c>
      <c r="FI59" s="54"/>
      <c r="FJ59" s="51">
        <f t="shared" ref="FJ59" si="1026">FF59*$FJ$56</f>
        <v>13.9478625</v>
      </c>
      <c r="FK59" s="51">
        <f>FG59*$FK$56</f>
        <v>0</v>
      </c>
      <c r="FL59" s="51">
        <f t="shared" ref="FL59:FL64" si="1027">FH59*FL$56</f>
        <v>1230693.75</v>
      </c>
      <c r="FM59" s="54"/>
      <c r="FN59" s="51">
        <f t="shared" ref="FN59:FN62" si="1028">FJ59*$FN$56</f>
        <v>13.9478625</v>
      </c>
      <c r="FO59" s="51">
        <f t="shared" ref="FO59" si="1029">FK59*$FO$56</f>
        <v>0</v>
      </c>
      <c r="FP59" s="51">
        <f t="shared" ref="FP59:FP64" si="1030">FL59*FP$56</f>
        <v>1230693.75</v>
      </c>
      <c r="FQ59" s="54"/>
      <c r="FR59" s="51">
        <f t="shared" ref="FR59:FR62" si="1031">FN59*$FR$56</f>
        <v>13.9478625</v>
      </c>
      <c r="FS59" s="51">
        <f t="shared" ref="FS59:FS62" si="1032">FO59*$FS$56</f>
        <v>0</v>
      </c>
      <c r="FT59" s="51">
        <f t="shared" ref="FT59:FT64" si="1033">FP59*FT$56</f>
        <v>1230693.75</v>
      </c>
      <c r="FU59" s="54"/>
      <c r="FV59" s="51">
        <f t="shared" ref="FV59" si="1034">FR59*$FV$56</f>
        <v>13.9478625</v>
      </c>
      <c r="FW59" s="51">
        <f>FS59*$FW$56</f>
        <v>0</v>
      </c>
      <c r="FX59" s="51">
        <f t="shared" ref="FX59:FX64" si="1035">FT59*FX$56</f>
        <v>2092179.375</v>
      </c>
      <c r="FY59" s="54"/>
      <c r="FZ59" s="51">
        <f t="shared" ref="FZ59:FZ62" si="1036">FV59*$FZ$56</f>
        <v>13.9478625</v>
      </c>
      <c r="GA59" s="51">
        <f>FW59*$GA$56</f>
        <v>0</v>
      </c>
      <c r="GB59" s="51">
        <f t="shared" ref="GB59:GB64" si="1037">FX59*GB$56</f>
        <v>2092179.375</v>
      </c>
      <c r="GC59" s="54"/>
      <c r="GD59" s="51">
        <f t="shared" ref="GD59:GD62" si="1038">FZ59*$GD$56</f>
        <v>13.9478625</v>
      </c>
      <c r="GE59" s="51">
        <f t="shared" ref="GE59:GE62" si="1039">GA59*$GE$56</f>
        <v>0</v>
      </c>
      <c r="GF59" s="51">
        <f t="shared" ref="GF59:GF64" si="1040">GB59*GF$56</f>
        <v>2092179.375</v>
      </c>
      <c r="GG59" s="54"/>
      <c r="GH59" s="51">
        <f>GD59*$GH$56</f>
        <v>13.9478625</v>
      </c>
      <c r="GI59" s="51">
        <f>GE59*$GI$56</f>
        <v>0</v>
      </c>
      <c r="GJ59" s="51">
        <f t="shared" ref="GJ59:GJ64" si="1041">GF59*GJ$56</f>
        <v>2092179.375</v>
      </c>
      <c r="GK59" s="54"/>
      <c r="GL59" s="51">
        <f t="shared" ref="GL59:GL62" si="1042">GH59*$GL$56</f>
        <v>13.9478625</v>
      </c>
      <c r="GM59" s="51">
        <f t="shared" ref="GM59:GM62" si="1043">GI59*$GM$56</f>
        <v>0</v>
      </c>
      <c r="GN59" s="51">
        <f t="shared" ref="GN59:GN64" si="1044">GJ59*GN$56</f>
        <v>2092179.375</v>
      </c>
      <c r="GP59" s="51">
        <f t="shared" si="929"/>
        <v>13.9478625</v>
      </c>
      <c r="GQ59" s="51">
        <f t="shared" si="930"/>
        <v>0</v>
      </c>
      <c r="GR59" s="51">
        <f t="shared" ref="GR59:GR64" si="1045">GN59*GR$56</f>
        <v>2092179.375</v>
      </c>
      <c r="GS59" s="54"/>
      <c r="GT59" s="51">
        <f t="shared" ref="GT59:GT62" si="1046">GP59*$GT$56</f>
        <v>13.9478625</v>
      </c>
      <c r="GU59" s="51">
        <f t="shared" ref="GU59:GU62" si="1047">GQ59*$GU$56</f>
        <v>0</v>
      </c>
      <c r="GV59" s="51">
        <f t="shared" ref="GV59:GV64" si="1048">GR59*GV$56</f>
        <v>2092179.375</v>
      </c>
      <c r="GW59" s="54"/>
      <c r="GX59" s="51">
        <f t="shared" ref="GX59:GX62" si="1049">GT59*$GX$56</f>
        <v>13.9478625</v>
      </c>
      <c r="GY59" s="51">
        <f t="shared" ref="GY59:GY62" si="1050">GU59*$GY$56</f>
        <v>0</v>
      </c>
      <c r="GZ59" s="51">
        <f t="shared" ref="GZ59:GZ64" si="1051">GV59*GZ$56</f>
        <v>2092179.375</v>
      </c>
      <c r="HA59" s="54"/>
      <c r="HB59" s="51">
        <f t="shared" ref="HB59:HB62" si="1052">GX59*$HB$56</f>
        <v>13.9478625</v>
      </c>
      <c r="HC59" s="51">
        <f t="shared" ref="HC59:HC62" si="1053">GY59*$HC$56</f>
        <v>0</v>
      </c>
      <c r="HD59" s="51">
        <f t="shared" ref="HD59:HD64" si="1054">GZ59*HD$56</f>
        <v>2092179.375</v>
      </c>
      <c r="HE59" s="54"/>
      <c r="HF59" s="51">
        <f t="shared" ref="HF59:HF62" si="1055">HB59*$HF$56</f>
        <v>20.92179375</v>
      </c>
      <c r="HG59" s="51">
        <f t="shared" ref="HG59:HG62" si="1056">HC59*$HG$56</f>
        <v>0</v>
      </c>
      <c r="HH59" s="51">
        <f t="shared" ref="HH59:HH64" si="1057">HD59*HH$56</f>
        <v>2092179.375</v>
      </c>
      <c r="HI59" s="54"/>
      <c r="HJ59" s="51">
        <f t="shared" ref="HJ59:HJ62" si="1058">HF59*$HJ$56</f>
        <v>20.92179375</v>
      </c>
      <c r="HK59" s="51">
        <f t="shared" ref="HK59:HK62" si="1059">HG59*$HK$56</f>
        <v>0</v>
      </c>
      <c r="HL59" s="51">
        <f t="shared" ref="HL59:HL64" si="1060">HH59*HL$56</f>
        <v>2092179.375</v>
      </c>
      <c r="HM59" s="54"/>
      <c r="HN59" s="51">
        <f t="shared" ref="HN59:HN62" si="1061">HJ59*$HN$56</f>
        <v>20.92179375</v>
      </c>
      <c r="HO59" s="51">
        <f t="shared" ref="HO59:HO62" si="1062">HK59*$HO$56</f>
        <v>0</v>
      </c>
      <c r="HP59" s="51">
        <f t="shared" ref="HP59:HP64" si="1063">HL59*HP$56</f>
        <v>2092179.375</v>
      </c>
      <c r="HQ59" s="54"/>
      <c r="HR59" s="51">
        <f t="shared" ref="HR59:HR62" si="1064">HN59*$HR$56</f>
        <v>20.92179375</v>
      </c>
      <c r="HS59" s="51">
        <f t="shared" ref="HS59:HS62" si="1065">HO59*$HS$56</f>
        <v>0</v>
      </c>
      <c r="HT59" s="51">
        <f t="shared" ref="HT59:HT64" si="1066">HP59*HT$56</f>
        <v>3138269.0625</v>
      </c>
      <c r="HU59" s="54"/>
      <c r="HV59" s="51">
        <f t="shared" ref="HV59:HV62" si="1067">HR59*$HV$56</f>
        <v>20.92179375</v>
      </c>
      <c r="HW59" s="51">
        <f t="shared" ref="HW59:HW62" si="1068">HS59*$HW$56</f>
        <v>0</v>
      </c>
      <c r="HX59" s="51">
        <f t="shared" ref="HX59:HX64" si="1069">HT59*HX$56</f>
        <v>3138269.0625</v>
      </c>
      <c r="HY59" s="54"/>
      <c r="HZ59" s="51">
        <f t="shared" ref="HZ59:HZ62" si="1070">HV59*$HZ$56</f>
        <v>20.92179375</v>
      </c>
      <c r="IA59" s="51">
        <f t="shared" ref="IA59:IA62" si="1071">HW59*$IA$56</f>
        <v>0</v>
      </c>
      <c r="IB59" s="51">
        <f t="shared" ref="IB59:IB64" si="1072">HX59*IB$56</f>
        <v>3138269.0625</v>
      </c>
      <c r="IC59" s="54"/>
      <c r="ID59" s="51">
        <f t="shared" ref="ID59:ID62" si="1073">HZ59*$ID$56</f>
        <v>20.92179375</v>
      </c>
      <c r="IE59" s="51">
        <f t="shared" ref="IE59:IE62" si="1074">IA59*$IE$56</f>
        <v>0</v>
      </c>
      <c r="IF59" s="51">
        <f t="shared" ref="IF59:IF64" si="1075">IB59*IF$56</f>
        <v>3138269.0625</v>
      </c>
      <c r="IG59" s="54"/>
      <c r="IH59" s="51">
        <f t="shared" ref="IH59:IH62" si="1076">ID59*$IH$56</f>
        <v>20.92179375</v>
      </c>
      <c r="II59" s="51">
        <f t="shared" ref="II59:II62" si="1077">IE59*$II$56</f>
        <v>0</v>
      </c>
      <c r="IJ59" s="51">
        <f t="shared" ref="IJ59:IJ64" si="1078">IF59*IJ$56</f>
        <v>3138269.0625</v>
      </c>
      <c r="IL59" s="51">
        <f t="shared" si="931"/>
        <v>20.92179375</v>
      </c>
      <c r="IM59" s="51">
        <f t="shared" si="932"/>
        <v>0</v>
      </c>
      <c r="IN59" s="51">
        <f t="shared" ref="IN59:IN64" si="1079">IJ59*IN$56</f>
        <v>3138269.0625</v>
      </c>
      <c r="IO59" s="54"/>
      <c r="IP59" s="51">
        <f t="shared" ref="IP59:IP62" si="1080">IL59*$IP$56</f>
        <v>20.92179375</v>
      </c>
      <c r="IQ59" s="51">
        <f t="shared" ref="IQ59:IQ62" si="1081">IM59*$IQ$56</f>
        <v>0</v>
      </c>
      <c r="IR59" s="51">
        <f t="shared" ref="IR59:IR64" si="1082">IN59*IR$56</f>
        <v>3138269.0625</v>
      </c>
      <c r="IS59" s="54"/>
      <c r="IT59" s="51">
        <f t="shared" ref="IT59:IT62" si="1083">IP59*$IT$56</f>
        <v>20.92179375</v>
      </c>
      <c r="IU59" s="51">
        <f t="shared" ref="IU59:IU62" si="1084">IQ59*$IU$56</f>
        <v>0</v>
      </c>
      <c r="IV59" s="51">
        <f t="shared" ref="IV59:IV64" si="1085">IR59*IV$56</f>
        <v>3138269.0625</v>
      </c>
      <c r="IW59" s="54"/>
      <c r="IX59" s="51">
        <f t="shared" ref="IX59:IX62" si="1086">IT59*$IX$56</f>
        <v>20.92179375</v>
      </c>
      <c r="IY59" s="51">
        <f t="shared" ref="IY59:IY62" si="1087">IU59*$IY$56</f>
        <v>0</v>
      </c>
      <c r="IZ59" s="51">
        <f t="shared" ref="IZ59:IZ64" si="1088">IV59*IZ$56</f>
        <v>3138269.0625</v>
      </c>
      <c r="JA59" s="54"/>
      <c r="JB59" s="51" t="e">
        <f t="shared" ref="JB59:JB62" si="1089">IX59*$JB$56</f>
        <v>#REF!</v>
      </c>
      <c r="JC59" s="51">
        <f t="shared" ref="JC59:JC62" si="1090">IY59*$JC$56</f>
        <v>0</v>
      </c>
      <c r="JD59" s="51">
        <f t="shared" ref="JD59:JD64" si="1091">IZ59*JD$56</f>
        <v>3138269.0625</v>
      </c>
      <c r="JE59" s="54"/>
      <c r="JF59" s="51" t="e">
        <f t="shared" ref="JF59:JF62" si="1092">JB59*$JF$56</f>
        <v>#REF!</v>
      </c>
      <c r="JG59" s="51">
        <f t="shared" ref="JG59:JG62" si="1093">JC59*$JG$56</f>
        <v>0</v>
      </c>
      <c r="JH59" s="51">
        <f t="shared" ref="JH59:JH64" si="1094">JD59*JH$56</f>
        <v>3138269.0625</v>
      </c>
      <c r="JI59" s="54"/>
      <c r="JJ59" s="51" t="e">
        <f t="shared" ref="JJ59:JJ62" si="1095">JF59*$JJ$56</f>
        <v>#REF!</v>
      </c>
      <c r="JK59" s="51">
        <f t="shared" ref="JK59:JK62" si="1096">JG59*$JK$56</f>
        <v>0</v>
      </c>
      <c r="JL59" s="51">
        <f t="shared" ref="JL59:JL64" si="1097">JH59*JL$56</f>
        <v>3138269.0625</v>
      </c>
      <c r="JM59" s="54"/>
      <c r="JO59" s="80"/>
      <c r="JP59" s="80"/>
      <c r="JQ59" s="80">
        <f t="shared" si="933"/>
        <v>933900</v>
      </c>
      <c r="JS59" s="80"/>
      <c r="JT59" s="80"/>
      <c r="JU59" s="80">
        <f t="shared" si="934"/>
        <v>994500</v>
      </c>
      <c r="JW59" s="80"/>
      <c r="JX59" s="80"/>
      <c r="JY59" s="80">
        <f t="shared" si="935"/>
        <v>2685150</v>
      </c>
      <c r="KA59" s="80"/>
      <c r="KB59" s="80"/>
      <c r="KC59" s="80">
        <f t="shared" si="936"/>
        <v>14768325</v>
      </c>
      <c r="KE59" s="80"/>
      <c r="KF59" s="80"/>
      <c r="KG59" s="80">
        <f t="shared" si="937"/>
        <v>25106152.5</v>
      </c>
      <c r="KI59" s="80"/>
      <c r="KJ59" s="80"/>
      <c r="KK59" s="80">
        <f t="shared" si="938"/>
        <v>37659228.75</v>
      </c>
      <c r="KM59" s="80"/>
      <c r="KN59" s="80"/>
      <c r="KO59" s="80">
        <f t="shared" si="939"/>
        <v>37659228.75</v>
      </c>
    </row>
    <row r="60" ht="18.75" customHeight="1" spans="2:301" x14ac:dyDescent="0.25">
      <c r="B60" s="5" t="str">
        <f>A.IIOPEX!C60</f>
        <v>5c</v>
      </c>
      <c r="C60" s="27"/>
      <c r="D60" s="29" t="str">
        <f>A.IIOPEX!E60</f>
        <v>Doctors’ promotions </v>
      </c>
      <c r="E60" s="30"/>
      <c r="F60" s="51">
        <v>1</v>
      </c>
      <c r="G60" s="51"/>
      <c r="H60" s="51">
        <f>A.IIOPEX!I60</f>
        <v>100000</v>
      </c>
      <c r="I60" s="54"/>
      <c r="J60" s="51">
        <f t="shared" si="919"/>
        <v>0.65</v>
      </c>
      <c r="K60" s="51"/>
      <c r="L60" s="51">
        <f t="shared" si="940"/>
        <v>65000</v>
      </c>
      <c r="M60" s="54"/>
      <c r="N60" s="51">
        <f t="shared" si="920"/>
        <v>0.65</v>
      </c>
      <c r="O60" s="51"/>
      <c r="P60" s="51">
        <f t="shared" si="941"/>
        <v>65000</v>
      </c>
      <c r="Q60" s="54"/>
      <c r="R60" s="51">
        <f t="shared" si="921"/>
        <v>0.65</v>
      </c>
      <c r="S60" s="51"/>
      <c r="T60" s="51">
        <f t="shared" si="942"/>
        <v>65000</v>
      </c>
      <c r="U60" s="54"/>
      <c r="V60" s="51">
        <f t="shared" si="922"/>
        <v>0.65</v>
      </c>
      <c r="W60" s="51"/>
      <c r="X60" s="51">
        <f t="shared" si="943"/>
        <v>65000</v>
      </c>
      <c r="Y60" s="54"/>
      <c r="Z60" s="51">
        <f t="shared" si="923"/>
        <v>0.65</v>
      </c>
      <c r="AA60" s="51"/>
      <c r="AB60" s="51">
        <f t="shared" si="944"/>
        <v>65000</v>
      </c>
      <c r="AC60" s="54"/>
      <c r="AD60" s="51">
        <f>Z60*$AD$56</f>
        <v>0.65</v>
      </c>
      <c r="AE60" s="51"/>
      <c r="AF60" s="51">
        <f t="shared" si="945"/>
        <v>65000</v>
      </c>
      <c r="AG60" s="54"/>
      <c r="AH60" s="51">
        <f>AD60*$AH$56</f>
        <v>0.663</v>
      </c>
      <c r="AI60" s="51"/>
      <c r="AJ60" s="51">
        <f t="shared" si="946"/>
        <v>66300</v>
      </c>
      <c r="AK60" s="54"/>
      <c r="AL60" s="51">
        <f>AH60*$AL$56</f>
        <v>0.663</v>
      </c>
      <c r="AM60" s="51"/>
      <c r="AN60" s="51">
        <f t="shared" si="947"/>
        <v>66300</v>
      </c>
      <c r="AO60" s="54"/>
      <c r="AP60" s="51">
        <f t="shared" si="948"/>
        <v>0.663</v>
      </c>
      <c r="AQ60" s="51"/>
      <c r="AR60" s="51">
        <f t="shared" si="949"/>
        <v>66300</v>
      </c>
      <c r="AS60" s="54"/>
      <c r="AT60" s="51">
        <f t="shared" si="950"/>
        <v>0.663</v>
      </c>
      <c r="AU60" s="51"/>
      <c r="AV60" s="51">
        <f t="shared" si="951"/>
        <v>66300</v>
      </c>
      <c r="AW60" s="54"/>
      <c r="AX60" s="51">
        <f t="shared" si="952"/>
        <v>0.663</v>
      </c>
      <c r="AY60" s="51"/>
      <c r="AZ60" s="51">
        <f t="shared" si="953"/>
        <v>66300</v>
      </c>
      <c r="BA60" s="54"/>
      <c r="BB60" s="51">
        <f t="shared" si="924"/>
        <v>0.663</v>
      </c>
      <c r="BC60" s="51"/>
      <c r="BD60" s="51">
        <f t="shared" si="954"/>
        <v>66300</v>
      </c>
      <c r="BE60" s="54"/>
      <c r="BF60" s="51">
        <f t="shared" ref="BF60:BF62" si="1098">BB60*$BF$56</f>
        <v>0.663</v>
      </c>
      <c r="BG60" s="51"/>
      <c r="BH60" s="51">
        <f t="shared" si="955"/>
        <v>66300</v>
      </c>
      <c r="BI60" s="54"/>
      <c r="BJ60" s="51">
        <f t="shared" si="956"/>
        <v>0.663</v>
      </c>
      <c r="BK60" s="51">
        <f t="shared" si="957"/>
        <v>0</v>
      </c>
      <c r="BL60" s="51">
        <f t="shared" si="958"/>
        <v>66300</v>
      </c>
      <c r="BM60" s="54"/>
      <c r="BN60" s="51">
        <f t="shared" si="959"/>
        <v>0.663</v>
      </c>
      <c r="BO60" s="51">
        <f t="shared" si="960"/>
        <v>0</v>
      </c>
      <c r="BP60" s="51">
        <f t="shared" si="961"/>
        <v>66300</v>
      </c>
      <c r="BQ60" s="54"/>
      <c r="BR60" s="51">
        <f t="shared" si="962"/>
        <v>0.663</v>
      </c>
      <c r="BS60" s="51">
        <f t="shared" si="963"/>
        <v>0</v>
      </c>
      <c r="BT60" s="51">
        <f t="shared" si="964"/>
        <v>66300</v>
      </c>
      <c r="BU60" s="54"/>
      <c r="BV60" s="51">
        <f t="shared" si="965"/>
        <v>0.663</v>
      </c>
      <c r="BW60" s="51">
        <f t="shared" si="966"/>
        <v>0</v>
      </c>
      <c r="BX60" s="51">
        <f t="shared" si="967"/>
        <v>66300</v>
      </c>
      <c r="BY60" s="54"/>
      <c r="BZ60" s="51">
        <f t="shared" si="968"/>
        <v>0.663</v>
      </c>
      <c r="CA60" s="51">
        <f t="shared" si="969"/>
        <v>0</v>
      </c>
      <c r="CB60" s="51">
        <f t="shared" si="970"/>
        <v>66300</v>
      </c>
      <c r="CC60" s="54"/>
      <c r="CD60" s="51">
        <f t="shared" si="971"/>
        <v>1.4917500000000001</v>
      </c>
      <c r="CE60" s="51">
        <f t="shared" si="972"/>
        <v>0</v>
      </c>
      <c r="CF60" s="51">
        <f t="shared" si="973"/>
        <v>149175</v>
      </c>
      <c r="CG60" s="54"/>
      <c r="CH60" s="51">
        <f t="shared" si="974"/>
        <v>1.4917500000000001</v>
      </c>
      <c r="CI60" s="51">
        <f t="shared" si="975"/>
        <v>0</v>
      </c>
      <c r="CJ60" s="51">
        <f t="shared" si="976"/>
        <v>149175</v>
      </c>
      <c r="CK60" s="54"/>
      <c r="CL60" s="51">
        <f t="shared" si="977"/>
        <v>1.4917500000000001</v>
      </c>
      <c r="CM60" s="51">
        <f t="shared" si="978"/>
        <v>0</v>
      </c>
      <c r="CN60" s="51">
        <f t="shared" si="979"/>
        <v>149175</v>
      </c>
      <c r="CO60" s="54"/>
      <c r="CP60" s="51">
        <f t="shared" si="980"/>
        <v>1.4917500000000001</v>
      </c>
      <c r="CQ60" s="51">
        <f t="shared" si="981"/>
        <v>0</v>
      </c>
      <c r="CR60" s="51">
        <f t="shared" si="982"/>
        <v>149175</v>
      </c>
      <c r="CS60" s="54"/>
      <c r="CT60" s="51">
        <f t="shared" si="983"/>
        <v>1.4917500000000001</v>
      </c>
      <c r="CU60" s="51">
        <f t="shared" si="984"/>
        <v>0</v>
      </c>
      <c r="CV60" s="51">
        <f t="shared" si="985"/>
        <v>149175</v>
      </c>
      <c r="CW60" s="54"/>
      <c r="CX60" s="51">
        <f t="shared" si="925"/>
        <v>1.4917500000000001</v>
      </c>
      <c r="CY60" s="51">
        <f t="shared" si="926"/>
        <v>0</v>
      </c>
      <c r="CZ60" s="51">
        <f t="shared" si="986"/>
        <v>149175</v>
      </c>
      <c r="DA60" s="54"/>
      <c r="DB60" s="51">
        <f t="shared" ref="DB60:DB62" si="1099">CX60*$DB$56</f>
        <v>1.4917500000000001</v>
      </c>
      <c r="DC60" s="51">
        <f>CY60*$DC$56</f>
        <v>0</v>
      </c>
      <c r="DD60" s="51">
        <f t="shared" si="988"/>
        <v>149175</v>
      </c>
      <c r="DE60" s="54"/>
      <c r="DF60" s="51">
        <f t="shared" si="989"/>
        <v>1.4917500000000001</v>
      </c>
      <c r="DG60" s="51">
        <f t="shared" si="990"/>
        <v>0</v>
      </c>
      <c r="DH60" s="51">
        <f t="shared" si="991"/>
        <v>149175</v>
      </c>
      <c r="DI60" s="54"/>
      <c r="DJ60" s="51">
        <f t="shared" si="992"/>
        <v>1.4917500000000001</v>
      </c>
      <c r="DK60" s="51">
        <f t="shared" si="993"/>
        <v>0</v>
      </c>
      <c r="DL60" s="51">
        <f t="shared" si="994"/>
        <v>149175</v>
      </c>
      <c r="DM60" s="54"/>
      <c r="DN60" s="51">
        <f t="shared" si="995"/>
        <v>1.4917500000000001</v>
      </c>
      <c r="DO60" s="51">
        <f t="shared" si="996"/>
        <v>0</v>
      </c>
      <c r="DP60" s="51">
        <f t="shared" si="997"/>
        <v>149175</v>
      </c>
      <c r="DQ60" s="54"/>
      <c r="DR60" s="51">
        <f t="shared" si="998"/>
        <v>1.4917500000000001</v>
      </c>
      <c r="DS60" s="51">
        <f t="shared" si="999"/>
        <v>0</v>
      </c>
      <c r="DT60" s="51">
        <f t="shared" si="1000"/>
        <v>149175</v>
      </c>
      <c r="DU60" s="54"/>
      <c r="DV60" s="51">
        <f t="shared" si="1001"/>
        <v>1.4917500000000001</v>
      </c>
      <c r="DW60" s="51">
        <f>DS60*$DW$56</f>
        <v>0</v>
      </c>
      <c r="DX60" s="51">
        <f t="shared" si="1002"/>
        <v>149175</v>
      </c>
      <c r="DY60" s="54"/>
      <c r="DZ60" s="51">
        <f t="shared" ref="DZ60:DZ62" si="1100">DV60*$DZ$56</f>
        <v>8.204625</v>
      </c>
      <c r="EA60" s="51">
        <f t="shared" ref="EA60:EA62" si="1101">DW60*$EA$56</f>
        <v>0</v>
      </c>
      <c r="EB60" s="51">
        <f t="shared" si="1003"/>
        <v>820462.5</v>
      </c>
      <c r="EC60" s="54"/>
      <c r="ED60" s="51">
        <f t="shared" si="1004"/>
        <v>8.204625</v>
      </c>
      <c r="EE60" s="51">
        <f t="shared" si="1005"/>
        <v>0</v>
      </c>
      <c r="EF60" s="51">
        <f t="shared" si="1006"/>
        <v>820462.5</v>
      </c>
      <c r="EG60" s="54"/>
      <c r="EH60" s="51">
        <f t="shared" si="1007"/>
        <v>8.204625</v>
      </c>
      <c r="EI60" s="51">
        <f t="shared" si="1008"/>
        <v>0</v>
      </c>
      <c r="EJ60" s="51">
        <f t="shared" si="1009"/>
        <v>820462.5</v>
      </c>
      <c r="EK60" s="54"/>
      <c r="EL60" s="51">
        <f t="shared" si="1010"/>
        <v>8.204625</v>
      </c>
      <c r="EM60" s="51">
        <f t="shared" si="1011"/>
        <v>0</v>
      </c>
      <c r="EN60" s="51">
        <f t="shared" si="1012"/>
        <v>820462.5</v>
      </c>
      <c r="EO60" s="54"/>
      <c r="EP60" s="51">
        <f t="shared" si="1013"/>
        <v>8.204625</v>
      </c>
      <c r="EQ60" s="51">
        <f t="shared" si="1014"/>
        <v>0</v>
      </c>
      <c r="ER60" s="51">
        <f t="shared" si="1015"/>
        <v>820462.5</v>
      </c>
      <c r="ES60" s="54"/>
      <c r="ET60" s="51">
        <f t="shared" si="927"/>
        <v>8.204625</v>
      </c>
      <c r="EU60" s="51">
        <f t="shared" si="928"/>
        <v>0</v>
      </c>
      <c r="EV60" s="51">
        <f t="shared" si="1016"/>
        <v>820462.5</v>
      </c>
      <c r="EW60" s="54"/>
      <c r="EX60" s="51">
        <f t="shared" si="1017"/>
        <v>8.204625</v>
      </c>
      <c r="EY60" s="51">
        <f t="shared" si="1018"/>
        <v>0</v>
      </c>
      <c r="EZ60" s="51">
        <f t="shared" si="1019"/>
        <v>820462.5</v>
      </c>
      <c r="FA60" s="54"/>
      <c r="FB60" s="51">
        <f t="shared" si="1020"/>
        <v>8.204625</v>
      </c>
      <c r="FC60" s="51">
        <f t="shared" si="1021"/>
        <v>0</v>
      </c>
      <c r="FD60" s="51">
        <f t="shared" si="1022"/>
        <v>820462.5</v>
      </c>
      <c r="FE60" s="54"/>
      <c r="FF60" s="51">
        <f t="shared" si="1023"/>
        <v>8.204625</v>
      </c>
      <c r="FG60" s="51">
        <f t="shared" si="1024"/>
        <v>0</v>
      </c>
      <c r="FH60" s="51">
        <f t="shared" si="1025"/>
        <v>820462.5</v>
      </c>
      <c r="FI60" s="54"/>
      <c r="FJ60" s="51">
        <f>FF60*$FJ$56</f>
        <v>13.9478625</v>
      </c>
      <c r="FK60" s="51">
        <f>FG60*$FK$56</f>
        <v>0</v>
      </c>
      <c r="FL60" s="51">
        <f t="shared" si="1027"/>
        <v>820462.5</v>
      </c>
      <c r="FM60" s="54"/>
      <c r="FN60" s="51">
        <f t="shared" si="1028"/>
        <v>13.9478625</v>
      </c>
      <c r="FO60" s="51">
        <f>FK60*$FO$56</f>
        <v>0</v>
      </c>
      <c r="FP60" s="51">
        <f t="shared" si="1030"/>
        <v>820462.5</v>
      </c>
      <c r="FQ60" s="54"/>
      <c r="FR60" s="51">
        <f t="shared" si="1031"/>
        <v>13.9478625</v>
      </c>
      <c r="FS60" s="51">
        <f t="shared" si="1032"/>
        <v>0</v>
      </c>
      <c r="FT60" s="51">
        <f t="shared" si="1033"/>
        <v>820462.5</v>
      </c>
      <c r="FU60" s="54"/>
      <c r="FV60" s="51">
        <f>FR60*$FV$56</f>
        <v>13.9478625</v>
      </c>
      <c r="FW60" s="51">
        <f>FS60*$FW$56</f>
        <v>0</v>
      </c>
      <c r="FX60" s="51">
        <f t="shared" si="1035"/>
        <v>1394786.25</v>
      </c>
      <c r="FY60" s="54"/>
      <c r="FZ60" s="51">
        <f t="shared" si="1036"/>
        <v>13.9478625</v>
      </c>
      <c r="GA60" s="51">
        <f>FW60*$GA$56</f>
        <v>0</v>
      </c>
      <c r="GB60" s="51">
        <f t="shared" si="1037"/>
        <v>1394786.25</v>
      </c>
      <c r="GC60" s="54"/>
      <c r="GD60" s="51">
        <f t="shared" si="1038"/>
        <v>13.9478625</v>
      </c>
      <c r="GE60" s="51">
        <f t="shared" si="1039"/>
        <v>0</v>
      </c>
      <c r="GF60" s="51">
        <f t="shared" si="1040"/>
        <v>1394786.25</v>
      </c>
      <c r="GG60" s="54"/>
      <c r="GH60" s="51">
        <f>GD60*$GH$56</f>
        <v>13.9478625</v>
      </c>
      <c r="GI60" s="51">
        <f>GE60*$GI$56</f>
        <v>0</v>
      </c>
      <c r="GJ60" s="51">
        <f t="shared" si="1041"/>
        <v>1394786.25</v>
      </c>
      <c r="GK60" s="54"/>
      <c r="GL60" s="51">
        <f t="shared" si="1042"/>
        <v>13.9478625</v>
      </c>
      <c r="GM60" s="51">
        <f t="shared" si="1043"/>
        <v>0</v>
      </c>
      <c r="GN60" s="51">
        <f t="shared" si="1044"/>
        <v>1394786.25</v>
      </c>
      <c r="GP60" s="51">
        <f t="shared" si="929"/>
        <v>13.9478625</v>
      </c>
      <c r="GQ60" s="51">
        <f t="shared" si="930"/>
        <v>0</v>
      </c>
      <c r="GR60" s="51">
        <f t="shared" si="1045"/>
        <v>1394786.25</v>
      </c>
      <c r="GS60" s="54"/>
      <c r="GT60" s="51">
        <f t="shared" si="1046"/>
        <v>13.9478625</v>
      </c>
      <c r="GU60" s="51">
        <f t="shared" si="1047"/>
        <v>0</v>
      </c>
      <c r="GV60" s="51">
        <f t="shared" si="1048"/>
        <v>1394786.25</v>
      </c>
      <c r="GW60" s="54"/>
      <c r="GX60" s="51">
        <f t="shared" si="1049"/>
        <v>13.9478625</v>
      </c>
      <c r="GY60" s="51">
        <f t="shared" si="1050"/>
        <v>0</v>
      </c>
      <c r="GZ60" s="51">
        <f t="shared" si="1051"/>
        <v>1394786.25</v>
      </c>
      <c r="HA60" s="54"/>
      <c r="HB60" s="51">
        <f t="shared" si="1052"/>
        <v>13.9478625</v>
      </c>
      <c r="HC60" s="51">
        <f t="shared" si="1053"/>
        <v>0</v>
      </c>
      <c r="HD60" s="51">
        <f t="shared" si="1054"/>
        <v>1394786.25</v>
      </c>
      <c r="HE60" s="54"/>
      <c r="HF60" s="51">
        <f t="shared" si="1055"/>
        <v>20.92179375</v>
      </c>
      <c r="HG60" s="51">
        <f t="shared" si="1056"/>
        <v>0</v>
      </c>
      <c r="HH60" s="51">
        <f t="shared" si="1057"/>
        <v>1394786.25</v>
      </c>
      <c r="HI60" s="54"/>
      <c r="HJ60" s="51">
        <f t="shared" si="1058"/>
        <v>20.92179375</v>
      </c>
      <c r="HK60" s="51">
        <f t="shared" si="1059"/>
        <v>0</v>
      </c>
      <c r="HL60" s="51">
        <f t="shared" si="1060"/>
        <v>1394786.25</v>
      </c>
      <c r="HM60" s="54"/>
      <c r="HN60" s="51">
        <f t="shared" si="1061"/>
        <v>20.92179375</v>
      </c>
      <c r="HO60" s="51">
        <f t="shared" si="1062"/>
        <v>0</v>
      </c>
      <c r="HP60" s="51">
        <f t="shared" si="1063"/>
        <v>1394786.25</v>
      </c>
      <c r="HQ60" s="54"/>
      <c r="HR60" s="51">
        <f t="shared" si="1064"/>
        <v>20.92179375</v>
      </c>
      <c r="HS60" s="51">
        <f t="shared" si="1065"/>
        <v>0</v>
      </c>
      <c r="HT60" s="51">
        <f t="shared" si="1066"/>
        <v>2092179.375</v>
      </c>
      <c r="HU60" s="54"/>
      <c r="HV60" s="51">
        <f t="shared" si="1067"/>
        <v>20.92179375</v>
      </c>
      <c r="HW60" s="51">
        <f t="shared" si="1068"/>
        <v>0</v>
      </c>
      <c r="HX60" s="51">
        <f t="shared" si="1069"/>
        <v>2092179.375</v>
      </c>
      <c r="HY60" s="54"/>
      <c r="HZ60" s="51">
        <f t="shared" si="1070"/>
        <v>20.92179375</v>
      </c>
      <c r="IA60" s="51">
        <f t="shared" si="1071"/>
        <v>0</v>
      </c>
      <c r="IB60" s="51">
        <f t="shared" si="1072"/>
        <v>2092179.375</v>
      </c>
      <c r="IC60" s="54"/>
      <c r="ID60" s="51">
        <f t="shared" si="1073"/>
        <v>20.92179375</v>
      </c>
      <c r="IE60" s="51">
        <f t="shared" si="1074"/>
        <v>0</v>
      </c>
      <c r="IF60" s="51">
        <f t="shared" si="1075"/>
        <v>2092179.375</v>
      </c>
      <c r="IG60" s="54"/>
      <c r="IH60" s="51">
        <f t="shared" si="1076"/>
        <v>20.92179375</v>
      </c>
      <c r="II60" s="51">
        <f t="shared" si="1077"/>
        <v>0</v>
      </c>
      <c r="IJ60" s="51">
        <f t="shared" si="1078"/>
        <v>2092179.375</v>
      </c>
      <c r="IL60" s="51">
        <f t="shared" si="931"/>
        <v>20.92179375</v>
      </c>
      <c r="IM60" s="51">
        <f t="shared" si="932"/>
        <v>0</v>
      </c>
      <c r="IN60" s="51">
        <f t="shared" si="1079"/>
        <v>2092179.375</v>
      </c>
      <c r="IO60" s="54"/>
      <c r="IP60" s="51">
        <f t="shared" si="1080"/>
        <v>20.92179375</v>
      </c>
      <c r="IQ60" s="51">
        <f t="shared" si="1081"/>
        <v>0</v>
      </c>
      <c r="IR60" s="51">
        <f t="shared" si="1082"/>
        <v>2092179.375</v>
      </c>
      <c r="IS60" s="54"/>
      <c r="IT60" s="51">
        <f t="shared" si="1083"/>
        <v>20.92179375</v>
      </c>
      <c r="IU60" s="51">
        <f t="shared" si="1084"/>
        <v>0</v>
      </c>
      <c r="IV60" s="51">
        <f t="shared" si="1085"/>
        <v>2092179.375</v>
      </c>
      <c r="IW60" s="54"/>
      <c r="IX60" s="51">
        <f t="shared" si="1086"/>
        <v>20.92179375</v>
      </c>
      <c r="IY60" s="51">
        <f t="shared" si="1087"/>
        <v>0</v>
      </c>
      <c r="IZ60" s="51">
        <f t="shared" si="1088"/>
        <v>2092179.375</v>
      </c>
      <c r="JA60" s="54"/>
      <c r="JB60" s="51" t="e">
        <f t="shared" si="1089"/>
        <v>#REF!</v>
      </c>
      <c r="JC60" s="51">
        <f t="shared" si="1090"/>
        <v>0</v>
      </c>
      <c r="JD60" s="51">
        <f t="shared" si="1091"/>
        <v>2092179.375</v>
      </c>
      <c r="JE60" s="54"/>
      <c r="JF60" s="51" t="e">
        <f t="shared" si="1092"/>
        <v>#REF!</v>
      </c>
      <c r="JG60" s="51">
        <f t="shared" si="1093"/>
        <v>0</v>
      </c>
      <c r="JH60" s="51">
        <f t="shared" si="1094"/>
        <v>2092179.375</v>
      </c>
      <c r="JI60" s="54"/>
      <c r="JJ60" s="51" t="e">
        <f t="shared" si="1095"/>
        <v>#REF!</v>
      </c>
      <c r="JK60" s="51">
        <f t="shared" si="1096"/>
        <v>0</v>
      </c>
      <c r="JL60" s="51">
        <f t="shared" si="1097"/>
        <v>2092179.375</v>
      </c>
      <c r="JM60" s="54"/>
      <c r="JO60" s="80"/>
      <c r="JP60" s="80"/>
      <c r="JQ60" s="80">
        <f t="shared" si="933"/>
        <v>622600</v>
      </c>
      <c r="JS60" s="80"/>
      <c r="JT60" s="80"/>
      <c r="JU60" s="80">
        <f t="shared" si="934"/>
        <v>663000</v>
      </c>
      <c r="JW60" s="80"/>
      <c r="JX60" s="80"/>
      <c r="JY60" s="80">
        <f t="shared" si="935"/>
        <v>1790100</v>
      </c>
      <c r="KA60" s="80"/>
      <c r="KB60" s="80"/>
      <c r="KC60" s="80">
        <f t="shared" si="936"/>
        <v>9845550</v>
      </c>
      <c r="KE60" s="80"/>
      <c r="KF60" s="80"/>
      <c r="KG60" s="80">
        <f t="shared" si="937"/>
        <v>16737435</v>
      </c>
      <c r="KI60" s="80"/>
      <c r="KJ60" s="80"/>
      <c r="KK60" s="80">
        <f t="shared" si="938"/>
        <v>25106152.5</v>
      </c>
      <c r="KM60" s="80"/>
      <c r="KN60" s="80"/>
      <c r="KO60" s="80">
        <f t="shared" si="939"/>
        <v>25106152.5</v>
      </c>
    </row>
    <row r="61" ht="18.75" customHeight="1" spans="2:301" x14ac:dyDescent="0.25">
      <c r="B61" s="5" t="str">
        <f>A.IIOPEX!C61</f>
        <v>5d</v>
      </c>
      <c r="C61" s="27"/>
      <c r="D61" s="29" t="str">
        <f>A.IIOPEX!E61</f>
        <v>Digital Marketing</v>
      </c>
      <c r="E61" s="30"/>
      <c r="F61" s="51">
        <v>1</v>
      </c>
      <c r="G61" s="51"/>
      <c r="H61" s="51">
        <f>A.IIOPEX!I61</f>
        <v>250000</v>
      </c>
      <c r="I61" s="54"/>
      <c r="J61" s="51">
        <f t="shared" si="919"/>
        <v>0.65</v>
      </c>
      <c r="K61" s="51"/>
      <c r="L61" s="51">
        <f t="shared" si="940"/>
        <v>162500</v>
      </c>
      <c r="M61" s="54"/>
      <c r="N61" s="51">
        <f t="shared" si="920"/>
        <v>0.65</v>
      </c>
      <c r="O61" s="51"/>
      <c r="P61" s="51">
        <f t="shared" si="941"/>
        <v>162500</v>
      </c>
      <c r="Q61" s="54"/>
      <c r="R61" s="51">
        <f t="shared" si="921"/>
        <v>0.65</v>
      </c>
      <c r="S61" s="51"/>
      <c r="T61" s="51">
        <f t="shared" si="942"/>
        <v>162500</v>
      </c>
      <c r="U61" s="54"/>
      <c r="V61" s="51">
        <f t="shared" si="922"/>
        <v>0.65</v>
      </c>
      <c r="W61" s="51"/>
      <c r="X61" s="51">
        <f t="shared" si="943"/>
        <v>162500</v>
      </c>
      <c r="Y61" s="54"/>
      <c r="Z61" s="51">
        <f t="shared" si="923"/>
        <v>0.65</v>
      </c>
      <c r="AA61" s="51"/>
      <c r="AB61" s="51">
        <f t="shared" si="944"/>
        <v>162500</v>
      </c>
      <c r="AC61" s="54"/>
      <c r="AD61" s="51">
        <f>Z61*$AD$56</f>
        <v>0.65</v>
      </c>
      <c r="AE61" s="51"/>
      <c r="AF61" s="51">
        <f t="shared" si="945"/>
        <v>162500</v>
      </c>
      <c r="AG61" s="54"/>
      <c r="AH61" s="51">
        <f>AD61*$AH$56</f>
        <v>0.663</v>
      </c>
      <c r="AI61" s="51"/>
      <c r="AJ61" s="51">
        <f t="shared" si="946"/>
        <v>165750</v>
      </c>
      <c r="AK61" s="54"/>
      <c r="AL61" s="51">
        <f>AH61*$AL$56</f>
        <v>0.663</v>
      </c>
      <c r="AM61" s="51"/>
      <c r="AN61" s="51">
        <f t="shared" si="947"/>
        <v>165750</v>
      </c>
      <c r="AO61" s="54"/>
      <c r="AP61" s="51">
        <f t="shared" si="948"/>
        <v>0.663</v>
      </c>
      <c r="AQ61" s="51"/>
      <c r="AR61" s="51">
        <f t="shared" si="949"/>
        <v>165750</v>
      </c>
      <c r="AS61" s="54"/>
      <c r="AT61" s="51">
        <f t="shared" si="950"/>
        <v>0.663</v>
      </c>
      <c r="AU61" s="51"/>
      <c r="AV61" s="51">
        <f t="shared" si="951"/>
        <v>165750</v>
      </c>
      <c r="AW61" s="54"/>
      <c r="AX61" s="51">
        <f t="shared" si="952"/>
        <v>0.663</v>
      </c>
      <c r="AY61" s="51"/>
      <c r="AZ61" s="51">
        <f t="shared" si="953"/>
        <v>165750</v>
      </c>
      <c r="BA61" s="54"/>
      <c r="BB61" s="51">
        <f t="shared" si="924"/>
        <v>0.663</v>
      </c>
      <c r="BC61" s="51"/>
      <c r="BD61" s="51">
        <f t="shared" si="954"/>
        <v>165750</v>
      </c>
      <c r="BE61" s="54"/>
      <c r="BF61" s="51">
        <f t="shared" si="1098"/>
        <v>0.663</v>
      </c>
      <c r="BG61" s="51"/>
      <c r="BH61" s="51">
        <f t="shared" si="955"/>
        <v>165750</v>
      </c>
      <c r="BI61" s="54"/>
      <c r="BJ61" s="51">
        <f t="shared" si="956"/>
        <v>0.663</v>
      </c>
      <c r="BK61" s="51">
        <f t="shared" si="957"/>
        <v>0</v>
      </c>
      <c r="BL61" s="51">
        <f t="shared" si="958"/>
        <v>165750</v>
      </c>
      <c r="BM61" s="54"/>
      <c r="BN61" s="51">
        <f t="shared" si="959"/>
        <v>0.663</v>
      </c>
      <c r="BO61" s="51">
        <f t="shared" si="960"/>
        <v>0</v>
      </c>
      <c r="BP61" s="51">
        <f t="shared" si="961"/>
        <v>165750</v>
      </c>
      <c r="BQ61" s="54"/>
      <c r="BR61" s="51">
        <f t="shared" si="962"/>
        <v>0.663</v>
      </c>
      <c r="BS61" s="51">
        <f t="shared" si="963"/>
        <v>0</v>
      </c>
      <c r="BT61" s="51">
        <f t="shared" si="964"/>
        <v>165750</v>
      </c>
      <c r="BU61" s="54"/>
      <c r="BV61" s="51">
        <f t="shared" si="965"/>
        <v>0.663</v>
      </c>
      <c r="BW61" s="51">
        <f t="shared" si="966"/>
        <v>0</v>
      </c>
      <c r="BX61" s="51">
        <f t="shared" si="967"/>
        <v>165750</v>
      </c>
      <c r="BY61" s="54"/>
      <c r="BZ61" s="51">
        <f t="shared" si="968"/>
        <v>0.663</v>
      </c>
      <c r="CA61" s="51">
        <f t="shared" si="969"/>
        <v>0</v>
      </c>
      <c r="CB61" s="51">
        <f t="shared" si="970"/>
        <v>165750</v>
      </c>
      <c r="CC61" s="54"/>
      <c r="CD61" s="51">
        <f t="shared" si="971"/>
        <v>1.4917500000000001</v>
      </c>
      <c r="CE61" s="51">
        <f t="shared" si="972"/>
        <v>0</v>
      </c>
      <c r="CF61" s="51">
        <f t="shared" si="973"/>
        <v>372937.5</v>
      </c>
      <c r="CG61" s="54"/>
      <c r="CH61" s="51">
        <f t="shared" si="974"/>
        <v>1.4917500000000001</v>
      </c>
      <c r="CI61" s="51">
        <f t="shared" si="975"/>
        <v>0</v>
      </c>
      <c r="CJ61" s="51">
        <f t="shared" si="976"/>
        <v>372937.5</v>
      </c>
      <c r="CK61" s="54"/>
      <c r="CL61" s="51">
        <f t="shared" si="977"/>
        <v>1.4917500000000001</v>
      </c>
      <c r="CM61" s="51">
        <f t="shared" si="978"/>
        <v>0</v>
      </c>
      <c r="CN61" s="51">
        <f t="shared" si="979"/>
        <v>372937.5</v>
      </c>
      <c r="CO61" s="54"/>
      <c r="CP61" s="51">
        <f t="shared" si="980"/>
        <v>1.4917500000000001</v>
      </c>
      <c r="CQ61" s="51">
        <f t="shared" si="981"/>
        <v>0</v>
      </c>
      <c r="CR61" s="51">
        <f t="shared" si="982"/>
        <v>372937.5</v>
      </c>
      <c r="CS61" s="54"/>
      <c r="CT61" s="51">
        <f t="shared" si="983"/>
        <v>1.4917500000000001</v>
      </c>
      <c r="CU61" s="51">
        <f t="shared" si="984"/>
        <v>0</v>
      </c>
      <c r="CV61" s="51">
        <f t="shared" si="985"/>
        <v>372937.5</v>
      </c>
      <c r="CW61" s="54"/>
      <c r="CX61" s="51">
        <f t="shared" si="925"/>
        <v>1.4917500000000001</v>
      </c>
      <c r="CY61" s="51">
        <f t="shared" si="926"/>
        <v>0</v>
      </c>
      <c r="CZ61" s="51">
        <f t="shared" si="986"/>
        <v>372937.5</v>
      </c>
      <c r="DA61" s="54"/>
      <c r="DB61" s="51">
        <f t="shared" si="1099"/>
        <v>1.4917500000000001</v>
      </c>
      <c r="DC61" s="51">
        <f>CY61*$DC$56</f>
        <v>0</v>
      </c>
      <c r="DD61" s="51">
        <f t="shared" si="988"/>
        <v>372937.5</v>
      </c>
      <c r="DE61" s="54"/>
      <c r="DF61" s="51">
        <f t="shared" si="989"/>
        <v>1.4917500000000001</v>
      </c>
      <c r="DG61" s="51">
        <f t="shared" si="990"/>
        <v>0</v>
      </c>
      <c r="DH61" s="51">
        <f t="shared" si="991"/>
        <v>372937.5</v>
      </c>
      <c r="DI61" s="54"/>
      <c r="DJ61" s="51">
        <f t="shared" si="992"/>
        <v>1.4917500000000001</v>
      </c>
      <c r="DK61" s="51">
        <f t="shared" si="993"/>
        <v>0</v>
      </c>
      <c r="DL61" s="51">
        <f t="shared" si="994"/>
        <v>372937.5</v>
      </c>
      <c r="DM61" s="54"/>
      <c r="DN61" s="51">
        <f t="shared" si="995"/>
        <v>1.4917500000000001</v>
      </c>
      <c r="DO61" s="51">
        <f t="shared" si="996"/>
        <v>0</v>
      </c>
      <c r="DP61" s="51">
        <f t="shared" si="997"/>
        <v>372937.5</v>
      </c>
      <c r="DQ61" s="54"/>
      <c r="DR61" s="51">
        <f t="shared" si="998"/>
        <v>1.4917500000000001</v>
      </c>
      <c r="DS61" s="51">
        <f t="shared" si="999"/>
        <v>0</v>
      </c>
      <c r="DT61" s="51">
        <f t="shared" si="1000"/>
        <v>372937.5</v>
      </c>
      <c r="DU61" s="54"/>
      <c r="DV61" s="51">
        <f t="shared" si="1001"/>
        <v>1.4917500000000001</v>
      </c>
      <c r="DW61" s="51">
        <f>DS61*$DW$56</f>
        <v>0</v>
      </c>
      <c r="DX61" s="51">
        <f t="shared" si="1002"/>
        <v>372937.5</v>
      </c>
      <c r="DY61" s="54"/>
      <c r="DZ61" s="51">
        <f t="shared" si="1100"/>
        <v>8.204625</v>
      </c>
      <c r="EA61" s="51">
        <f t="shared" si="1101"/>
        <v>0</v>
      </c>
      <c r="EB61" s="51">
        <f t="shared" si="1003"/>
        <v>2051156.25</v>
      </c>
      <c r="EC61" s="54"/>
      <c r="ED61" s="51">
        <f t="shared" si="1004"/>
        <v>8.204625</v>
      </c>
      <c r="EE61" s="51">
        <f t="shared" si="1005"/>
        <v>0</v>
      </c>
      <c r="EF61" s="51">
        <f t="shared" si="1006"/>
        <v>2051156.25</v>
      </c>
      <c r="EG61" s="54"/>
      <c r="EH61" s="51">
        <f t="shared" si="1007"/>
        <v>8.204625</v>
      </c>
      <c r="EI61" s="51">
        <f t="shared" si="1008"/>
        <v>0</v>
      </c>
      <c r="EJ61" s="51">
        <f t="shared" si="1009"/>
        <v>2051156.25</v>
      </c>
      <c r="EK61" s="54"/>
      <c r="EL61" s="51">
        <f t="shared" si="1010"/>
        <v>8.204625</v>
      </c>
      <c r="EM61" s="51">
        <f t="shared" si="1011"/>
        <v>0</v>
      </c>
      <c r="EN61" s="51">
        <f t="shared" si="1012"/>
        <v>2051156.25</v>
      </c>
      <c r="EO61" s="54"/>
      <c r="EP61" s="51">
        <f t="shared" si="1013"/>
        <v>8.204625</v>
      </c>
      <c r="EQ61" s="51">
        <f t="shared" si="1014"/>
        <v>0</v>
      </c>
      <c r="ER61" s="51">
        <f t="shared" si="1015"/>
        <v>2051156.25</v>
      </c>
      <c r="ES61" s="54"/>
      <c r="ET61" s="51">
        <f t="shared" si="927"/>
        <v>8.204625</v>
      </c>
      <c r="EU61" s="51">
        <f t="shared" si="928"/>
        <v>0</v>
      </c>
      <c r="EV61" s="51">
        <f t="shared" si="1016"/>
        <v>2051156.25</v>
      </c>
      <c r="EW61" s="54"/>
      <c r="EX61" s="51">
        <f t="shared" si="1017"/>
        <v>8.204625</v>
      </c>
      <c r="EY61" s="51">
        <f t="shared" si="1018"/>
        <v>0</v>
      </c>
      <c r="EZ61" s="51">
        <f t="shared" si="1019"/>
        <v>2051156.25</v>
      </c>
      <c r="FA61" s="54"/>
      <c r="FB61" s="51">
        <f t="shared" si="1020"/>
        <v>8.204625</v>
      </c>
      <c r="FC61" s="51">
        <f t="shared" si="1021"/>
        <v>0</v>
      </c>
      <c r="FD61" s="51">
        <f t="shared" si="1022"/>
        <v>2051156.25</v>
      </c>
      <c r="FE61" s="54"/>
      <c r="FF61" s="51">
        <f t="shared" si="1023"/>
        <v>8.204625</v>
      </c>
      <c r="FG61" s="51">
        <f t="shared" si="1024"/>
        <v>0</v>
      </c>
      <c r="FH61" s="51">
        <f t="shared" si="1025"/>
        <v>2051156.25</v>
      </c>
      <c r="FI61" s="54"/>
      <c r="FJ61" s="51">
        <f>FF61*$FJ$56</f>
        <v>13.9478625</v>
      </c>
      <c r="FK61" s="51">
        <f>FG61*$FK$56</f>
        <v>0</v>
      </c>
      <c r="FL61" s="51">
        <f t="shared" si="1027"/>
        <v>2051156.25</v>
      </c>
      <c r="FM61" s="54"/>
      <c r="FN61" s="51">
        <f t="shared" si="1028"/>
        <v>13.9478625</v>
      </c>
      <c r="FO61" s="51">
        <f>FK61*$FO$56</f>
        <v>0</v>
      </c>
      <c r="FP61" s="51">
        <f t="shared" si="1030"/>
        <v>2051156.25</v>
      </c>
      <c r="FQ61" s="54"/>
      <c r="FR61" s="51">
        <f t="shared" si="1031"/>
        <v>13.9478625</v>
      </c>
      <c r="FS61" s="51">
        <f t="shared" si="1032"/>
        <v>0</v>
      </c>
      <c r="FT61" s="51">
        <f t="shared" si="1033"/>
        <v>2051156.25</v>
      </c>
      <c r="FU61" s="54"/>
      <c r="FV61" s="51">
        <f>FR61*$FV$56</f>
        <v>13.9478625</v>
      </c>
      <c r="FW61" s="51">
        <f>FS61*$FW$56</f>
        <v>0</v>
      </c>
      <c r="FX61" s="51">
        <f t="shared" si="1035"/>
        <v>3486965.625</v>
      </c>
      <c r="FY61" s="54"/>
      <c r="FZ61" s="51">
        <f t="shared" si="1036"/>
        <v>13.9478625</v>
      </c>
      <c r="GA61" s="51">
        <f>FW61*$GA$56</f>
        <v>0</v>
      </c>
      <c r="GB61" s="51">
        <f t="shared" si="1037"/>
        <v>3486965.625</v>
      </c>
      <c r="GC61" s="54"/>
      <c r="GD61" s="51">
        <f t="shared" si="1038"/>
        <v>13.9478625</v>
      </c>
      <c r="GE61" s="51">
        <f t="shared" si="1039"/>
        <v>0</v>
      </c>
      <c r="GF61" s="51">
        <f t="shared" si="1040"/>
        <v>3486965.625</v>
      </c>
      <c r="GG61" s="54"/>
      <c r="GH61" s="51">
        <f>GD61*$GH$56</f>
        <v>13.9478625</v>
      </c>
      <c r="GI61" s="51">
        <f>GE61*$GI$56</f>
        <v>0</v>
      </c>
      <c r="GJ61" s="51">
        <f t="shared" si="1041"/>
        <v>3486965.625</v>
      </c>
      <c r="GK61" s="54"/>
      <c r="GL61" s="51">
        <f t="shared" si="1042"/>
        <v>13.9478625</v>
      </c>
      <c r="GM61" s="51">
        <f t="shared" si="1043"/>
        <v>0</v>
      </c>
      <c r="GN61" s="51">
        <f t="shared" si="1044"/>
        <v>3486965.625</v>
      </c>
      <c r="GP61" s="51">
        <f t="shared" si="929"/>
        <v>13.9478625</v>
      </c>
      <c r="GQ61" s="51">
        <f t="shared" si="930"/>
        <v>0</v>
      </c>
      <c r="GR61" s="51">
        <f t="shared" si="1045"/>
        <v>3486965.625</v>
      </c>
      <c r="GS61" s="54"/>
      <c r="GT61" s="51">
        <f t="shared" si="1046"/>
        <v>13.9478625</v>
      </c>
      <c r="GU61" s="51">
        <f t="shared" si="1047"/>
        <v>0</v>
      </c>
      <c r="GV61" s="51">
        <f t="shared" si="1048"/>
        <v>3486965.625</v>
      </c>
      <c r="GW61" s="54"/>
      <c r="GX61" s="51">
        <f t="shared" si="1049"/>
        <v>13.9478625</v>
      </c>
      <c r="GY61" s="51">
        <f t="shared" si="1050"/>
        <v>0</v>
      </c>
      <c r="GZ61" s="51">
        <f t="shared" si="1051"/>
        <v>3486965.625</v>
      </c>
      <c r="HA61" s="54"/>
      <c r="HB61" s="51">
        <f t="shared" si="1052"/>
        <v>13.9478625</v>
      </c>
      <c r="HC61" s="51">
        <f t="shared" si="1053"/>
        <v>0</v>
      </c>
      <c r="HD61" s="51">
        <f t="shared" si="1054"/>
        <v>3486965.625</v>
      </c>
      <c r="HE61" s="54"/>
      <c r="HF61" s="51">
        <f t="shared" si="1055"/>
        <v>20.92179375</v>
      </c>
      <c r="HG61" s="51">
        <f t="shared" si="1056"/>
        <v>0</v>
      </c>
      <c r="HH61" s="51">
        <f t="shared" si="1057"/>
        <v>3486965.625</v>
      </c>
      <c r="HI61" s="54"/>
      <c r="HJ61" s="51">
        <f t="shared" si="1058"/>
        <v>20.92179375</v>
      </c>
      <c r="HK61" s="51">
        <f t="shared" si="1059"/>
        <v>0</v>
      </c>
      <c r="HL61" s="51">
        <f t="shared" si="1060"/>
        <v>3486965.625</v>
      </c>
      <c r="HM61" s="54"/>
      <c r="HN61" s="51">
        <f t="shared" si="1061"/>
        <v>20.92179375</v>
      </c>
      <c r="HO61" s="51">
        <f t="shared" si="1062"/>
        <v>0</v>
      </c>
      <c r="HP61" s="51">
        <f t="shared" si="1063"/>
        <v>3486965.625</v>
      </c>
      <c r="HQ61" s="54"/>
      <c r="HR61" s="51">
        <f t="shared" si="1064"/>
        <v>20.92179375</v>
      </c>
      <c r="HS61" s="51">
        <f t="shared" si="1065"/>
        <v>0</v>
      </c>
      <c r="HT61" s="51">
        <f t="shared" si="1066"/>
        <v>5230448.4375</v>
      </c>
      <c r="HU61" s="54"/>
      <c r="HV61" s="51">
        <f t="shared" si="1067"/>
        <v>20.92179375</v>
      </c>
      <c r="HW61" s="51">
        <f t="shared" si="1068"/>
        <v>0</v>
      </c>
      <c r="HX61" s="51">
        <f t="shared" si="1069"/>
        <v>5230448.4375</v>
      </c>
      <c r="HY61" s="54"/>
      <c r="HZ61" s="51">
        <f t="shared" si="1070"/>
        <v>20.92179375</v>
      </c>
      <c r="IA61" s="51">
        <f t="shared" si="1071"/>
        <v>0</v>
      </c>
      <c r="IB61" s="51">
        <f t="shared" si="1072"/>
        <v>5230448.4375</v>
      </c>
      <c r="IC61" s="54"/>
      <c r="ID61" s="51">
        <f t="shared" si="1073"/>
        <v>20.92179375</v>
      </c>
      <c r="IE61" s="51">
        <f t="shared" si="1074"/>
        <v>0</v>
      </c>
      <c r="IF61" s="51">
        <f t="shared" si="1075"/>
        <v>5230448.4375</v>
      </c>
      <c r="IG61" s="54"/>
      <c r="IH61" s="51">
        <f t="shared" si="1076"/>
        <v>20.92179375</v>
      </c>
      <c r="II61" s="51">
        <f t="shared" si="1077"/>
        <v>0</v>
      </c>
      <c r="IJ61" s="51">
        <f t="shared" si="1078"/>
        <v>5230448.4375</v>
      </c>
      <c r="IL61" s="51">
        <f t="shared" si="931"/>
        <v>20.92179375</v>
      </c>
      <c r="IM61" s="51">
        <f t="shared" si="932"/>
        <v>0</v>
      </c>
      <c r="IN61" s="51">
        <f t="shared" si="1079"/>
        <v>5230448.4375</v>
      </c>
      <c r="IO61" s="54"/>
      <c r="IP61" s="51">
        <f t="shared" si="1080"/>
        <v>20.92179375</v>
      </c>
      <c r="IQ61" s="51">
        <f t="shared" si="1081"/>
        <v>0</v>
      </c>
      <c r="IR61" s="51">
        <f t="shared" si="1082"/>
        <v>5230448.4375</v>
      </c>
      <c r="IS61" s="54"/>
      <c r="IT61" s="51">
        <f t="shared" si="1083"/>
        <v>20.92179375</v>
      </c>
      <c r="IU61" s="51">
        <f t="shared" si="1084"/>
        <v>0</v>
      </c>
      <c r="IV61" s="51">
        <f t="shared" si="1085"/>
        <v>5230448.4375</v>
      </c>
      <c r="IW61" s="54"/>
      <c r="IX61" s="51">
        <f t="shared" si="1086"/>
        <v>20.92179375</v>
      </c>
      <c r="IY61" s="51">
        <f t="shared" si="1087"/>
        <v>0</v>
      </c>
      <c r="IZ61" s="51">
        <f t="shared" si="1088"/>
        <v>5230448.4375</v>
      </c>
      <c r="JA61" s="54"/>
      <c r="JB61" s="51" t="e">
        <f t="shared" si="1089"/>
        <v>#REF!</v>
      </c>
      <c r="JC61" s="51">
        <f t="shared" si="1090"/>
        <v>0</v>
      </c>
      <c r="JD61" s="51">
        <f t="shared" si="1091"/>
        <v>5230448.4375</v>
      </c>
      <c r="JE61" s="54"/>
      <c r="JF61" s="51" t="e">
        <f t="shared" si="1092"/>
        <v>#REF!</v>
      </c>
      <c r="JG61" s="51">
        <f t="shared" si="1093"/>
        <v>0</v>
      </c>
      <c r="JH61" s="51">
        <f t="shared" si="1094"/>
        <v>5230448.4375</v>
      </c>
      <c r="JI61" s="54"/>
      <c r="JJ61" s="51" t="e">
        <f t="shared" si="1095"/>
        <v>#REF!</v>
      </c>
      <c r="JK61" s="51">
        <f t="shared" si="1096"/>
        <v>0</v>
      </c>
      <c r="JL61" s="51">
        <f t="shared" si="1097"/>
        <v>5230448.4375</v>
      </c>
      <c r="JM61" s="54"/>
      <c r="JO61" s="80"/>
      <c r="JP61" s="80"/>
      <c r="JQ61" s="80">
        <f t="shared" si="933"/>
        <v>1556500</v>
      </c>
      <c r="JS61" s="80"/>
      <c r="JT61" s="80"/>
      <c r="JU61" s="80">
        <f t="shared" si="934"/>
        <v>1657500</v>
      </c>
      <c r="JW61" s="80"/>
      <c r="JX61" s="80"/>
      <c r="JY61" s="80">
        <f t="shared" si="935"/>
        <v>4475250</v>
      </c>
      <c r="KA61" s="80"/>
      <c r="KB61" s="80"/>
      <c r="KC61" s="80">
        <f t="shared" si="936"/>
        <v>24613875</v>
      </c>
      <c r="KE61" s="80"/>
      <c r="KF61" s="80"/>
      <c r="KG61" s="80">
        <f t="shared" si="937"/>
        <v>41843587.5</v>
      </c>
      <c r="KI61" s="80"/>
      <c r="KJ61" s="80"/>
      <c r="KK61" s="80">
        <f t="shared" si="938"/>
        <v>62765381.25</v>
      </c>
      <c r="KM61" s="80"/>
      <c r="KN61" s="80"/>
      <c r="KO61" s="80">
        <f t="shared" si="939"/>
        <v>62765381.25</v>
      </c>
    </row>
    <row r="62" ht="18.75" customHeight="1" spans="2:301" x14ac:dyDescent="0.25">
      <c r="B62" s="5" t="str">
        <f>A.IIOPEX!C62</f>
        <v>5e</v>
      </c>
      <c r="C62" s="27"/>
      <c r="D62" s="29" t="str">
        <f>A.IIOPEX!E62</f>
        <v>Social Media Marketing</v>
      </c>
      <c r="E62" s="30"/>
      <c r="F62" s="51">
        <v>1</v>
      </c>
      <c r="G62" s="51"/>
      <c r="H62" s="51">
        <f>A.IIOPEX!I62</f>
        <v>0</v>
      </c>
      <c r="I62" s="54"/>
      <c r="J62" s="51">
        <f t="shared" si="919"/>
        <v>0.65</v>
      </c>
      <c r="K62" s="51"/>
      <c r="L62" s="51">
        <f t="shared" si="940"/>
        <v>0</v>
      </c>
      <c r="M62" s="54"/>
      <c r="N62" s="51">
        <f t="shared" si="920"/>
        <v>0.65</v>
      </c>
      <c r="O62" s="51"/>
      <c r="P62" s="51">
        <f t="shared" si="941"/>
        <v>0</v>
      </c>
      <c r="Q62" s="54"/>
      <c r="R62" s="51">
        <f t="shared" si="921"/>
        <v>0.65</v>
      </c>
      <c r="S62" s="51"/>
      <c r="T62" s="51">
        <f t="shared" si="942"/>
        <v>0</v>
      </c>
      <c r="U62" s="54"/>
      <c r="V62" s="51">
        <f t="shared" si="922"/>
        <v>0.65</v>
      </c>
      <c r="W62" s="51"/>
      <c r="X62" s="51">
        <f t="shared" si="943"/>
        <v>0</v>
      </c>
      <c r="Y62" s="54"/>
      <c r="Z62" s="51">
        <f t="shared" si="923"/>
        <v>0.65</v>
      </c>
      <c r="AA62" s="51"/>
      <c r="AB62" s="51">
        <f t="shared" si="944"/>
        <v>0</v>
      </c>
      <c r="AC62" s="54"/>
      <c r="AD62" s="51">
        <f t="shared" ref="AD62" si="1102">Z62*$AD$56</f>
        <v>0.65</v>
      </c>
      <c r="AE62" s="51"/>
      <c r="AF62" s="51">
        <f t="shared" si="945"/>
        <v>0</v>
      </c>
      <c r="AG62" s="54"/>
      <c r="AH62" s="51">
        <f t="shared" ref="AH62:AH64" si="1103">AD62*$AH$56</f>
        <v>0.663</v>
      </c>
      <c r="AI62" s="51"/>
      <c r="AJ62" s="51">
        <f t="shared" si="946"/>
        <v>0</v>
      </c>
      <c r="AK62" s="54"/>
      <c r="AL62" s="51">
        <f>AH62*$AL$56</f>
        <v>0.663</v>
      </c>
      <c r="AM62" s="51"/>
      <c r="AN62" s="51">
        <f t="shared" si="947"/>
        <v>0</v>
      </c>
      <c r="AO62" s="54"/>
      <c r="AP62" s="51">
        <f t="shared" si="948"/>
        <v>0.663</v>
      </c>
      <c r="AQ62" s="51"/>
      <c r="AR62" s="51">
        <f t="shared" si="949"/>
        <v>0</v>
      </c>
      <c r="AS62" s="54"/>
      <c r="AT62" s="51">
        <f t="shared" si="950"/>
        <v>0.663</v>
      </c>
      <c r="AU62" s="51"/>
      <c r="AV62" s="51">
        <f t="shared" si="951"/>
        <v>0</v>
      </c>
      <c r="AW62" s="54"/>
      <c r="AX62" s="51">
        <f t="shared" si="952"/>
        <v>0.663</v>
      </c>
      <c r="AY62" s="51"/>
      <c r="AZ62" s="51">
        <f t="shared" si="953"/>
        <v>0</v>
      </c>
      <c r="BA62" s="54"/>
      <c r="BB62" s="51">
        <f t="shared" si="924"/>
        <v>0.663</v>
      </c>
      <c r="BC62" s="51"/>
      <c r="BD62" s="51">
        <f t="shared" si="954"/>
        <v>0</v>
      </c>
      <c r="BE62" s="54"/>
      <c r="BF62" s="51">
        <f t="shared" si="1098"/>
        <v>0.663</v>
      </c>
      <c r="BG62" s="51"/>
      <c r="BH62" s="51">
        <f t="shared" si="955"/>
        <v>0</v>
      </c>
      <c r="BI62" s="54"/>
      <c r="BJ62" s="51">
        <f t="shared" si="956"/>
        <v>0.663</v>
      </c>
      <c r="BK62" s="51">
        <f t="shared" si="957"/>
        <v>0</v>
      </c>
      <c r="BL62" s="51">
        <f t="shared" si="958"/>
        <v>0</v>
      </c>
      <c r="BM62" s="54"/>
      <c r="BN62" s="51">
        <f t="shared" si="959"/>
        <v>0.663</v>
      </c>
      <c r="BO62" s="51">
        <f t="shared" si="960"/>
        <v>0</v>
      </c>
      <c r="BP62" s="51">
        <f t="shared" si="961"/>
        <v>0</v>
      </c>
      <c r="BQ62" s="54"/>
      <c r="BR62" s="51">
        <f t="shared" si="962"/>
        <v>0.663</v>
      </c>
      <c r="BS62" s="51">
        <f t="shared" si="963"/>
        <v>0</v>
      </c>
      <c r="BT62" s="51">
        <f t="shared" si="964"/>
        <v>0</v>
      </c>
      <c r="BU62" s="54"/>
      <c r="BV62" s="51">
        <f t="shared" si="965"/>
        <v>0.663</v>
      </c>
      <c r="BW62" s="51">
        <f t="shared" si="966"/>
        <v>0</v>
      </c>
      <c r="BX62" s="51">
        <f t="shared" si="967"/>
        <v>0</v>
      </c>
      <c r="BY62" s="54"/>
      <c r="BZ62" s="51">
        <f t="shared" si="968"/>
        <v>0.663</v>
      </c>
      <c r="CA62" s="51">
        <f t="shared" si="969"/>
        <v>0</v>
      </c>
      <c r="CB62" s="51">
        <f t="shared" si="970"/>
        <v>0</v>
      </c>
      <c r="CC62" s="54"/>
      <c r="CD62" s="51">
        <f t="shared" si="971"/>
        <v>1.4917500000000001</v>
      </c>
      <c r="CE62" s="51">
        <f t="shared" si="972"/>
        <v>0</v>
      </c>
      <c r="CF62" s="51">
        <f t="shared" si="973"/>
        <v>0</v>
      </c>
      <c r="CG62" s="54"/>
      <c r="CH62" s="51">
        <f t="shared" si="974"/>
        <v>1.4917500000000001</v>
      </c>
      <c r="CI62" s="51">
        <f t="shared" si="975"/>
        <v>0</v>
      </c>
      <c r="CJ62" s="51">
        <f t="shared" si="976"/>
        <v>0</v>
      </c>
      <c r="CK62" s="54"/>
      <c r="CL62" s="51">
        <f t="shared" si="977"/>
        <v>1.4917500000000001</v>
      </c>
      <c r="CM62" s="51">
        <f t="shared" si="978"/>
        <v>0</v>
      </c>
      <c r="CN62" s="51">
        <f t="shared" si="979"/>
        <v>0</v>
      </c>
      <c r="CO62" s="54"/>
      <c r="CP62" s="51">
        <f t="shared" si="980"/>
        <v>1.4917500000000001</v>
      </c>
      <c r="CQ62" s="51">
        <f t="shared" si="981"/>
        <v>0</v>
      </c>
      <c r="CR62" s="51">
        <f t="shared" si="982"/>
        <v>0</v>
      </c>
      <c r="CS62" s="54"/>
      <c r="CT62" s="51">
        <f t="shared" si="983"/>
        <v>1.4917500000000001</v>
      </c>
      <c r="CU62" s="51">
        <f t="shared" si="984"/>
        <v>0</v>
      </c>
      <c r="CV62" s="51">
        <f t="shared" si="985"/>
        <v>0</v>
      </c>
      <c r="CW62" s="54"/>
      <c r="CX62" s="51">
        <f t="shared" si="925"/>
        <v>1.4917500000000001</v>
      </c>
      <c r="CY62" s="51">
        <f t="shared" si="926"/>
        <v>0</v>
      </c>
      <c r="CZ62" s="51">
        <f t="shared" si="986"/>
        <v>0</v>
      </c>
      <c r="DA62" s="54"/>
      <c r="DB62" s="51">
        <f t="shared" si="1099"/>
        <v>1.4917500000000001</v>
      </c>
      <c r="DC62" s="51">
        <f>CY62*$DC$56</f>
        <v>0</v>
      </c>
      <c r="DD62" s="51">
        <f t="shared" si="988"/>
        <v>0</v>
      </c>
      <c r="DE62" s="54"/>
      <c r="DF62" s="51">
        <f t="shared" si="989"/>
        <v>1.4917500000000001</v>
      </c>
      <c r="DG62" s="51">
        <f t="shared" si="990"/>
        <v>0</v>
      </c>
      <c r="DH62" s="51">
        <f t="shared" si="991"/>
        <v>0</v>
      </c>
      <c r="DI62" s="54"/>
      <c r="DJ62" s="51">
        <f t="shared" si="992"/>
        <v>1.4917500000000001</v>
      </c>
      <c r="DK62" s="51">
        <f t="shared" si="993"/>
        <v>0</v>
      </c>
      <c r="DL62" s="51">
        <f t="shared" si="994"/>
        <v>0</v>
      </c>
      <c r="DM62" s="54"/>
      <c r="DN62" s="51">
        <f t="shared" si="995"/>
        <v>1.4917500000000001</v>
      </c>
      <c r="DO62" s="51">
        <f t="shared" si="996"/>
        <v>0</v>
      </c>
      <c r="DP62" s="51">
        <f t="shared" si="997"/>
        <v>0</v>
      </c>
      <c r="DQ62" s="54"/>
      <c r="DR62" s="51">
        <f t="shared" si="998"/>
        <v>1.4917500000000001</v>
      </c>
      <c r="DS62" s="51">
        <f t="shared" si="999"/>
        <v>0</v>
      </c>
      <c r="DT62" s="51">
        <f t="shared" si="1000"/>
        <v>0</v>
      </c>
      <c r="DU62" s="54"/>
      <c r="DV62" s="51">
        <f t="shared" si="1001"/>
        <v>1.4917500000000001</v>
      </c>
      <c r="DW62" s="51">
        <f>DS62*$DW$56</f>
        <v>0</v>
      </c>
      <c r="DX62" s="51">
        <f t="shared" si="1002"/>
        <v>0</v>
      </c>
      <c r="DY62" s="54"/>
      <c r="DZ62" s="51">
        <f t="shared" si="1100"/>
        <v>8.204625</v>
      </c>
      <c r="EA62" s="51">
        <f t="shared" si="1101"/>
        <v>0</v>
      </c>
      <c r="EB62" s="51">
        <f t="shared" si="1003"/>
        <v>0</v>
      </c>
      <c r="EC62" s="54"/>
      <c r="ED62" s="51">
        <f t="shared" si="1004"/>
        <v>8.204625</v>
      </c>
      <c r="EE62" s="51">
        <f t="shared" si="1005"/>
        <v>0</v>
      </c>
      <c r="EF62" s="51">
        <f t="shared" si="1006"/>
        <v>0</v>
      </c>
      <c r="EG62" s="54"/>
      <c r="EH62" s="51">
        <f t="shared" si="1007"/>
        <v>8.204625</v>
      </c>
      <c r="EI62" s="51">
        <f t="shared" si="1008"/>
        <v>0</v>
      </c>
      <c r="EJ62" s="51">
        <f t="shared" si="1009"/>
        <v>0</v>
      </c>
      <c r="EK62" s="54"/>
      <c r="EL62" s="51">
        <f t="shared" si="1010"/>
        <v>8.204625</v>
      </c>
      <c r="EM62" s="51">
        <f t="shared" si="1011"/>
        <v>0</v>
      </c>
      <c r="EN62" s="51">
        <f t="shared" si="1012"/>
        <v>0</v>
      </c>
      <c r="EO62" s="54"/>
      <c r="EP62" s="51">
        <f t="shared" si="1013"/>
        <v>8.204625</v>
      </c>
      <c r="EQ62" s="51">
        <f t="shared" si="1014"/>
        <v>0</v>
      </c>
      <c r="ER62" s="51">
        <f t="shared" si="1015"/>
        <v>0</v>
      </c>
      <c r="ES62" s="54"/>
      <c r="ET62" s="51">
        <f t="shared" si="927"/>
        <v>8.204625</v>
      </c>
      <c r="EU62" s="51">
        <f t="shared" si="928"/>
        <v>0</v>
      </c>
      <c r="EV62" s="51">
        <f t="shared" si="1016"/>
        <v>0</v>
      </c>
      <c r="EW62" s="54"/>
      <c r="EX62" s="51">
        <f t="shared" si="1017"/>
        <v>8.204625</v>
      </c>
      <c r="EY62" s="51">
        <f t="shared" si="1018"/>
        <v>0</v>
      </c>
      <c r="EZ62" s="51">
        <f t="shared" si="1019"/>
        <v>0</v>
      </c>
      <c r="FA62" s="54"/>
      <c r="FB62" s="51">
        <f t="shared" si="1020"/>
        <v>8.204625</v>
      </c>
      <c r="FC62" s="51">
        <f t="shared" si="1021"/>
        <v>0</v>
      </c>
      <c r="FD62" s="51">
        <f t="shared" si="1022"/>
        <v>0</v>
      </c>
      <c r="FE62" s="54"/>
      <c r="FF62" s="51">
        <f t="shared" si="1023"/>
        <v>8.204625</v>
      </c>
      <c r="FG62" s="51">
        <f t="shared" si="1024"/>
        <v>0</v>
      </c>
      <c r="FH62" s="51">
        <f t="shared" si="1025"/>
        <v>0</v>
      </c>
      <c r="FI62" s="54"/>
      <c r="FJ62" s="51">
        <f>FF62*$FJ$56</f>
        <v>13.9478625</v>
      </c>
      <c r="FK62" s="51">
        <f>FG62*$FK$56</f>
        <v>0</v>
      </c>
      <c r="FL62" s="51">
        <f t="shared" si="1027"/>
        <v>0</v>
      </c>
      <c r="FM62" s="54"/>
      <c r="FN62" s="51">
        <f t="shared" si="1028"/>
        <v>13.9478625</v>
      </c>
      <c r="FO62" s="51">
        <f>FK62*$FO$56</f>
        <v>0</v>
      </c>
      <c r="FP62" s="51">
        <f t="shared" si="1030"/>
        <v>0</v>
      </c>
      <c r="FQ62" s="54"/>
      <c r="FR62" s="51">
        <f t="shared" si="1031"/>
        <v>13.9478625</v>
      </c>
      <c r="FS62" s="51">
        <f t="shared" si="1032"/>
        <v>0</v>
      </c>
      <c r="FT62" s="51">
        <f t="shared" si="1033"/>
        <v>0</v>
      </c>
      <c r="FU62" s="54"/>
      <c r="FV62" s="51">
        <f>FR62*$FV$56</f>
        <v>13.9478625</v>
      </c>
      <c r="FW62" s="51">
        <f>FS62*$FW$56</f>
        <v>0</v>
      </c>
      <c r="FX62" s="51">
        <f t="shared" si="1035"/>
        <v>0</v>
      </c>
      <c r="FY62" s="54"/>
      <c r="FZ62" s="51">
        <f t="shared" si="1036"/>
        <v>13.9478625</v>
      </c>
      <c r="GA62" s="51">
        <f>FW62*$GA$56</f>
        <v>0</v>
      </c>
      <c r="GB62" s="51">
        <f t="shared" si="1037"/>
        <v>0</v>
      </c>
      <c r="GC62" s="54"/>
      <c r="GD62" s="51">
        <f t="shared" si="1038"/>
        <v>13.9478625</v>
      </c>
      <c r="GE62" s="51">
        <f t="shared" si="1039"/>
        <v>0</v>
      </c>
      <c r="GF62" s="51">
        <f t="shared" si="1040"/>
        <v>0</v>
      </c>
      <c r="GG62" s="54"/>
      <c r="GH62" s="51">
        <f>GD62*$GH$56</f>
        <v>13.9478625</v>
      </c>
      <c r="GI62" s="51">
        <f>GE62*$GI$56</f>
        <v>0</v>
      </c>
      <c r="GJ62" s="51">
        <f t="shared" si="1041"/>
        <v>0</v>
      </c>
      <c r="GK62" s="54"/>
      <c r="GL62" s="51">
        <f t="shared" si="1042"/>
        <v>13.9478625</v>
      </c>
      <c r="GM62" s="51">
        <f t="shared" si="1043"/>
        <v>0</v>
      </c>
      <c r="GN62" s="51">
        <f t="shared" si="1044"/>
        <v>0</v>
      </c>
      <c r="GP62" s="51">
        <f t="shared" si="929"/>
        <v>13.9478625</v>
      </c>
      <c r="GQ62" s="51">
        <f t="shared" si="930"/>
        <v>0</v>
      </c>
      <c r="GR62" s="51">
        <f t="shared" si="1045"/>
        <v>0</v>
      </c>
      <c r="GS62" s="54"/>
      <c r="GT62" s="51">
        <f t="shared" si="1046"/>
        <v>13.9478625</v>
      </c>
      <c r="GU62" s="51">
        <f t="shared" si="1047"/>
        <v>0</v>
      </c>
      <c r="GV62" s="51">
        <f t="shared" si="1048"/>
        <v>0</v>
      </c>
      <c r="GW62" s="54"/>
      <c r="GX62" s="51">
        <f t="shared" si="1049"/>
        <v>13.9478625</v>
      </c>
      <c r="GY62" s="51">
        <f t="shared" si="1050"/>
        <v>0</v>
      </c>
      <c r="GZ62" s="51">
        <f t="shared" si="1051"/>
        <v>0</v>
      </c>
      <c r="HA62" s="54"/>
      <c r="HB62" s="51">
        <f t="shared" si="1052"/>
        <v>13.9478625</v>
      </c>
      <c r="HC62" s="51">
        <f t="shared" si="1053"/>
        <v>0</v>
      </c>
      <c r="HD62" s="51">
        <f t="shared" si="1054"/>
        <v>0</v>
      </c>
      <c r="HE62" s="54"/>
      <c r="HF62" s="51">
        <f t="shared" si="1055"/>
        <v>20.92179375</v>
      </c>
      <c r="HG62" s="51">
        <f t="shared" si="1056"/>
        <v>0</v>
      </c>
      <c r="HH62" s="51">
        <f t="shared" si="1057"/>
        <v>0</v>
      </c>
      <c r="HI62" s="54"/>
      <c r="HJ62" s="51">
        <f t="shared" si="1058"/>
        <v>20.92179375</v>
      </c>
      <c r="HK62" s="51">
        <f t="shared" si="1059"/>
        <v>0</v>
      </c>
      <c r="HL62" s="51">
        <f t="shared" si="1060"/>
        <v>0</v>
      </c>
      <c r="HM62" s="54"/>
      <c r="HN62" s="51">
        <f t="shared" si="1061"/>
        <v>20.92179375</v>
      </c>
      <c r="HO62" s="51">
        <f t="shared" si="1062"/>
        <v>0</v>
      </c>
      <c r="HP62" s="51">
        <f t="shared" si="1063"/>
        <v>0</v>
      </c>
      <c r="HQ62" s="54"/>
      <c r="HR62" s="51">
        <f t="shared" si="1064"/>
        <v>20.92179375</v>
      </c>
      <c r="HS62" s="51">
        <f t="shared" si="1065"/>
        <v>0</v>
      </c>
      <c r="HT62" s="51">
        <f t="shared" si="1066"/>
        <v>0</v>
      </c>
      <c r="HU62" s="54"/>
      <c r="HV62" s="51">
        <f t="shared" si="1067"/>
        <v>20.92179375</v>
      </c>
      <c r="HW62" s="51">
        <f t="shared" si="1068"/>
        <v>0</v>
      </c>
      <c r="HX62" s="51">
        <f t="shared" si="1069"/>
        <v>0</v>
      </c>
      <c r="HY62" s="54"/>
      <c r="HZ62" s="51">
        <f t="shared" si="1070"/>
        <v>20.92179375</v>
      </c>
      <c r="IA62" s="51">
        <f t="shared" si="1071"/>
        <v>0</v>
      </c>
      <c r="IB62" s="51">
        <f t="shared" si="1072"/>
        <v>0</v>
      </c>
      <c r="IC62" s="54"/>
      <c r="ID62" s="51">
        <f t="shared" si="1073"/>
        <v>20.92179375</v>
      </c>
      <c r="IE62" s="51">
        <f t="shared" si="1074"/>
        <v>0</v>
      </c>
      <c r="IF62" s="51">
        <f t="shared" si="1075"/>
        <v>0</v>
      </c>
      <c r="IG62" s="54"/>
      <c r="IH62" s="51">
        <f t="shared" si="1076"/>
        <v>20.92179375</v>
      </c>
      <c r="II62" s="51">
        <f t="shared" si="1077"/>
        <v>0</v>
      </c>
      <c r="IJ62" s="51">
        <f t="shared" si="1078"/>
        <v>0</v>
      </c>
      <c r="IL62" s="51">
        <f t="shared" si="931"/>
        <v>20.92179375</v>
      </c>
      <c r="IM62" s="51">
        <f t="shared" si="932"/>
        <v>0</v>
      </c>
      <c r="IN62" s="51">
        <f t="shared" si="1079"/>
        <v>0</v>
      </c>
      <c r="IO62" s="54"/>
      <c r="IP62" s="51">
        <f t="shared" si="1080"/>
        <v>20.92179375</v>
      </c>
      <c r="IQ62" s="51">
        <f t="shared" si="1081"/>
        <v>0</v>
      </c>
      <c r="IR62" s="51">
        <f t="shared" si="1082"/>
        <v>0</v>
      </c>
      <c r="IS62" s="54"/>
      <c r="IT62" s="51">
        <f t="shared" si="1083"/>
        <v>20.92179375</v>
      </c>
      <c r="IU62" s="51">
        <f t="shared" si="1084"/>
        <v>0</v>
      </c>
      <c r="IV62" s="51">
        <f t="shared" si="1085"/>
        <v>0</v>
      </c>
      <c r="IW62" s="54"/>
      <c r="IX62" s="51">
        <f t="shared" si="1086"/>
        <v>20.92179375</v>
      </c>
      <c r="IY62" s="51">
        <f t="shared" si="1087"/>
        <v>0</v>
      </c>
      <c r="IZ62" s="51">
        <f t="shared" si="1088"/>
        <v>0</v>
      </c>
      <c r="JA62" s="54"/>
      <c r="JB62" s="51" t="e">
        <f t="shared" si="1089"/>
        <v>#REF!</v>
      </c>
      <c r="JC62" s="51">
        <f t="shared" si="1090"/>
        <v>0</v>
      </c>
      <c r="JD62" s="51">
        <f t="shared" si="1091"/>
        <v>0</v>
      </c>
      <c r="JE62" s="54"/>
      <c r="JF62" s="51" t="e">
        <f t="shared" si="1092"/>
        <v>#REF!</v>
      </c>
      <c r="JG62" s="51">
        <f t="shared" si="1093"/>
        <v>0</v>
      </c>
      <c r="JH62" s="51">
        <f t="shared" si="1094"/>
        <v>0</v>
      </c>
      <c r="JI62" s="54"/>
      <c r="JJ62" s="51" t="e">
        <f t="shared" si="1095"/>
        <v>#REF!</v>
      </c>
      <c r="JK62" s="51">
        <f t="shared" si="1096"/>
        <v>0</v>
      </c>
      <c r="JL62" s="51">
        <f t="shared" si="1097"/>
        <v>0</v>
      </c>
      <c r="JM62" s="54"/>
      <c r="JO62" s="80"/>
      <c r="JP62" s="80"/>
      <c r="JQ62" s="80">
        <f t="shared" si="933"/>
        <v>0</v>
      </c>
      <c r="JS62" s="80"/>
      <c r="JT62" s="80"/>
      <c r="JU62" s="80">
        <f t="shared" si="934"/>
        <v>0</v>
      </c>
      <c r="JW62" s="80"/>
      <c r="JX62" s="80"/>
      <c r="JY62" s="80">
        <f t="shared" si="935"/>
        <v>0</v>
      </c>
      <c r="KA62" s="80"/>
      <c r="KB62" s="80"/>
      <c r="KC62" s="80">
        <f t="shared" si="936"/>
        <v>0</v>
      </c>
      <c r="KE62" s="80"/>
      <c r="KF62" s="80"/>
      <c r="KG62" s="80">
        <f t="shared" si="937"/>
        <v>0</v>
      </c>
      <c r="KI62" s="80"/>
      <c r="KJ62" s="80"/>
      <c r="KK62" s="80">
        <f t="shared" si="938"/>
        <v>0</v>
      </c>
      <c r="KM62" s="80"/>
      <c r="KN62" s="80"/>
      <c r="KO62" s="80">
        <f t="shared" si="939"/>
        <v>0</v>
      </c>
    </row>
    <row r="63" ht="18.75" customHeight="1" spans="2:301" x14ac:dyDescent="0.25">
      <c r="B63" s="5" t="str">
        <f>A.IIOPEX!C63</f>
        <v>5f</v>
      </c>
      <c r="C63" s="27"/>
      <c r="D63" s="29" t="str">
        <f>A.IIOPEX!E63</f>
        <v>Brand promotions</v>
      </c>
      <c r="E63" s="30"/>
      <c r="F63" s="51">
        <v>1</v>
      </c>
      <c r="G63" s="51"/>
      <c r="H63" s="51">
        <f>A.IIOPEX!I63</f>
        <v>0</v>
      </c>
      <c r="I63" s="54"/>
      <c r="J63" s="51">
        <f t="shared" si="919"/>
        <v>0.65</v>
      </c>
      <c r="K63" s="51"/>
      <c r="L63" s="51">
        <f t="shared" si="940"/>
        <v>0</v>
      </c>
      <c r="M63" s="54"/>
      <c r="N63" s="51">
        <f t="shared" si="920"/>
        <v>0.65</v>
      </c>
      <c r="O63" s="51"/>
      <c r="P63" s="51">
        <f t="shared" si="941"/>
        <v>0</v>
      </c>
      <c r="Q63" s="54"/>
      <c r="R63" s="51">
        <f t="shared" si="921"/>
        <v>0.65</v>
      </c>
      <c r="S63" s="51"/>
      <c r="T63" s="51">
        <f t="shared" si="942"/>
        <v>0</v>
      </c>
      <c r="U63" s="54"/>
      <c r="V63" s="51">
        <f t="shared" si="922"/>
        <v>0.65</v>
      </c>
      <c r="W63" s="51"/>
      <c r="X63" s="51">
        <f t="shared" si="943"/>
        <v>0</v>
      </c>
      <c r="Y63" s="54"/>
      <c r="Z63" s="51">
        <f t="shared" si="923"/>
        <v>0.65</v>
      </c>
      <c r="AA63" s="51"/>
      <c r="AB63" s="51">
        <f t="shared" si="944"/>
        <v>0</v>
      </c>
      <c r="AC63" s="54"/>
      <c r="AD63" s="51">
        <f t="shared" ref="AD63:AD64" si="1104">Z63*$AD$56</f>
        <v>0.65</v>
      </c>
      <c r="AE63" s="51"/>
      <c r="AF63" s="51">
        <f t="shared" si="945"/>
        <v>0</v>
      </c>
      <c r="AG63" s="54"/>
      <c r="AH63" s="51">
        <f t="shared" si="1103"/>
        <v>0.663</v>
      </c>
      <c r="AI63" s="51"/>
      <c r="AJ63" s="51">
        <f t="shared" si="946"/>
        <v>0</v>
      </c>
      <c r="AK63" s="54"/>
      <c r="AL63" s="51">
        <f t="shared" ref="AL63:AL64" si="1105">AH63*$AL$56</f>
        <v>0.663</v>
      </c>
      <c r="AM63" s="51"/>
      <c r="AN63" s="51">
        <f t="shared" si="947"/>
        <v>0</v>
      </c>
      <c r="AO63" s="54"/>
      <c r="AP63" s="51">
        <f t="shared" ref="AP63:AP64" si="1106">AL63*$AP$56</f>
        <v>0.663</v>
      </c>
      <c r="AQ63" s="51"/>
      <c r="AR63" s="51">
        <f t="shared" si="949"/>
        <v>0</v>
      </c>
      <c r="AS63" s="54"/>
      <c r="AT63" s="51">
        <f t="shared" ref="AT63:AT64" si="1107">AP63*$AT$56</f>
        <v>0.663</v>
      </c>
      <c r="AU63" s="51"/>
      <c r="AV63" s="51">
        <f t="shared" si="951"/>
        <v>0</v>
      </c>
      <c r="AW63" s="54"/>
      <c r="AX63" s="51">
        <f t="shared" ref="AX63:AX64" si="1108">AT63*$AX$56</f>
        <v>0.663</v>
      </c>
      <c r="AY63" s="51"/>
      <c r="AZ63" s="51">
        <f t="shared" si="953"/>
        <v>0</v>
      </c>
      <c r="BA63" s="54"/>
      <c r="BB63" s="51">
        <f t="shared" si="924"/>
        <v>0.663</v>
      </c>
      <c r="BC63" s="51"/>
      <c r="BD63" s="51">
        <f t="shared" si="954"/>
        <v>0</v>
      </c>
      <c r="BE63" s="54"/>
      <c r="BF63" s="51">
        <f t="shared" ref="BF63:BF64" si="1109">BB63*$BF$56</f>
        <v>0.663</v>
      </c>
      <c r="BG63" s="51"/>
      <c r="BH63" s="51">
        <f t="shared" si="955"/>
        <v>0</v>
      </c>
      <c r="BI63" s="54"/>
      <c r="BJ63" s="51">
        <f t="shared" ref="BJ63:BJ64" si="1110">BF63*$BJ$56</f>
        <v>0.663</v>
      </c>
      <c r="BK63" s="51">
        <f t="shared" ref="BK63:BK64" si="1111">BG63*$BK$56</f>
        <v>0</v>
      </c>
      <c r="BL63" s="51">
        <f t="shared" si="958"/>
        <v>0</v>
      </c>
      <c r="BM63" s="54"/>
      <c r="BN63" s="51">
        <f t="shared" ref="BN63:BN64" si="1112">BJ63*$BN$56</f>
        <v>0.663</v>
      </c>
      <c r="BO63" s="51">
        <f t="shared" ref="BO63:BO64" si="1113">BK63*$BO$56</f>
        <v>0</v>
      </c>
      <c r="BP63" s="51">
        <f t="shared" si="961"/>
        <v>0</v>
      </c>
      <c r="BQ63" s="54"/>
      <c r="BR63" s="51">
        <f t="shared" ref="BR63:BR64" si="1114">BN63*$BR$56</f>
        <v>0.663</v>
      </c>
      <c r="BS63" s="51">
        <f t="shared" ref="BS63:BS64" si="1115">BO63*$BS$56</f>
        <v>0</v>
      </c>
      <c r="BT63" s="51">
        <f t="shared" si="964"/>
        <v>0</v>
      </c>
      <c r="BU63" s="54"/>
      <c r="BV63" s="51">
        <f t="shared" ref="BV63:BV64" si="1116">BR63*$BV$56</f>
        <v>0.663</v>
      </c>
      <c r="BW63" s="51">
        <f t="shared" ref="BW63:BW64" si="1117">BS63*$BW$56</f>
        <v>0</v>
      </c>
      <c r="BX63" s="51">
        <f t="shared" si="967"/>
        <v>0</v>
      </c>
      <c r="BY63" s="54"/>
      <c r="BZ63" s="51">
        <f t="shared" ref="BZ63:BZ64" si="1118">BV63*$BZ$56</f>
        <v>0.663</v>
      </c>
      <c r="CA63" s="51">
        <f t="shared" ref="CA63:CA64" si="1119">BW63*$CA$56</f>
        <v>0</v>
      </c>
      <c r="CB63" s="51">
        <f t="shared" si="970"/>
        <v>0</v>
      </c>
      <c r="CC63" s="54"/>
      <c r="CD63" s="51">
        <f t="shared" ref="CD63:CD64" si="1120">BZ63*$CD$56</f>
        <v>1.4917500000000001</v>
      </c>
      <c r="CE63" s="51">
        <f t="shared" ref="CE63:CE64" si="1121">CA63*$CE$56</f>
        <v>0</v>
      </c>
      <c r="CF63" s="51">
        <f t="shared" si="973"/>
        <v>0</v>
      </c>
      <c r="CG63" s="54"/>
      <c r="CH63" s="51">
        <f t="shared" ref="CH63:CH64" si="1122">CD63*$CH$56</f>
        <v>1.4917500000000001</v>
      </c>
      <c r="CI63" s="51">
        <f t="shared" ref="CI63:CI64" si="1123">CE63*$CI$56</f>
        <v>0</v>
      </c>
      <c r="CJ63" s="51">
        <f t="shared" si="976"/>
        <v>0</v>
      </c>
      <c r="CK63" s="54"/>
      <c r="CL63" s="51">
        <f t="shared" ref="CL63:CL64" si="1124">CH63*$CL$56</f>
        <v>1.4917500000000001</v>
      </c>
      <c r="CM63" s="51">
        <f t="shared" ref="CM63:CM64" si="1125">CI63*$CM$56</f>
        <v>0</v>
      </c>
      <c r="CN63" s="51">
        <f t="shared" si="979"/>
        <v>0</v>
      </c>
      <c r="CO63" s="54"/>
      <c r="CP63" s="51">
        <f t="shared" ref="CP63:CP64" si="1126">CL63*$CP$56</f>
        <v>1.4917500000000001</v>
      </c>
      <c r="CQ63" s="51">
        <f t="shared" ref="CQ63:CQ64" si="1127">CM63*$CQ$56</f>
        <v>0</v>
      </c>
      <c r="CR63" s="51">
        <f t="shared" si="982"/>
        <v>0</v>
      </c>
      <c r="CS63" s="54"/>
      <c r="CT63" s="51">
        <f t="shared" ref="CT63:CT64" si="1128">CP63*$CT$56</f>
        <v>1.4917500000000001</v>
      </c>
      <c r="CU63" s="51">
        <f t="shared" ref="CU63:CU64" si="1129">CQ63*$CU$56</f>
        <v>0</v>
      </c>
      <c r="CV63" s="51">
        <f t="shared" si="985"/>
        <v>0</v>
      </c>
      <c r="CW63" s="54"/>
      <c r="CX63" s="51">
        <f t="shared" si="925"/>
        <v>1.4917500000000001</v>
      </c>
      <c r="CY63" s="51">
        <f t="shared" si="926"/>
        <v>0</v>
      </c>
      <c r="CZ63" s="51">
        <f t="shared" si="986"/>
        <v>0</v>
      </c>
      <c r="DA63" s="54"/>
      <c r="DB63" s="51">
        <f t="shared" ref="DB63:DB64" si="1130">CX63*$DB$56</f>
        <v>1.4917500000000001</v>
      </c>
      <c r="DC63" s="51">
        <f t="shared" ref="DC63:DC64" si="1131">CY63*$DC$56</f>
        <v>0</v>
      </c>
      <c r="DD63" s="51">
        <f t="shared" si="988"/>
        <v>0</v>
      </c>
      <c r="DE63" s="54"/>
      <c r="DF63" s="51">
        <f t="shared" ref="DF63:DF64" si="1132">DB63*$DF$56</f>
        <v>1.4917500000000001</v>
      </c>
      <c r="DG63" s="51">
        <f t="shared" ref="DG63:DG64" si="1133">DC63*$DG$56</f>
        <v>0</v>
      </c>
      <c r="DH63" s="51">
        <f t="shared" si="991"/>
        <v>0</v>
      </c>
      <c r="DI63" s="54"/>
      <c r="DJ63" s="51">
        <f t="shared" ref="DJ63:DJ64" si="1134">DF63*$DJ$56</f>
        <v>1.4917500000000001</v>
      </c>
      <c r="DK63" s="51">
        <f t="shared" ref="DK63:DK64" si="1135">DG63*$DK$56</f>
        <v>0</v>
      </c>
      <c r="DL63" s="51">
        <f t="shared" si="994"/>
        <v>0</v>
      </c>
      <c r="DM63" s="54"/>
      <c r="DN63" s="51">
        <f t="shared" ref="DN63:DN64" si="1136">DJ63*$DN$56</f>
        <v>1.4917500000000001</v>
      </c>
      <c r="DO63" s="51">
        <f t="shared" ref="DO63:DO64" si="1137">DK63*$DO$56</f>
        <v>0</v>
      </c>
      <c r="DP63" s="51">
        <f t="shared" si="997"/>
        <v>0</v>
      </c>
      <c r="DQ63" s="54"/>
      <c r="DR63" s="51">
        <f t="shared" ref="DR63:DR64" si="1138">DN63*$DR$56</f>
        <v>1.4917500000000001</v>
      </c>
      <c r="DS63" s="51">
        <f t="shared" ref="DS63:DS64" si="1139">DO63*$DS$56</f>
        <v>0</v>
      </c>
      <c r="DT63" s="51">
        <f t="shared" si="1000"/>
        <v>0</v>
      </c>
      <c r="DU63" s="54"/>
      <c r="DV63" s="51">
        <f t="shared" ref="DV63:DV64" si="1140">DR63*$DV$56</f>
        <v>1.4917500000000001</v>
      </c>
      <c r="DW63" s="51">
        <f t="shared" ref="DW63:DW64" si="1141">DS63*$DW$56</f>
        <v>0</v>
      </c>
      <c r="DX63" s="51">
        <f t="shared" si="1002"/>
        <v>0</v>
      </c>
      <c r="DY63" s="54"/>
      <c r="DZ63" s="51">
        <f t="shared" ref="DZ63:DZ64" si="1142">DV63*$DZ$56</f>
        <v>8.204625</v>
      </c>
      <c r="EA63" s="51">
        <f t="shared" ref="EA63:EA64" si="1143">DW63*$EA$56</f>
        <v>0</v>
      </c>
      <c r="EB63" s="51">
        <f t="shared" si="1003"/>
        <v>0</v>
      </c>
      <c r="EC63" s="54"/>
      <c r="ED63" s="51">
        <f t="shared" ref="ED63:ED64" si="1144">DZ63*$ED$56</f>
        <v>8.204625</v>
      </c>
      <c r="EE63" s="51">
        <f t="shared" ref="EE63:EE64" si="1145">EA63*$EE$56</f>
        <v>0</v>
      </c>
      <c r="EF63" s="51">
        <f t="shared" si="1006"/>
        <v>0</v>
      </c>
      <c r="EG63" s="54"/>
      <c r="EH63" s="51">
        <f t="shared" ref="EH63:EH64" si="1146">ED63*$EH$56</f>
        <v>8.204625</v>
      </c>
      <c r="EI63" s="51">
        <f t="shared" ref="EI63:EI64" si="1147">EE63*$EI$56</f>
        <v>0</v>
      </c>
      <c r="EJ63" s="51">
        <f t="shared" si="1009"/>
        <v>0</v>
      </c>
      <c r="EK63" s="54"/>
      <c r="EL63" s="51">
        <f t="shared" ref="EL63:EL64" si="1148">EH63*$EL$56</f>
        <v>8.204625</v>
      </c>
      <c r="EM63" s="51">
        <f t="shared" ref="EM63:EM64" si="1149">EI63*$EM$56</f>
        <v>0</v>
      </c>
      <c r="EN63" s="51">
        <f t="shared" si="1012"/>
        <v>0</v>
      </c>
      <c r="EO63" s="54"/>
      <c r="EP63" s="51">
        <f t="shared" ref="EP63:EP64" si="1150">EL63*$EP$56</f>
        <v>8.204625</v>
      </c>
      <c r="EQ63" s="51">
        <f t="shared" ref="EQ63:EQ64" si="1151">EM63*$EQ$56</f>
        <v>0</v>
      </c>
      <c r="ER63" s="51">
        <f t="shared" si="1015"/>
        <v>0</v>
      </c>
      <c r="ES63" s="54"/>
      <c r="ET63" s="51">
        <f t="shared" si="927"/>
        <v>8.204625</v>
      </c>
      <c r="EU63" s="51">
        <f t="shared" si="928"/>
        <v>0</v>
      </c>
      <c r="EV63" s="51">
        <f t="shared" si="1016"/>
        <v>0</v>
      </c>
      <c r="EW63" s="54"/>
      <c r="EX63" s="51">
        <f t="shared" ref="EX63:EX64" si="1152">ET63*$EX$56</f>
        <v>8.204625</v>
      </c>
      <c r="EY63" s="51">
        <f t="shared" ref="EY63:EY64" si="1153">EU63*$EY$56</f>
        <v>0</v>
      </c>
      <c r="EZ63" s="51">
        <f t="shared" si="1019"/>
        <v>0</v>
      </c>
      <c r="FA63" s="54"/>
      <c r="FB63" s="51">
        <f t="shared" ref="FB63:FB64" si="1154">EX63*$FB$56</f>
        <v>8.204625</v>
      </c>
      <c r="FC63" s="51">
        <f t="shared" ref="FC63:FC64" si="1155">EY63*$FC$56</f>
        <v>0</v>
      </c>
      <c r="FD63" s="51">
        <f t="shared" si="1022"/>
        <v>0</v>
      </c>
      <c r="FE63" s="54"/>
      <c r="FF63" s="51">
        <f t="shared" ref="FF63:FF64" si="1156">FB63*$FF$56</f>
        <v>8.204625</v>
      </c>
      <c r="FG63" s="51">
        <f t="shared" ref="FG63:FG64" si="1157">FC63*$FG$56</f>
        <v>0</v>
      </c>
      <c r="FH63" s="51">
        <f t="shared" si="1025"/>
        <v>0</v>
      </c>
      <c r="FI63" s="54"/>
      <c r="FJ63" s="51">
        <f t="shared" ref="FJ63:FJ64" si="1158">FF63*$FJ$56</f>
        <v>13.9478625</v>
      </c>
      <c r="FK63" s="51">
        <f t="shared" ref="FK63:FK64" si="1159">FG63*$FK$56</f>
        <v>0</v>
      </c>
      <c r="FL63" s="51">
        <f t="shared" si="1027"/>
        <v>0</v>
      </c>
      <c r="FM63" s="54"/>
      <c r="FN63" s="51">
        <f t="shared" ref="FN63:FN64" si="1160">FJ63*$FN$56</f>
        <v>13.9478625</v>
      </c>
      <c r="FO63" s="51">
        <f t="shared" ref="FO63:FO64" si="1161">FK63*$FO$56</f>
        <v>0</v>
      </c>
      <c r="FP63" s="51">
        <f t="shared" si="1030"/>
        <v>0</v>
      </c>
      <c r="FQ63" s="54"/>
      <c r="FR63" s="51">
        <f t="shared" ref="FR63:FR64" si="1162">FN63*$FR$56</f>
        <v>13.9478625</v>
      </c>
      <c r="FS63" s="51">
        <f t="shared" ref="FS63:FS64" si="1163">FO63*$FS$56</f>
        <v>0</v>
      </c>
      <c r="FT63" s="51">
        <f t="shared" si="1033"/>
        <v>0</v>
      </c>
      <c r="FU63" s="54"/>
      <c r="FV63" s="51">
        <f t="shared" ref="FV63:FV64" si="1164">FR63*$FV$56</f>
        <v>13.9478625</v>
      </c>
      <c r="FW63" s="51">
        <f t="shared" ref="FW63:FW64" si="1165">FS63*$FW$56</f>
        <v>0</v>
      </c>
      <c r="FX63" s="51">
        <f t="shared" si="1035"/>
        <v>0</v>
      </c>
      <c r="FY63" s="54"/>
      <c r="FZ63" s="51">
        <f t="shared" ref="FZ63:FZ64" si="1166">FV63*$FZ$56</f>
        <v>13.9478625</v>
      </c>
      <c r="GA63" s="51">
        <f t="shared" ref="GA63:GA64" si="1167">FW63*$GA$56</f>
        <v>0</v>
      </c>
      <c r="GB63" s="51">
        <f t="shared" si="1037"/>
        <v>0</v>
      </c>
      <c r="GC63" s="54"/>
      <c r="GD63" s="51">
        <f t="shared" ref="GD63:GD64" si="1168">FZ63*$GD$56</f>
        <v>13.9478625</v>
      </c>
      <c r="GE63" s="51">
        <f t="shared" ref="GE63:GE64" si="1169">GA63*$GE$56</f>
        <v>0</v>
      </c>
      <c r="GF63" s="51">
        <f t="shared" si="1040"/>
        <v>0</v>
      </c>
      <c r="GG63" s="54"/>
      <c r="GH63" s="51">
        <f t="shared" ref="GH63:GH64" si="1170">GD63*$GH$56</f>
        <v>13.9478625</v>
      </c>
      <c r="GI63" s="51">
        <f t="shared" ref="GI63:GI64" si="1171">GE63*$GI$56</f>
        <v>0</v>
      </c>
      <c r="GJ63" s="51">
        <f t="shared" si="1041"/>
        <v>0</v>
      </c>
      <c r="GK63" s="54"/>
      <c r="GL63" s="51">
        <f t="shared" ref="GL63:GL64" si="1172">GH63*$GL$56</f>
        <v>13.9478625</v>
      </c>
      <c r="GM63" s="51">
        <f t="shared" ref="GM63:GM64" si="1173">GI63*$GM$56</f>
        <v>0</v>
      </c>
      <c r="GN63" s="51">
        <f t="shared" si="1044"/>
        <v>0</v>
      </c>
      <c r="GP63" s="51">
        <f t="shared" si="929"/>
        <v>13.9478625</v>
      </c>
      <c r="GQ63" s="51">
        <f t="shared" si="930"/>
        <v>0</v>
      </c>
      <c r="GR63" s="51">
        <f t="shared" si="1045"/>
        <v>0</v>
      </c>
      <c r="GS63" s="54"/>
      <c r="GT63" s="51">
        <f t="shared" ref="GT63:GT64" si="1174">GP63*$GT$56</f>
        <v>13.9478625</v>
      </c>
      <c r="GU63" s="51">
        <f t="shared" ref="GU63:GU64" si="1175">GQ63*$GU$56</f>
        <v>0</v>
      </c>
      <c r="GV63" s="51">
        <f t="shared" si="1048"/>
        <v>0</v>
      </c>
      <c r="GW63" s="54"/>
      <c r="GX63" s="51">
        <f t="shared" ref="GX63:GX64" si="1176">GT63*$GX$56</f>
        <v>13.9478625</v>
      </c>
      <c r="GY63" s="51">
        <f t="shared" ref="GY63:GY64" si="1177">GU63*$GY$56</f>
        <v>0</v>
      </c>
      <c r="GZ63" s="51">
        <f t="shared" si="1051"/>
        <v>0</v>
      </c>
      <c r="HA63" s="54"/>
      <c r="HB63" s="51">
        <f t="shared" ref="HB63:HB64" si="1178">GX63*$HB$56</f>
        <v>13.9478625</v>
      </c>
      <c r="HC63" s="51">
        <f t="shared" ref="HC63:HC64" si="1179">GY63*$HC$56</f>
        <v>0</v>
      </c>
      <c r="HD63" s="51">
        <f t="shared" si="1054"/>
        <v>0</v>
      </c>
      <c r="HE63" s="54"/>
      <c r="HF63" s="51">
        <f t="shared" ref="HF63:HF64" si="1180">HB63*$HF$56</f>
        <v>20.92179375</v>
      </c>
      <c r="HG63" s="51">
        <f t="shared" ref="HG63:HG64" si="1181">HC63*$HG$56</f>
        <v>0</v>
      </c>
      <c r="HH63" s="51">
        <f t="shared" si="1057"/>
        <v>0</v>
      </c>
      <c r="HI63" s="54"/>
      <c r="HJ63" s="51">
        <f t="shared" ref="HJ63:HJ64" si="1182">HF63*$HJ$56</f>
        <v>20.92179375</v>
      </c>
      <c r="HK63" s="51">
        <f t="shared" ref="HK63:HK64" si="1183">HG63*$HK$56</f>
        <v>0</v>
      </c>
      <c r="HL63" s="51">
        <f t="shared" si="1060"/>
        <v>0</v>
      </c>
      <c r="HM63" s="54"/>
      <c r="HN63" s="51">
        <f t="shared" ref="HN63:HN64" si="1184">HJ63*$HN$56</f>
        <v>20.92179375</v>
      </c>
      <c r="HO63" s="51">
        <f t="shared" ref="HO63:HO64" si="1185">HK63*$HO$56</f>
        <v>0</v>
      </c>
      <c r="HP63" s="51">
        <f t="shared" si="1063"/>
        <v>0</v>
      </c>
      <c r="HQ63" s="54"/>
      <c r="HR63" s="51">
        <f t="shared" ref="HR63:HR64" si="1186">HN63*$HR$56</f>
        <v>20.92179375</v>
      </c>
      <c r="HS63" s="51">
        <f t="shared" ref="HS63:HS64" si="1187">HO63*$HS$56</f>
        <v>0</v>
      </c>
      <c r="HT63" s="51">
        <f t="shared" si="1066"/>
        <v>0</v>
      </c>
      <c r="HU63" s="54"/>
      <c r="HV63" s="51">
        <f t="shared" ref="HV63:HV64" si="1188">HR63*$HV$56</f>
        <v>20.92179375</v>
      </c>
      <c r="HW63" s="51">
        <f t="shared" ref="HW63:HW64" si="1189">HS63*$HW$56</f>
        <v>0</v>
      </c>
      <c r="HX63" s="51">
        <f t="shared" si="1069"/>
        <v>0</v>
      </c>
      <c r="HY63" s="54"/>
      <c r="HZ63" s="51">
        <f t="shared" ref="HZ63:HZ64" si="1190">HV63*$HZ$56</f>
        <v>20.92179375</v>
      </c>
      <c r="IA63" s="51">
        <f t="shared" ref="IA63:IA64" si="1191">HW63*$IA$56</f>
        <v>0</v>
      </c>
      <c r="IB63" s="51">
        <f t="shared" si="1072"/>
        <v>0</v>
      </c>
      <c r="IC63" s="54"/>
      <c r="ID63" s="51">
        <f t="shared" ref="ID63:ID64" si="1192">HZ63*$ID$56</f>
        <v>20.92179375</v>
      </c>
      <c r="IE63" s="51">
        <f t="shared" ref="IE63:IE64" si="1193">IA63*$IE$56</f>
        <v>0</v>
      </c>
      <c r="IF63" s="51">
        <f t="shared" si="1075"/>
        <v>0</v>
      </c>
      <c r="IG63" s="54"/>
      <c r="IH63" s="51">
        <f t="shared" ref="IH63:IH64" si="1194">ID63*$IH$56</f>
        <v>20.92179375</v>
      </c>
      <c r="II63" s="51">
        <f t="shared" ref="II63:II64" si="1195">IE63*$II$56</f>
        <v>0</v>
      </c>
      <c r="IJ63" s="51">
        <f t="shared" si="1078"/>
        <v>0</v>
      </c>
      <c r="IL63" s="51">
        <f t="shared" si="931"/>
        <v>20.92179375</v>
      </c>
      <c r="IM63" s="51">
        <f t="shared" si="932"/>
        <v>0</v>
      </c>
      <c r="IN63" s="51">
        <f t="shared" si="1079"/>
        <v>0</v>
      </c>
      <c r="IO63" s="54"/>
      <c r="IP63" s="51">
        <f t="shared" ref="IP63:IP64" si="1196">IL63*$IP$56</f>
        <v>20.92179375</v>
      </c>
      <c r="IQ63" s="51">
        <f t="shared" ref="IQ63:IQ64" si="1197">IM63*$IQ$56</f>
        <v>0</v>
      </c>
      <c r="IR63" s="51">
        <f t="shared" si="1082"/>
        <v>0</v>
      </c>
      <c r="IS63" s="54"/>
      <c r="IT63" s="51">
        <f t="shared" ref="IT63:IT64" si="1198">IP63*$IT$56</f>
        <v>20.92179375</v>
      </c>
      <c r="IU63" s="51">
        <f t="shared" ref="IU63:IU64" si="1199">IQ63*$IU$56</f>
        <v>0</v>
      </c>
      <c r="IV63" s="51">
        <f t="shared" si="1085"/>
        <v>0</v>
      </c>
      <c r="IW63" s="54"/>
      <c r="IX63" s="51">
        <f t="shared" ref="IX63:IX64" si="1200">IT63*$IX$56</f>
        <v>20.92179375</v>
      </c>
      <c r="IY63" s="51">
        <f t="shared" ref="IY63:IY64" si="1201">IU63*$IY$56</f>
        <v>0</v>
      </c>
      <c r="IZ63" s="51">
        <f t="shared" si="1088"/>
        <v>0</v>
      </c>
      <c r="JA63" s="54"/>
      <c r="JB63" s="51" t="e">
        <f t="shared" ref="JB63:JB64" si="1202">IX63*$JB$56</f>
        <v>#REF!</v>
      </c>
      <c r="JC63" s="51">
        <f t="shared" ref="JC63:JC64" si="1203">IY63*$JC$56</f>
        <v>0</v>
      </c>
      <c r="JD63" s="51">
        <f t="shared" si="1091"/>
        <v>0</v>
      </c>
      <c r="JE63" s="54"/>
      <c r="JF63" s="51" t="e">
        <f t="shared" ref="JF63:JF64" si="1204">JB63*$JF$56</f>
        <v>#REF!</v>
      </c>
      <c r="JG63" s="51">
        <f t="shared" ref="JG63:JG64" si="1205">JC63*$JG$56</f>
        <v>0</v>
      </c>
      <c r="JH63" s="51">
        <f t="shared" si="1094"/>
        <v>0</v>
      </c>
      <c r="JI63" s="54"/>
      <c r="JJ63" s="51" t="e">
        <f t="shared" ref="JJ63:JJ64" si="1206">JF63*$JJ$56</f>
        <v>#REF!</v>
      </c>
      <c r="JK63" s="51">
        <f t="shared" ref="JK63:JK64" si="1207">JG63*$JK$56</f>
        <v>0</v>
      </c>
      <c r="JL63" s="51">
        <f t="shared" si="1097"/>
        <v>0</v>
      </c>
      <c r="JM63" s="54"/>
      <c r="JO63" s="80"/>
      <c r="JP63" s="80"/>
      <c r="JQ63" s="80">
        <f t="shared" si="933"/>
        <v>0</v>
      </c>
      <c r="JS63" s="80"/>
      <c r="JT63" s="80"/>
      <c r="JU63" s="80">
        <f t="shared" si="934"/>
        <v>0</v>
      </c>
      <c r="JW63" s="80"/>
      <c r="JX63" s="80"/>
      <c r="JY63" s="80">
        <f t="shared" si="935"/>
        <v>0</v>
      </c>
      <c r="KA63" s="80"/>
      <c r="KB63" s="80"/>
      <c r="KC63" s="80">
        <f t="shared" si="936"/>
        <v>0</v>
      </c>
      <c r="KE63" s="80"/>
      <c r="KF63" s="80"/>
      <c r="KG63" s="80">
        <f t="shared" si="937"/>
        <v>0</v>
      </c>
      <c r="KI63" s="80"/>
      <c r="KJ63" s="80"/>
      <c r="KK63" s="80">
        <f t="shared" si="938"/>
        <v>0</v>
      </c>
      <c r="KM63" s="80"/>
      <c r="KN63" s="80"/>
      <c r="KO63" s="80">
        <f t="shared" si="939"/>
        <v>0</v>
      </c>
    </row>
    <row r="64" ht="18.75" customHeight="1" spans="2:301" x14ac:dyDescent="0.25">
      <c r="B64" s="5" t="str">
        <f>A.IIOPEX!C64</f>
        <v>5g</v>
      </c>
      <c r="C64" s="27"/>
      <c r="D64" s="29">
        <f>A.IIOPEX!E64</f>
        <v>0</v>
      </c>
      <c r="E64" s="30"/>
      <c r="F64" s="51">
        <v>1</v>
      </c>
      <c r="G64" s="51"/>
      <c r="H64" s="51">
        <f>A.IIOPEX!I64</f>
        <v>0</v>
      </c>
      <c r="I64" s="54"/>
      <c r="J64" s="51">
        <f t="shared" si="919"/>
        <v>0.65</v>
      </c>
      <c r="K64" s="51"/>
      <c r="L64" s="51">
        <f t="shared" si="940"/>
        <v>0</v>
      </c>
      <c r="M64" s="54"/>
      <c r="N64" s="51">
        <f t="shared" si="920"/>
        <v>0.65</v>
      </c>
      <c r="O64" s="51"/>
      <c r="P64" s="51">
        <f t="shared" si="941"/>
        <v>0</v>
      </c>
      <c r="Q64" s="54"/>
      <c r="R64" s="51">
        <f t="shared" si="921"/>
        <v>0.65</v>
      </c>
      <c r="S64" s="51"/>
      <c r="T64" s="51">
        <f t="shared" si="942"/>
        <v>0</v>
      </c>
      <c r="U64" s="54"/>
      <c r="V64" s="51">
        <f t="shared" si="922"/>
        <v>0.65</v>
      </c>
      <c r="W64" s="51"/>
      <c r="X64" s="51">
        <f t="shared" si="943"/>
        <v>0</v>
      </c>
      <c r="Y64" s="54"/>
      <c r="Z64" s="51">
        <f t="shared" si="923"/>
        <v>0.65</v>
      </c>
      <c r="AA64" s="51"/>
      <c r="AB64" s="51">
        <f t="shared" si="944"/>
        <v>0</v>
      </c>
      <c r="AC64" s="54"/>
      <c r="AD64" s="51">
        <f t="shared" si="1104"/>
        <v>0.65</v>
      </c>
      <c r="AE64" s="51"/>
      <c r="AF64" s="51">
        <f t="shared" si="945"/>
        <v>0</v>
      </c>
      <c r="AG64" s="54"/>
      <c r="AH64" s="51">
        <f t="shared" si="1103"/>
        <v>0.663</v>
      </c>
      <c r="AI64" s="51"/>
      <c r="AJ64" s="51">
        <f t="shared" si="946"/>
        <v>0</v>
      </c>
      <c r="AK64" s="54"/>
      <c r="AL64" s="51">
        <f t="shared" si="1105"/>
        <v>0.663</v>
      </c>
      <c r="AM64" s="51"/>
      <c r="AN64" s="51">
        <f t="shared" si="947"/>
        <v>0</v>
      </c>
      <c r="AO64" s="54"/>
      <c r="AP64" s="51">
        <f t="shared" si="1106"/>
        <v>0.663</v>
      </c>
      <c r="AQ64" s="51"/>
      <c r="AR64" s="51">
        <f t="shared" si="949"/>
        <v>0</v>
      </c>
      <c r="AS64" s="54"/>
      <c r="AT64" s="51">
        <f t="shared" si="1107"/>
        <v>0.663</v>
      </c>
      <c r="AU64" s="51"/>
      <c r="AV64" s="51">
        <f t="shared" si="951"/>
        <v>0</v>
      </c>
      <c r="AW64" s="54"/>
      <c r="AX64" s="51">
        <f t="shared" si="1108"/>
        <v>0.663</v>
      </c>
      <c r="AY64" s="51"/>
      <c r="AZ64" s="51">
        <f t="shared" si="953"/>
        <v>0</v>
      </c>
      <c r="BA64" s="54"/>
      <c r="BB64" s="51">
        <f t="shared" si="924"/>
        <v>0.663</v>
      </c>
      <c r="BC64" s="51"/>
      <c r="BD64" s="51">
        <f t="shared" si="954"/>
        <v>0</v>
      </c>
      <c r="BE64" s="54"/>
      <c r="BF64" s="51">
        <f t="shared" si="1109"/>
        <v>0.663</v>
      </c>
      <c r="BG64" s="51"/>
      <c r="BH64" s="51">
        <f t="shared" si="955"/>
        <v>0</v>
      </c>
      <c r="BI64" s="54"/>
      <c r="BJ64" s="51">
        <f t="shared" si="1110"/>
        <v>0.663</v>
      </c>
      <c r="BK64" s="51">
        <f t="shared" si="1111"/>
        <v>0</v>
      </c>
      <c r="BL64" s="51">
        <f t="shared" si="958"/>
        <v>0</v>
      </c>
      <c r="BM64" s="54"/>
      <c r="BN64" s="51">
        <f t="shared" si="1112"/>
        <v>0.663</v>
      </c>
      <c r="BO64" s="51">
        <f t="shared" si="1113"/>
        <v>0</v>
      </c>
      <c r="BP64" s="51">
        <f t="shared" si="961"/>
        <v>0</v>
      </c>
      <c r="BQ64" s="54"/>
      <c r="BR64" s="51">
        <f t="shared" si="1114"/>
        <v>0.663</v>
      </c>
      <c r="BS64" s="51">
        <f t="shared" si="1115"/>
        <v>0</v>
      </c>
      <c r="BT64" s="51">
        <f t="shared" si="964"/>
        <v>0</v>
      </c>
      <c r="BU64" s="54"/>
      <c r="BV64" s="51">
        <f t="shared" si="1116"/>
        <v>0.663</v>
      </c>
      <c r="BW64" s="51">
        <f t="shared" si="1117"/>
        <v>0</v>
      </c>
      <c r="BX64" s="51">
        <f t="shared" si="967"/>
        <v>0</v>
      </c>
      <c r="BY64" s="54"/>
      <c r="BZ64" s="51">
        <f t="shared" si="1118"/>
        <v>0.663</v>
      </c>
      <c r="CA64" s="51">
        <f t="shared" si="1119"/>
        <v>0</v>
      </c>
      <c r="CB64" s="51">
        <f t="shared" si="970"/>
        <v>0</v>
      </c>
      <c r="CC64" s="54"/>
      <c r="CD64" s="51">
        <f t="shared" si="1120"/>
        <v>1.4917500000000001</v>
      </c>
      <c r="CE64" s="51">
        <f t="shared" si="1121"/>
        <v>0</v>
      </c>
      <c r="CF64" s="51">
        <f t="shared" si="973"/>
        <v>0</v>
      </c>
      <c r="CG64" s="54"/>
      <c r="CH64" s="51">
        <f t="shared" si="1122"/>
        <v>1.4917500000000001</v>
      </c>
      <c r="CI64" s="51">
        <f t="shared" si="1123"/>
        <v>0</v>
      </c>
      <c r="CJ64" s="51">
        <f t="shared" si="976"/>
        <v>0</v>
      </c>
      <c r="CK64" s="54"/>
      <c r="CL64" s="51">
        <f t="shared" si="1124"/>
        <v>1.4917500000000001</v>
      </c>
      <c r="CM64" s="51">
        <f t="shared" si="1125"/>
        <v>0</v>
      </c>
      <c r="CN64" s="51">
        <f t="shared" si="979"/>
        <v>0</v>
      </c>
      <c r="CO64" s="54"/>
      <c r="CP64" s="51">
        <f t="shared" si="1126"/>
        <v>1.4917500000000001</v>
      </c>
      <c r="CQ64" s="51">
        <f t="shared" si="1127"/>
        <v>0</v>
      </c>
      <c r="CR64" s="51">
        <f t="shared" si="982"/>
        <v>0</v>
      </c>
      <c r="CS64" s="54"/>
      <c r="CT64" s="51">
        <f t="shared" si="1128"/>
        <v>1.4917500000000001</v>
      </c>
      <c r="CU64" s="51">
        <f t="shared" si="1129"/>
        <v>0</v>
      </c>
      <c r="CV64" s="51">
        <f t="shared" si="985"/>
        <v>0</v>
      </c>
      <c r="CW64" s="54"/>
      <c r="CX64" s="51">
        <f t="shared" si="925"/>
        <v>1.4917500000000001</v>
      </c>
      <c r="CY64" s="51">
        <f t="shared" si="926"/>
        <v>0</v>
      </c>
      <c r="CZ64" s="51">
        <f t="shared" si="986"/>
        <v>0</v>
      </c>
      <c r="DA64" s="54"/>
      <c r="DB64" s="51">
        <f t="shared" si="1130"/>
        <v>1.4917500000000001</v>
      </c>
      <c r="DC64" s="51">
        <f t="shared" si="1131"/>
        <v>0</v>
      </c>
      <c r="DD64" s="51">
        <f t="shared" si="988"/>
        <v>0</v>
      </c>
      <c r="DE64" s="54"/>
      <c r="DF64" s="51">
        <f t="shared" si="1132"/>
        <v>1.4917500000000001</v>
      </c>
      <c r="DG64" s="51">
        <f t="shared" si="1133"/>
        <v>0</v>
      </c>
      <c r="DH64" s="51">
        <f t="shared" si="991"/>
        <v>0</v>
      </c>
      <c r="DI64" s="54"/>
      <c r="DJ64" s="51">
        <f t="shared" si="1134"/>
        <v>1.4917500000000001</v>
      </c>
      <c r="DK64" s="51">
        <f t="shared" si="1135"/>
        <v>0</v>
      </c>
      <c r="DL64" s="51">
        <f t="shared" si="994"/>
        <v>0</v>
      </c>
      <c r="DM64" s="54"/>
      <c r="DN64" s="51">
        <f t="shared" si="1136"/>
        <v>1.4917500000000001</v>
      </c>
      <c r="DO64" s="51">
        <f t="shared" si="1137"/>
        <v>0</v>
      </c>
      <c r="DP64" s="51">
        <f t="shared" si="997"/>
        <v>0</v>
      </c>
      <c r="DQ64" s="54"/>
      <c r="DR64" s="51">
        <f t="shared" si="1138"/>
        <v>1.4917500000000001</v>
      </c>
      <c r="DS64" s="51">
        <f t="shared" si="1139"/>
        <v>0</v>
      </c>
      <c r="DT64" s="51">
        <f t="shared" si="1000"/>
        <v>0</v>
      </c>
      <c r="DU64" s="54"/>
      <c r="DV64" s="51">
        <f t="shared" si="1140"/>
        <v>1.4917500000000001</v>
      </c>
      <c r="DW64" s="51">
        <f t="shared" si="1141"/>
        <v>0</v>
      </c>
      <c r="DX64" s="51">
        <f t="shared" si="1002"/>
        <v>0</v>
      </c>
      <c r="DY64" s="54"/>
      <c r="DZ64" s="51">
        <f t="shared" si="1142"/>
        <v>8.204625</v>
      </c>
      <c r="EA64" s="51">
        <f t="shared" si="1143"/>
        <v>0</v>
      </c>
      <c r="EB64" s="51">
        <f t="shared" si="1003"/>
        <v>0</v>
      </c>
      <c r="EC64" s="54"/>
      <c r="ED64" s="51">
        <f t="shared" si="1144"/>
        <v>8.204625</v>
      </c>
      <c r="EE64" s="51">
        <f t="shared" si="1145"/>
        <v>0</v>
      </c>
      <c r="EF64" s="51">
        <f t="shared" si="1006"/>
        <v>0</v>
      </c>
      <c r="EG64" s="54"/>
      <c r="EH64" s="51">
        <f t="shared" si="1146"/>
        <v>8.204625</v>
      </c>
      <c r="EI64" s="51">
        <f t="shared" si="1147"/>
        <v>0</v>
      </c>
      <c r="EJ64" s="51">
        <f t="shared" si="1009"/>
        <v>0</v>
      </c>
      <c r="EK64" s="54"/>
      <c r="EL64" s="51">
        <f t="shared" si="1148"/>
        <v>8.204625</v>
      </c>
      <c r="EM64" s="51">
        <f t="shared" si="1149"/>
        <v>0</v>
      </c>
      <c r="EN64" s="51">
        <f t="shared" si="1012"/>
        <v>0</v>
      </c>
      <c r="EO64" s="54"/>
      <c r="EP64" s="51">
        <f t="shared" si="1150"/>
        <v>8.204625</v>
      </c>
      <c r="EQ64" s="51">
        <f t="shared" si="1151"/>
        <v>0</v>
      </c>
      <c r="ER64" s="51">
        <f t="shared" si="1015"/>
        <v>0</v>
      </c>
      <c r="ES64" s="54"/>
      <c r="ET64" s="51">
        <f t="shared" si="927"/>
        <v>8.204625</v>
      </c>
      <c r="EU64" s="51">
        <f t="shared" si="928"/>
        <v>0</v>
      </c>
      <c r="EV64" s="51">
        <f t="shared" si="1016"/>
        <v>0</v>
      </c>
      <c r="EW64" s="54"/>
      <c r="EX64" s="51">
        <f t="shared" si="1152"/>
        <v>8.204625</v>
      </c>
      <c r="EY64" s="51">
        <f t="shared" si="1153"/>
        <v>0</v>
      </c>
      <c r="EZ64" s="51">
        <f t="shared" si="1019"/>
        <v>0</v>
      </c>
      <c r="FA64" s="54"/>
      <c r="FB64" s="51">
        <f t="shared" si="1154"/>
        <v>8.204625</v>
      </c>
      <c r="FC64" s="51">
        <f t="shared" si="1155"/>
        <v>0</v>
      </c>
      <c r="FD64" s="51">
        <f t="shared" si="1022"/>
        <v>0</v>
      </c>
      <c r="FE64" s="54"/>
      <c r="FF64" s="51">
        <f t="shared" si="1156"/>
        <v>8.204625</v>
      </c>
      <c r="FG64" s="51">
        <f t="shared" si="1157"/>
        <v>0</v>
      </c>
      <c r="FH64" s="51">
        <f t="shared" si="1025"/>
        <v>0</v>
      </c>
      <c r="FI64" s="54"/>
      <c r="FJ64" s="51">
        <f t="shared" si="1158"/>
        <v>13.9478625</v>
      </c>
      <c r="FK64" s="51">
        <f t="shared" si="1159"/>
        <v>0</v>
      </c>
      <c r="FL64" s="51">
        <f t="shared" si="1027"/>
        <v>0</v>
      </c>
      <c r="FM64" s="54"/>
      <c r="FN64" s="51">
        <f t="shared" si="1160"/>
        <v>13.9478625</v>
      </c>
      <c r="FO64" s="51">
        <f t="shared" si="1161"/>
        <v>0</v>
      </c>
      <c r="FP64" s="51">
        <f t="shared" si="1030"/>
        <v>0</v>
      </c>
      <c r="FQ64" s="54"/>
      <c r="FR64" s="51">
        <f t="shared" si="1162"/>
        <v>13.9478625</v>
      </c>
      <c r="FS64" s="51">
        <f t="shared" si="1163"/>
        <v>0</v>
      </c>
      <c r="FT64" s="51">
        <f t="shared" si="1033"/>
        <v>0</v>
      </c>
      <c r="FU64" s="54"/>
      <c r="FV64" s="51">
        <f t="shared" si="1164"/>
        <v>13.9478625</v>
      </c>
      <c r="FW64" s="51">
        <f t="shared" si="1165"/>
        <v>0</v>
      </c>
      <c r="FX64" s="51">
        <f t="shared" si="1035"/>
        <v>0</v>
      </c>
      <c r="FY64" s="54"/>
      <c r="FZ64" s="51">
        <f t="shared" si="1166"/>
        <v>13.9478625</v>
      </c>
      <c r="GA64" s="51">
        <f t="shared" si="1167"/>
        <v>0</v>
      </c>
      <c r="GB64" s="51">
        <f t="shared" si="1037"/>
        <v>0</v>
      </c>
      <c r="GC64" s="54"/>
      <c r="GD64" s="51">
        <f t="shared" si="1168"/>
        <v>13.9478625</v>
      </c>
      <c r="GE64" s="51">
        <f t="shared" si="1169"/>
        <v>0</v>
      </c>
      <c r="GF64" s="51">
        <f t="shared" si="1040"/>
        <v>0</v>
      </c>
      <c r="GG64" s="54"/>
      <c r="GH64" s="51">
        <f t="shared" si="1170"/>
        <v>13.9478625</v>
      </c>
      <c r="GI64" s="51">
        <f t="shared" si="1171"/>
        <v>0</v>
      </c>
      <c r="GJ64" s="51">
        <f t="shared" si="1041"/>
        <v>0</v>
      </c>
      <c r="GK64" s="54"/>
      <c r="GL64" s="51">
        <f t="shared" si="1172"/>
        <v>13.9478625</v>
      </c>
      <c r="GM64" s="51">
        <f t="shared" si="1173"/>
        <v>0</v>
      </c>
      <c r="GN64" s="51">
        <f t="shared" si="1044"/>
        <v>0</v>
      </c>
      <c r="GP64" s="51">
        <f t="shared" si="929"/>
        <v>13.9478625</v>
      </c>
      <c r="GQ64" s="51">
        <f t="shared" si="930"/>
        <v>0</v>
      </c>
      <c r="GR64" s="51">
        <f t="shared" si="1045"/>
        <v>0</v>
      </c>
      <c r="GS64" s="54"/>
      <c r="GT64" s="51">
        <f t="shared" si="1174"/>
        <v>13.9478625</v>
      </c>
      <c r="GU64" s="51">
        <f t="shared" si="1175"/>
        <v>0</v>
      </c>
      <c r="GV64" s="51">
        <f t="shared" si="1048"/>
        <v>0</v>
      </c>
      <c r="GW64" s="54"/>
      <c r="GX64" s="51">
        <f t="shared" si="1176"/>
        <v>13.9478625</v>
      </c>
      <c r="GY64" s="51">
        <f t="shared" si="1177"/>
        <v>0</v>
      </c>
      <c r="GZ64" s="51">
        <f t="shared" si="1051"/>
        <v>0</v>
      </c>
      <c r="HA64" s="54"/>
      <c r="HB64" s="51">
        <f t="shared" si="1178"/>
        <v>13.9478625</v>
      </c>
      <c r="HC64" s="51">
        <f t="shared" si="1179"/>
        <v>0</v>
      </c>
      <c r="HD64" s="51">
        <f t="shared" si="1054"/>
        <v>0</v>
      </c>
      <c r="HE64" s="54"/>
      <c r="HF64" s="51">
        <f t="shared" si="1180"/>
        <v>20.92179375</v>
      </c>
      <c r="HG64" s="51">
        <f t="shared" si="1181"/>
        <v>0</v>
      </c>
      <c r="HH64" s="51">
        <f t="shared" si="1057"/>
        <v>0</v>
      </c>
      <c r="HI64" s="54"/>
      <c r="HJ64" s="51">
        <f t="shared" si="1182"/>
        <v>20.92179375</v>
      </c>
      <c r="HK64" s="51">
        <f t="shared" si="1183"/>
        <v>0</v>
      </c>
      <c r="HL64" s="51">
        <f t="shared" si="1060"/>
        <v>0</v>
      </c>
      <c r="HM64" s="54"/>
      <c r="HN64" s="51">
        <f t="shared" si="1184"/>
        <v>20.92179375</v>
      </c>
      <c r="HO64" s="51">
        <f t="shared" si="1185"/>
        <v>0</v>
      </c>
      <c r="HP64" s="51">
        <f t="shared" si="1063"/>
        <v>0</v>
      </c>
      <c r="HQ64" s="54"/>
      <c r="HR64" s="51">
        <f t="shared" si="1186"/>
        <v>20.92179375</v>
      </c>
      <c r="HS64" s="51">
        <f t="shared" si="1187"/>
        <v>0</v>
      </c>
      <c r="HT64" s="51">
        <f t="shared" si="1066"/>
        <v>0</v>
      </c>
      <c r="HU64" s="54"/>
      <c r="HV64" s="51">
        <f t="shared" si="1188"/>
        <v>20.92179375</v>
      </c>
      <c r="HW64" s="51">
        <f t="shared" si="1189"/>
        <v>0</v>
      </c>
      <c r="HX64" s="51">
        <f t="shared" si="1069"/>
        <v>0</v>
      </c>
      <c r="HY64" s="54"/>
      <c r="HZ64" s="51">
        <f t="shared" si="1190"/>
        <v>20.92179375</v>
      </c>
      <c r="IA64" s="51">
        <f t="shared" si="1191"/>
        <v>0</v>
      </c>
      <c r="IB64" s="51">
        <f t="shared" si="1072"/>
        <v>0</v>
      </c>
      <c r="IC64" s="54"/>
      <c r="ID64" s="51">
        <f t="shared" si="1192"/>
        <v>20.92179375</v>
      </c>
      <c r="IE64" s="51">
        <f t="shared" si="1193"/>
        <v>0</v>
      </c>
      <c r="IF64" s="51">
        <f t="shared" si="1075"/>
        <v>0</v>
      </c>
      <c r="IG64" s="54"/>
      <c r="IH64" s="51">
        <f t="shared" si="1194"/>
        <v>20.92179375</v>
      </c>
      <c r="II64" s="51">
        <f t="shared" si="1195"/>
        <v>0</v>
      </c>
      <c r="IJ64" s="51">
        <f t="shared" si="1078"/>
        <v>0</v>
      </c>
      <c r="IL64" s="51">
        <f t="shared" si="931"/>
        <v>20.92179375</v>
      </c>
      <c r="IM64" s="51">
        <f t="shared" si="932"/>
        <v>0</v>
      </c>
      <c r="IN64" s="51">
        <f t="shared" si="1079"/>
        <v>0</v>
      </c>
      <c r="IO64" s="54"/>
      <c r="IP64" s="51">
        <f t="shared" si="1196"/>
        <v>20.92179375</v>
      </c>
      <c r="IQ64" s="51">
        <f t="shared" si="1197"/>
        <v>0</v>
      </c>
      <c r="IR64" s="51">
        <f t="shared" si="1082"/>
        <v>0</v>
      </c>
      <c r="IS64" s="54"/>
      <c r="IT64" s="51">
        <f t="shared" si="1198"/>
        <v>20.92179375</v>
      </c>
      <c r="IU64" s="51">
        <f t="shared" si="1199"/>
        <v>0</v>
      </c>
      <c r="IV64" s="51">
        <f t="shared" si="1085"/>
        <v>0</v>
      </c>
      <c r="IW64" s="54"/>
      <c r="IX64" s="51">
        <f t="shared" si="1200"/>
        <v>20.92179375</v>
      </c>
      <c r="IY64" s="51">
        <f t="shared" si="1201"/>
        <v>0</v>
      </c>
      <c r="IZ64" s="51">
        <f t="shared" si="1088"/>
        <v>0</v>
      </c>
      <c r="JA64" s="54"/>
      <c r="JB64" s="51" t="e">
        <f t="shared" si="1202"/>
        <v>#REF!</v>
      </c>
      <c r="JC64" s="51">
        <f t="shared" si="1203"/>
        <v>0</v>
      </c>
      <c r="JD64" s="51">
        <f t="shared" si="1091"/>
        <v>0</v>
      </c>
      <c r="JE64" s="54"/>
      <c r="JF64" s="51" t="e">
        <f t="shared" si="1204"/>
        <v>#REF!</v>
      </c>
      <c r="JG64" s="51">
        <f t="shared" si="1205"/>
        <v>0</v>
      </c>
      <c r="JH64" s="51">
        <f t="shared" si="1094"/>
        <v>0</v>
      </c>
      <c r="JI64" s="54"/>
      <c r="JJ64" s="51" t="e">
        <f t="shared" si="1206"/>
        <v>#REF!</v>
      </c>
      <c r="JK64" s="51">
        <f t="shared" si="1207"/>
        <v>0</v>
      </c>
      <c r="JL64" s="51">
        <f t="shared" si="1097"/>
        <v>0</v>
      </c>
      <c r="JM64" s="54"/>
      <c r="JO64" s="80"/>
      <c r="JP64" s="80"/>
      <c r="JQ64" s="80">
        <f t="shared" si="933"/>
        <v>0</v>
      </c>
      <c r="JS64" s="80"/>
      <c r="JT64" s="80"/>
      <c r="JU64" s="80">
        <f t="shared" si="934"/>
        <v>0</v>
      </c>
      <c r="JW64" s="80"/>
      <c r="JX64" s="80"/>
      <c r="JY64" s="80">
        <f t="shared" si="935"/>
        <v>0</v>
      </c>
      <c r="KA64" s="80"/>
      <c r="KB64" s="80"/>
      <c r="KC64" s="80">
        <f t="shared" si="936"/>
        <v>0</v>
      </c>
      <c r="KE64" s="80"/>
      <c r="KF64" s="80"/>
      <c r="KG64" s="80">
        <f t="shared" si="937"/>
        <v>0</v>
      </c>
      <c r="KI64" s="80"/>
      <c r="KJ64" s="80"/>
      <c r="KK64" s="80">
        <f t="shared" si="938"/>
        <v>0</v>
      </c>
      <c r="KM64" s="80"/>
      <c r="KN64" s="80"/>
      <c r="KO64" s="80">
        <f t="shared" si="939"/>
        <v>0</v>
      </c>
    </row>
    <row r="65" ht="18.75" customHeight="1" spans="2:301" x14ac:dyDescent="0.25">
      <c r="B65" s="34" t="s">
        <v>58</v>
      </c>
      <c r="C65" s="34"/>
      <c r="D65" s="34"/>
      <c r="E65" s="30"/>
      <c r="F65" s="81">
        <f>SUM(F58:F64)</f>
        <v>7</v>
      </c>
      <c r="G65" s="81"/>
      <c r="H65" s="81">
        <f>SUM(H58:H64)</f>
        <v>533333.3333333334</v>
      </c>
      <c r="I65" s="81"/>
      <c r="J65" s="81">
        <f>SUM(J58:J64)</f>
        <v>4.55</v>
      </c>
      <c r="K65" s="81"/>
      <c r="L65" s="81">
        <f>SUM(L58:L64)</f>
        <v>346666.6666666667</v>
      </c>
      <c r="M65" s="81"/>
      <c r="N65" s="81">
        <f>SUM(N58:N64)</f>
        <v>4.55</v>
      </c>
      <c r="O65" s="81"/>
      <c r="P65" s="81">
        <f>SUM(P58:P64)</f>
        <v>346666.6666666667</v>
      </c>
      <c r="Q65" s="81"/>
      <c r="R65" s="81">
        <f>SUM(R58:R64)</f>
        <v>4.55</v>
      </c>
      <c r="S65" s="81"/>
      <c r="T65" s="81">
        <f>SUM(T58:T64)</f>
        <v>346666.6666666667</v>
      </c>
      <c r="U65" s="81"/>
      <c r="V65" s="81">
        <f>SUM(V58:V64)</f>
        <v>4.55</v>
      </c>
      <c r="W65" s="81"/>
      <c r="X65" s="81">
        <f>SUM(X58:X64)</f>
        <v>346666.6666666667</v>
      </c>
      <c r="Y65" s="81"/>
      <c r="Z65" s="81">
        <f>SUM(Z58:Z64)</f>
        <v>4.55</v>
      </c>
      <c r="AA65" s="81"/>
      <c r="AB65" s="81">
        <f>SUM(AB58:AB64)</f>
        <v>346666.6666666667</v>
      </c>
      <c r="AC65" s="81"/>
      <c r="AD65" s="81">
        <f>SUM(AD58:AD64)</f>
        <v>4.55</v>
      </c>
      <c r="AE65" s="81"/>
      <c r="AF65" s="81">
        <f>SUM(AF58:AF64)</f>
        <v>346666.6666666667</v>
      </c>
      <c r="AG65" s="81"/>
      <c r="AH65" s="81">
        <f>SUM(AH58:AH64)</f>
        <v>4.641000000000001</v>
      </c>
      <c r="AI65" s="81"/>
      <c r="AJ65" s="81">
        <f>SUM(AJ58:AJ64)</f>
        <v>353600</v>
      </c>
      <c r="AK65" s="81"/>
      <c r="AL65" s="81">
        <f>SUM(AL58:AL64)</f>
        <v>4.641000000000001</v>
      </c>
      <c r="AM65" s="81"/>
      <c r="AN65" s="81">
        <f>SUM(AN58:AN64)</f>
        <v>353600</v>
      </c>
      <c r="AO65" s="81"/>
      <c r="AP65" s="81">
        <f>SUM(AP58:AP64)</f>
        <v>4.641000000000001</v>
      </c>
      <c r="AQ65" s="81"/>
      <c r="AR65" s="81">
        <f>SUM(AR58:AR64)</f>
        <v>353600</v>
      </c>
      <c r="AS65" s="81"/>
      <c r="AT65" s="81">
        <f>SUM(AT58:AT64)</f>
        <v>4.641000000000001</v>
      </c>
      <c r="AU65" s="81"/>
      <c r="AV65" s="81">
        <f>SUM(AV58:AV64)</f>
        <v>353600</v>
      </c>
      <c r="AW65" s="81"/>
      <c r="AX65" s="81">
        <f>SUM(AX58:AX64)</f>
        <v>4.641000000000001</v>
      </c>
      <c r="AY65" s="81"/>
      <c r="AZ65" s="81">
        <f>SUM(AZ58:AZ64)</f>
        <v>353600</v>
      </c>
      <c r="BA65" s="81"/>
      <c r="BB65" s="81">
        <f>SUM(BB58:BB64)</f>
        <v>4.641000000000001</v>
      </c>
      <c r="BC65" s="81"/>
      <c r="BD65" s="81">
        <f>SUM(BD58:BD64)</f>
        <v>353600</v>
      </c>
      <c r="BE65" s="81"/>
      <c r="BF65" s="81">
        <f>SUM(BF58:BF64)</f>
        <v>4.641000000000001</v>
      </c>
      <c r="BG65" s="81"/>
      <c r="BH65" s="81">
        <f>SUM(BH58:BH64)</f>
        <v>353600</v>
      </c>
      <c r="BI65" s="81"/>
      <c r="BJ65" s="81">
        <f>SUM(BJ58:BJ64)</f>
        <v>4.641000000000001</v>
      </c>
      <c r="BK65" s="81"/>
      <c r="BL65" s="81">
        <f>SUM(BL58:BL64)</f>
        <v>353600</v>
      </c>
      <c r="BM65" s="81"/>
      <c r="BN65" s="81">
        <f>SUM(BN58:BN64)</f>
        <v>4.641000000000001</v>
      </c>
      <c r="BO65" s="81"/>
      <c r="BP65" s="81">
        <f>SUM(BP58:BP64)</f>
        <v>353600</v>
      </c>
      <c r="BQ65" s="81"/>
      <c r="BR65" s="81">
        <f>SUM(BR58:BR64)</f>
        <v>4.641000000000001</v>
      </c>
      <c r="BS65" s="81"/>
      <c r="BT65" s="81">
        <f>SUM(BT58:BT64)</f>
        <v>353600</v>
      </c>
      <c r="BU65" s="81"/>
      <c r="BV65" s="81">
        <f>SUM(BV58:BV64)</f>
        <v>4.641000000000001</v>
      </c>
      <c r="BW65" s="81"/>
      <c r="BX65" s="81">
        <f>SUM(BX58:BX64)</f>
        <v>353600</v>
      </c>
      <c r="BY65" s="81"/>
      <c r="BZ65" s="81">
        <f>SUM(BZ58:BZ64)</f>
        <v>4.641000000000001</v>
      </c>
      <c r="CA65" s="81"/>
      <c r="CB65" s="81">
        <f>SUM(CB58:CB64)</f>
        <v>353600</v>
      </c>
      <c r="CC65" s="81"/>
      <c r="CD65" s="81">
        <f>SUM(CD58:CD64)</f>
        <v>10.44225</v>
      </c>
      <c r="CE65" s="81"/>
      <c r="CF65" s="81">
        <f>SUM(CF58:CF64)</f>
        <v>795600</v>
      </c>
      <c r="CG65" s="81"/>
      <c r="CH65" s="81">
        <f>SUM(CH58:CH64)</f>
        <v>10.44225</v>
      </c>
      <c r="CI65" s="81"/>
      <c r="CJ65" s="81">
        <f>SUM(CJ58:CJ64)</f>
        <v>795600</v>
      </c>
      <c r="CK65" s="81"/>
      <c r="CL65" s="81">
        <f>SUM(CL58:CL64)</f>
        <v>10.44225</v>
      </c>
      <c r="CM65" s="81"/>
      <c r="CN65" s="81">
        <f>SUM(CN58:CN64)</f>
        <v>795600</v>
      </c>
      <c r="CO65" s="81"/>
      <c r="CP65" s="81">
        <f>SUM(CP58:CP64)</f>
        <v>10.44225</v>
      </c>
      <c r="CQ65" s="81"/>
      <c r="CR65" s="81">
        <f>SUM(CR58:CR64)</f>
        <v>795600</v>
      </c>
      <c r="CS65" s="81"/>
      <c r="CT65" s="81">
        <f>SUM(CT58:CT64)</f>
        <v>10.44225</v>
      </c>
      <c r="CU65" s="81"/>
      <c r="CV65" s="81">
        <f>SUM(CV58:CV64)</f>
        <v>795600</v>
      </c>
      <c r="CW65" s="81"/>
      <c r="CX65" s="81">
        <f>SUM(CX58:CX64)</f>
        <v>10.44225</v>
      </c>
      <c r="CY65" s="81"/>
      <c r="CZ65" s="81">
        <f>SUM(CZ58:CZ64)</f>
        <v>795600</v>
      </c>
      <c r="DA65" s="81"/>
      <c r="DB65" s="81">
        <f>SUM(DB58:DB64)</f>
        <v>10.44225</v>
      </c>
      <c r="DC65" s="81"/>
      <c r="DD65" s="81">
        <f>SUM(DD58:DD64)</f>
        <v>795600</v>
      </c>
      <c r="DE65" s="81"/>
      <c r="DF65" s="81">
        <f>SUM(DF58:DF64)</f>
        <v>10.44225</v>
      </c>
      <c r="DG65" s="81"/>
      <c r="DH65" s="81">
        <f>SUM(DH58:DH64)</f>
        <v>795600</v>
      </c>
      <c r="DI65" s="81"/>
      <c r="DJ65" s="81">
        <f>SUM(DJ58:DJ64)</f>
        <v>10.44225</v>
      </c>
      <c r="DK65" s="81"/>
      <c r="DL65" s="81">
        <f>SUM(DL58:DL64)</f>
        <v>795600</v>
      </c>
      <c r="DM65" s="81"/>
      <c r="DN65" s="81">
        <f>SUM(DN58:DN64)</f>
        <v>10.44225</v>
      </c>
      <c r="DO65" s="81"/>
      <c r="DP65" s="81">
        <f>SUM(DP58:DP64)</f>
        <v>795600</v>
      </c>
      <c r="DQ65" s="81"/>
      <c r="DR65" s="81">
        <f>SUM(DR58:DR64)</f>
        <v>10.44225</v>
      </c>
      <c r="DS65" s="81"/>
      <c r="DT65" s="81">
        <f>SUM(DT58:DT64)</f>
        <v>795600</v>
      </c>
      <c r="DU65" s="81"/>
      <c r="DV65" s="81">
        <f>SUM(DV58:DV64)</f>
        <v>10.44225</v>
      </c>
      <c r="DW65" s="81"/>
      <c r="DX65" s="81">
        <f>SUM(DX58:DX64)</f>
        <v>795600</v>
      </c>
      <c r="DY65" s="81"/>
      <c r="DZ65" s="81">
        <f>SUM(DZ58:DZ64)</f>
        <v>57.432375</v>
      </c>
      <c r="EA65" s="81"/>
      <c r="EB65" s="81">
        <f>SUM(EB58:EB64)</f>
        <v>4375800</v>
      </c>
      <c r="EC65" s="81"/>
      <c r="ED65" s="81">
        <f>SUM(ED58:ED64)</f>
        <v>57.432375</v>
      </c>
      <c r="EE65" s="81"/>
      <c r="EF65" s="81">
        <f>SUM(EF58:EF64)</f>
        <v>4375800</v>
      </c>
      <c r="EG65" s="81"/>
      <c r="EH65" s="81">
        <f>SUM(EH58:EH64)</f>
        <v>57.432375</v>
      </c>
      <c r="EI65" s="81"/>
      <c r="EJ65" s="81">
        <f>SUM(EJ58:EJ64)</f>
        <v>4375800</v>
      </c>
      <c r="EK65" s="81"/>
      <c r="EL65" s="81">
        <f>SUM(EL58:EL64)</f>
        <v>57.432375</v>
      </c>
      <c r="EM65" s="81"/>
      <c r="EN65" s="81">
        <f>SUM(EN58:EN64)</f>
        <v>4375800</v>
      </c>
      <c r="EO65" s="81"/>
      <c r="EP65" s="81">
        <f>SUM(EP58:EP64)</f>
        <v>57.432375</v>
      </c>
      <c r="EQ65" s="81"/>
      <c r="ER65" s="81">
        <f>SUM(ER58:ER64)</f>
        <v>4375800</v>
      </c>
      <c r="ES65" s="81"/>
      <c r="ET65" s="81">
        <f>SUM(ET58:ET64)</f>
        <v>57.432375</v>
      </c>
      <c r="EU65" s="81"/>
      <c r="EV65" s="81">
        <f>SUM(EV58:EV64)</f>
        <v>4375800</v>
      </c>
      <c r="EW65" s="81"/>
      <c r="EX65" s="81">
        <f>SUM(EX58:EX64)</f>
        <v>57.432375</v>
      </c>
      <c r="EY65" s="81"/>
      <c r="EZ65" s="81">
        <f>SUM(EZ58:EZ64)</f>
        <v>4375800</v>
      </c>
      <c r="FA65" s="81"/>
      <c r="FB65" s="81">
        <f>SUM(FB58:FB64)</f>
        <v>57.432375</v>
      </c>
      <c r="FC65" s="81"/>
      <c r="FD65" s="81">
        <f>SUM(FD58:FD64)</f>
        <v>4375800</v>
      </c>
      <c r="FE65" s="81"/>
      <c r="FF65" s="81">
        <f>SUM(FF58:FF64)</f>
        <v>57.432375</v>
      </c>
      <c r="FG65" s="81"/>
      <c r="FH65" s="81">
        <f>SUM(FH58:FH64)</f>
        <v>4375800</v>
      </c>
      <c r="FI65" s="81"/>
      <c r="FJ65" s="81">
        <f>SUM(FJ58:FJ64)</f>
        <v>97.6350375</v>
      </c>
      <c r="FK65" s="81"/>
      <c r="FL65" s="81">
        <f>SUM(FL58:FL64)</f>
        <v>4375800</v>
      </c>
      <c r="FM65" s="81"/>
      <c r="FN65" s="81">
        <f>SUM(FN58:FN64)</f>
        <v>97.6350375</v>
      </c>
      <c r="FO65" s="81"/>
      <c r="FP65" s="81">
        <f>SUM(FP58:FP64)</f>
        <v>4375800</v>
      </c>
      <c r="FQ65" s="81"/>
      <c r="FR65" s="81">
        <f>SUM(FR58:FR64)</f>
        <v>97.6350375</v>
      </c>
      <c r="FS65" s="81"/>
      <c r="FT65" s="81">
        <f>SUM(FT58:FT64)</f>
        <v>4375800</v>
      </c>
      <c r="FU65" s="81"/>
      <c r="FV65" s="81">
        <f>SUM(FV58:FV64)</f>
        <v>97.6350375</v>
      </c>
      <c r="FW65" s="81"/>
      <c r="FX65" s="81">
        <f>SUM(FX58:FX64)</f>
        <v>7438860</v>
      </c>
      <c r="FY65" s="81"/>
      <c r="FZ65" s="81">
        <f>SUM(FZ58:FZ64)</f>
        <v>97.6350375</v>
      </c>
      <c r="GA65" s="81"/>
      <c r="GB65" s="81">
        <f>SUM(GB58:GB64)</f>
        <v>7438860</v>
      </c>
      <c r="GC65" s="81"/>
      <c r="GD65" s="81">
        <f>SUM(GD58:GD64)</f>
        <v>97.6350375</v>
      </c>
      <c r="GE65" s="81"/>
      <c r="GF65" s="81">
        <f>SUM(GF58:GF64)</f>
        <v>7438860</v>
      </c>
      <c r="GG65" s="81"/>
      <c r="GH65" s="81">
        <f>SUM(GH58:GH64)</f>
        <v>97.6350375</v>
      </c>
      <c r="GI65" s="81"/>
      <c r="GJ65" s="81">
        <f>SUM(GJ58:GJ64)</f>
        <v>7438860</v>
      </c>
      <c r="GK65" s="81"/>
      <c r="GL65" s="81">
        <f>SUM(GL58:GL64)</f>
        <v>97.6350375</v>
      </c>
      <c r="GM65" s="81"/>
      <c r="GN65" s="81">
        <f>SUM(GN58:GN64)</f>
        <v>7438860</v>
      </c>
      <c r="GO65" s="9"/>
      <c r="GP65" s="81">
        <f>SUM(GP58:GP64)</f>
        <v>97.6350375</v>
      </c>
      <c r="GQ65" s="81"/>
      <c r="GR65" s="81">
        <f>SUM(GR58:GR64)</f>
        <v>7438860</v>
      </c>
      <c r="GS65" s="81"/>
      <c r="GT65" s="81">
        <f>SUM(GT58:GT64)</f>
        <v>97.6350375</v>
      </c>
      <c r="GU65" s="81"/>
      <c r="GV65" s="81">
        <f>SUM(GV58:GV64)</f>
        <v>7438860</v>
      </c>
      <c r="GW65" s="81"/>
      <c r="GX65" s="81">
        <f>SUM(GX58:GX64)</f>
        <v>97.6350375</v>
      </c>
      <c r="GY65" s="81"/>
      <c r="GZ65" s="81">
        <f>SUM(GZ58:GZ64)</f>
        <v>7438860</v>
      </c>
      <c r="HA65" s="81"/>
      <c r="HB65" s="81">
        <f>SUM(HB58:HB64)</f>
        <v>97.6350375</v>
      </c>
      <c r="HC65" s="81"/>
      <c r="HD65" s="81">
        <f>SUM(HD58:HD64)</f>
        <v>7438860</v>
      </c>
      <c r="HE65" s="81"/>
      <c r="HF65" s="81">
        <f>SUM(HF58:HF64)</f>
        <v>146.45255625000001</v>
      </c>
      <c r="HG65" s="81"/>
      <c r="HH65" s="81">
        <f>SUM(HH58:HH64)</f>
        <v>7438860</v>
      </c>
      <c r="HI65" s="81"/>
      <c r="HJ65" s="81">
        <f>SUM(HJ58:HJ64)</f>
        <v>146.45255625000001</v>
      </c>
      <c r="HK65" s="81"/>
      <c r="HL65" s="81">
        <f>SUM(HL58:HL64)</f>
        <v>7438860</v>
      </c>
      <c r="HM65" s="81"/>
      <c r="HN65" s="81">
        <f>SUM(HN58:HN64)</f>
        <v>146.45255625000001</v>
      </c>
      <c r="HO65" s="81"/>
      <c r="HP65" s="81">
        <f>SUM(HP58:HP64)</f>
        <v>7438860</v>
      </c>
      <c r="HQ65" s="81"/>
      <c r="HR65" s="81">
        <f>SUM(HR58:HR64)</f>
        <v>146.45255625000001</v>
      </c>
      <c r="HS65" s="81"/>
      <c r="HT65" s="81">
        <f>SUM(HT58:HT64)</f>
        <v>11158290</v>
      </c>
      <c r="HU65" s="81"/>
      <c r="HV65" s="81">
        <f>SUM(HV58:HV64)</f>
        <v>146.45255625000001</v>
      </c>
      <c r="HW65" s="81"/>
      <c r="HX65" s="81">
        <f>SUM(HX58:HX64)</f>
        <v>11158290</v>
      </c>
      <c r="HY65" s="81"/>
      <c r="HZ65" s="81">
        <f>SUM(HZ58:HZ64)</f>
        <v>146.45255625000001</v>
      </c>
      <c r="IA65" s="81"/>
      <c r="IB65" s="81">
        <f>SUM(IB58:IB64)</f>
        <v>11158290</v>
      </c>
      <c r="IC65" s="81"/>
      <c r="ID65" s="81">
        <f>SUM(ID58:ID64)</f>
        <v>146.45255625000001</v>
      </c>
      <c r="IE65" s="81"/>
      <c r="IF65" s="81">
        <f>SUM(IF58:IF64)</f>
        <v>11158290</v>
      </c>
      <c r="IG65" s="81"/>
      <c r="IH65" s="81">
        <f>SUM(IH58:IH64)</f>
        <v>146.45255625000001</v>
      </c>
      <c r="II65" s="81"/>
      <c r="IJ65" s="81">
        <f>SUM(IJ58:IJ64)</f>
        <v>11158290</v>
      </c>
      <c r="IK65" s="9"/>
      <c r="IL65" s="81">
        <f>SUM(IL58:IL64)</f>
        <v>146.45255625000001</v>
      </c>
      <c r="IM65" s="81"/>
      <c r="IN65" s="81">
        <f>SUM(IN58:IN64)</f>
        <v>11158290</v>
      </c>
      <c r="IO65" s="81"/>
      <c r="IP65" s="81">
        <f>SUM(IP58:IP64)</f>
        <v>146.45255625000001</v>
      </c>
      <c r="IQ65" s="81"/>
      <c r="IR65" s="81">
        <f>SUM(IR58:IR64)</f>
        <v>11158290</v>
      </c>
      <c r="IS65" s="81"/>
      <c r="IT65" s="81">
        <f>SUM(IT58:IT64)</f>
        <v>146.45255625000001</v>
      </c>
      <c r="IU65" s="81"/>
      <c r="IV65" s="81">
        <f>SUM(IV58:IV64)</f>
        <v>11158290</v>
      </c>
      <c r="IW65" s="81"/>
      <c r="IX65" s="81">
        <f>SUM(IX58:IX64)</f>
        <v>146.45255625000001</v>
      </c>
      <c r="IY65" s="81"/>
      <c r="IZ65" s="81">
        <f>SUM(IZ58:IZ64)</f>
        <v>11158290</v>
      </c>
      <c r="JA65" s="81"/>
      <c r="JB65" s="81" t="e">
        <f>SUM(JB58:JB64)</f>
        <v>#REF!</v>
      </c>
      <c r="JC65" s="81"/>
      <c r="JD65" s="81">
        <f>SUM(JD58:JD64)</f>
        <v>11158290</v>
      </c>
      <c r="JE65" s="81"/>
      <c r="JF65" s="81" t="e">
        <f>SUM(JF58:JF64)</f>
        <v>#REF!</v>
      </c>
      <c r="JG65" s="81"/>
      <c r="JH65" s="81">
        <f>SUM(JH58:JH64)</f>
        <v>11158290</v>
      </c>
      <c r="JI65" s="81"/>
      <c r="JJ65" s="81" t="e">
        <f>SUM(JJ58:JJ64)</f>
        <v>#REF!</v>
      </c>
      <c r="JK65" s="81"/>
      <c r="JL65" s="81">
        <f>SUM(JL58:JL64)</f>
        <v>11158290</v>
      </c>
      <c r="JM65" s="81"/>
      <c r="JN65" s="9"/>
      <c r="JO65" s="81"/>
      <c r="JP65" s="81"/>
      <c r="JQ65" s="80">
        <f t="shared" si="933"/>
        <v>3320533.3333333335</v>
      </c>
      <c r="JS65" s="81"/>
      <c r="JT65" s="81"/>
      <c r="JU65" s="80">
        <f t="shared" si="934"/>
        <v>3536000</v>
      </c>
      <c r="JW65" s="81"/>
      <c r="JX65" s="81"/>
      <c r="JY65" s="80">
        <f t="shared" si="935"/>
        <v>9547200</v>
      </c>
      <c r="KA65" s="81"/>
      <c r="KB65" s="81"/>
      <c r="KC65" s="80">
        <f t="shared" si="936"/>
        <v>52509600</v>
      </c>
      <c r="KE65" s="81"/>
      <c r="KF65" s="81"/>
      <c r="KG65" s="80">
        <f t="shared" si="937"/>
        <v>89266320</v>
      </c>
      <c r="KI65" s="81"/>
      <c r="KJ65" s="81"/>
      <c r="KK65" s="80">
        <f t="shared" si="938"/>
        <v>133899480</v>
      </c>
      <c r="KM65" s="81"/>
      <c r="KN65" s="81"/>
      <c r="KO65" s="80">
        <f t="shared" si="939"/>
        <v>133899480</v>
      </c>
    </row>
    <row r="66" ht="9.75" customHeight="1" spans="2:301" x14ac:dyDescent="0.25">
      <c r="B66" s="9"/>
      <c r="C66" s="28"/>
      <c r="D66" s="30"/>
      <c r="E66" s="30"/>
      <c r="F66" s="54"/>
      <c r="G66" s="54"/>
      <c r="H66" s="54"/>
      <c r="I66" s="54"/>
      <c r="J66" s="54"/>
      <c r="K66" s="54"/>
      <c r="L66" s="54"/>
      <c r="M66" s="54"/>
      <c r="N66" s="54"/>
      <c r="O66" s="54"/>
      <c r="P66" s="54"/>
      <c r="Q66" s="54"/>
      <c r="R66" s="54"/>
      <c r="S66" s="54"/>
      <c r="T66" s="54"/>
      <c r="U66" s="54"/>
      <c r="V66" s="54"/>
      <c r="W66" s="54"/>
      <c r="X66" s="54"/>
      <c r="Y66" s="54"/>
      <c r="Z66" s="54"/>
      <c r="AA66" s="54"/>
      <c r="AB66" s="54"/>
      <c r="AC66" s="54"/>
      <c r="AD66" s="54"/>
      <c r="AE66" s="54"/>
      <c r="AF66" s="54"/>
      <c r="AG66" s="54"/>
      <c r="AH66" s="54"/>
      <c r="AI66" s="54"/>
      <c r="AJ66" s="54"/>
      <c r="AK66" s="54"/>
      <c r="AL66" s="54"/>
      <c r="AM66" s="54"/>
      <c r="AN66" s="54"/>
      <c r="AO66" s="54"/>
      <c r="AP66" s="54"/>
      <c r="AQ66" s="54"/>
      <c r="AR66" s="54"/>
      <c r="AS66" s="54"/>
      <c r="AT66" s="54"/>
      <c r="AU66" s="54"/>
      <c r="AV66" s="54"/>
      <c r="AW66" s="54"/>
      <c r="AX66" s="54"/>
      <c r="AY66" s="54"/>
      <c r="AZ66" s="54"/>
      <c r="BA66" s="54"/>
      <c r="BB66" s="54"/>
      <c r="BC66" s="54"/>
      <c r="BD66" s="54"/>
      <c r="BE66" s="54"/>
      <c r="BF66" s="54"/>
      <c r="BG66" s="54"/>
      <c r="BH66" s="54"/>
      <c r="BI66" s="54"/>
      <c r="BJ66" s="54"/>
      <c r="BK66" s="54"/>
      <c r="BL66" s="54"/>
      <c r="BM66" s="54"/>
      <c r="BN66" s="54"/>
      <c r="BO66" s="54"/>
      <c r="BP66" s="54"/>
      <c r="BQ66" s="54"/>
      <c r="BR66" s="54"/>
      <c r="BS66" s="54"/>
      <c r="BT66" s="54"/>
      <c r="BU66" s="54"/>
      <c r="BV66" s="54"/>
      <c r="BW66" s="54"/>
      <c r="BX66" s="54"/>
      <c r="BY66" s="54"/>
      <c r="BZ66" s="54"/>
      <c r="CA66" s="54"/>
      <c r="CB66" s="54"/>
      <c r="CC66" s="54"/>
      <c r="CD66" s="54"/>
      <c r="CE66" s="54"/>
      <c r="CF66" s="54"/>
      <c r="CG66" s="54"/>
      <c r="CH66" s="54"/>
      <c r="CI66" s="54"/>
      <c r="CJ66" s="54"/>
      <c r="CK66" s="54"/>
      <c r="CL66" s="54"/>
      <c r="CM66" s="54"/>
      <c r="CN66" s="54"/>
      <c r="CO66" s="54"/>
      <c r="CP66" s="54"/>
      <c r="CQ66" s="54"/>
      <c r="CR66" s="54"/>
      <c r="CS66" s="54"/>
      <c r="CT66" s="54"/>
      <c r="CU66" s="54"/>
      <c r="CV66" s="54"/>
      <c r="CW66" s="54"/>
      <c r="CX66" s="54"/>
      <c r="CY66" s="54"/>
      <c r="CZ66" s="54"/>
      <c r="DA66" s="54"/>
      <c r="DB66" s="54"/>
      <c r="DC66" s="54"/>
      <c r="DD66" s="54"/>
      <c r="DE66" s="54"/>
      <c r="DF66" s="54"/>
      <c r="DG66" s="54"/>
      <c r="DH66" s="54"/>
      <c r="DI66" s="54"/>
      <c r="DJ66" s="54"/>
      <c r="DK66" s="54"/>
      <c r="DL66" s="54"/>
      <c r="DM66" s="54"/>
      <c r="DN66" s="54"/>
      <c r="DO66" s="54"/>
      <c r="DP66" s="54"/>
      <c r="DQ66" s="54"/>
      <c r="DR66" s="54"/>
      <c r="DS66" s="54"/>
      <c r="DT66" s="54"/>
      <c r="DU66" s="54"/>
      <c r="DV66" s="54"/>
      <c r="DW66" s="54"/>
      <c r="DX66" s="54"/>
      <c r="DY66" s="54"/>
      <c r="DZ66" s="54"/>
      <c r="EA66" s="54"/>
      <c r="EB66" s="54"/>
      <c r="EC66" s="54"/>
      <c r="ED66" s="54"/>
      <c r="EE66" s="54"/>
      <c r="EF66" s="54"/>
      <c r="EG66" s="54"/>
      <c r="EH66" s="54"/>
      <c r="EI66" s="54"/>
      <c r="EJ66" s="54"/>
      <c r="EK66" s="54"/>
      <c r="EL66" s="54"/>
      <c r="EM66" s="54"/>
      <c r="EN66" s="54"/>
      <c r="EO66" s="54"/>
      <c r="EP66" s="54"/>
      <c r="EQ66" s="54"/>
      <c r="ER66" s="54"/>
      <c r="ES66" s="54"/>
      <c r="ET66" s="54"/>
      <c r="EU66" s="54"/>
      <c r="EV66" s="54"/>
      <c r="EW66" s="54"/>
      <c r="EX66" s="54"/>
      <c r="EY66" s="54"/>
      <c r="EZ66" s="54"/>
      <c r="FA66" s="54"/>
      <c r="FB66" s="54"/>
      <c r="FC66" s="54"/>
      <c r="FD66" s="54"/>
      <c r="FE66" s="54"/>
      <c r="FF66" s="54"/>
      <c r="FG66" s="54"/>
      <c r="FH66" s="54"/>
      <c r="FI66" s="54"/>
      <c r="FJ66" s="54"/>
      <c r="FK66" s="54"/>
      <c r="FL66" s="54"/>
      <c r="FM66" s="54"/>
      <c r="FN66" s="54"/>
      <c r="FO66" s="54"/>
      <c r="FP66" s="54"/>
      <c r="FQ66" s="54"/>
      <c r="FR66" s="54"/>
      <c r="FS66" s="54"/>
      <c r="FT66" s="54"/>
      <c r="FU66" s="54"/>
      <c r="FV66" s="54"/>
      <c r="FW66" s="54"/>
      <c r="FX66" s="54"/>
      <c r="FY66" s="54"/>
      <c r="FZ66" s="54"/>
      <c r="GA66" s="54"/>
      <c r="GB66" s="54"/>
      <c r="GC66" s="54"/>
      <c r="GD66" s="54"/>
      <c r="GE66" s="54"/>
      <c r="GF66" s="54"/>
      <c r="GG66" s="54"/>
      <c r="GH66" s="54"/>
      <c r="GI66" s="54"/>
      <c r="GJ66" s="54"/>
      <c r="GK66" s="54"/>
      <c r="GL66" s="54"/>
      <c r="GM66" s="54"/>
      <c r="GN66" s="54"/>
      <c r="GP66" s="54"/>
      <c r="GQ66" s="54"/>
      <c r="GR66" s="54"/>
      <c r="GS66" s="54"/>
      <c r="GT66" s="54"/>
      <c r="GU66" s="54"/>
      <c r="GV66" s="54"/>
      <c r="GW66" s="54"/>
      <c r="GX66" s="54"/>
      <c r="GY66" s="54"/>
      <c r="GZ66" s="54"/>
      <c r="HA66" s="54"/>
      <c r="HB66" s="54"/>
      <c r="HC66" s="54"/>
      <c r="HD66" s="54"/>
      <c r="HE66" s="54"/>
      <c r="HF66" s="54"/>
      <c r="HG66" s="54"/>
      <c r="HH66" s="54"/>
      <c r="HI66" s="54"/>
      <c r="HJ66" s="54"/>
      <c r="HK66" s="54"/>
      <c r="HL66" s="54"/>
      <c r="HM66" s="54"/>
      <c r="HN66" s="54"/>
      <c r="HO66" s="54"/>
      <c r="HP66" s="54"/>
      <c r="HQ66" s="54"/>
      <c r="HR66" s="54"/>
      <c r="HS66" s="54"/>
      <c r="HT66" s="54"/>
      <c r="HU66" s="54"/>
      <c r="HV66" s="54"/>
      <c r="HW66" s="54"/>
      <c r="HX66" s="54"/>
      <c r="HY66" s="54"/>
      <c r="HZ66" s="54"/>
      <c r="IA66" s="54"/>
      <c r="IB66" s="54"/>
      <c r="IC66" s="54"/>
      <c r="ID66" s="54"/>
      <c r="IE66" s="54"/>
      <c r="IF66" s="54"/>
      <c r="IG66" s="54"/>
      <c r="IH66" s="54"/>
      <c r="II66" s="54"/>
      <c r="IJ66" s="54"/>
      <c r="IL66" s="54"/>
      <c r="IM66" s="54"/>
      <c r="IN66" s="54"/>
      <c r="IO66" s="54"/>
      <c r="IP66" s="54"/>
      <c r="IQ66" s="54"/>
      <c r="IR66" s="54"/>
      <c r="IS66" s="54"/>
      <c r="IT66" s="54"/>
      <c r="IU66" s="54"/>
      <c r="IV66" s="54"/>
      <c r="IW66" s="54"/>
      <c r="IX66" s="54"/>
      <c r="IY66" s="54"/>
      <c r="IZ66" s="54"/>
      <c r="JA66" s="54"/>
      <c r="JB66" s="54"/>
      <c r="JC66" s="54"/>
      <c r="JD66" s="54"/>
      <c r="JE66" s="54"/>
      <c r="JF66" s="54"/>
      <c r="JG66" s="54"/>
      <c r="JH66" s="54"/>
      <c r="JI66" s="54"/>
      <c r="JJ66" s="54"/>
      <c r="JK66" s="54"/>
      <c r="JL66" s="54"/>
      <c r="JM66" s="54"/>
      <c r="JO66" s="54"/>
      <c r="JP66" s="54"/>
      <c r="JQ66" s="54"/>
      <c r="JS66" s="54"/>
      <c r="JT66" s="54"/>
      <c r="JU66" s="54"/>
      <c r="JW66" s="54"/>
      <c r="JX66" s="54"/>
      <c r="JY66" s="54"/>
      <c r="KA66" s="54"/>
      <c r="KB66" s="54"/>
      <c r="KC66" s="54"/>
      <c r="KE66" s="54"/>
      <c r="KF66" s="54"/>
      <c r="KG66" s="54"/>
      <c r="KI66" s="54"/>
      <c r="KJ66" s="54"/>
      <c r="KK66" s="54"/>
      <c r="KM66" s="54"/>
      <c r="KN66" s="54"/>
      <c r="KO66" s="54"/>
    </row>
    <row r="67" ht="12" customHeight="1" spans="2:301" s="101" customFormat="1" x14ac:dyDescent="0.25">
      <c r="B67" s="102"/>
      <c r="J67" s="78">
        <f>A.IIOPEX!K69+100%</f>
        <v>1</v>
      </c>
      <c r="K67" s="78">
        <f>$K$8</f>
        <v>1</v>
      </c>
      <c r="L67" s="78">
        <f>A.IIOPEX!K69+100%</f>
        <v>1</v>
      </c>
      <c r="M67" s="103"/>
      <c r="N67" s="78">
        <v>1</v>
      </c>
      <c r="O67" s="78">
        <v>1</v>
      </c>
      <c r="P67" s="78">
        <v>1</v>
      </c>
      <c r="Q67" s="103"/>
      <c r="R67" s="78">
        <f>N67</f>
        <v>1</v>
      </c>
      <c r="S67" s="78">
        <v>1</v>
      </c>
      <c r="T67" s="78">
        <f>P67</f>
        <v>1</v>
      </c>
      <c r="U67" s="103"/>
      <c r="V67" s="78">
        <f>R67</f>
        <v>1</v>
      </c>
      <c r="W67" s="78">
        <v>1</v>
      </c>
      <c r="X67" s="78">
        <f>T67</f>
        <v>1</v>
      </c>
      <c r="Y67" s="103"/>
      <c r="Z67" s="78">
        <v>1</v>
      </c>
      <c r="AA67" s="78">
        <v>1</v>
      </c>
      <c r="AB67" s="78">
        <f>X67</f>
        <v>1</v>
      </c>
      <c r="AC67" s="103"/>
      <c r="AD67" s="78">
        <f>Z67</f>
        <v>1</v>
      </c>
      <c r="AE67" s="78">
        <v>1</v>
      </c>
      <c r="AF67" s="78">
        <f>AB67</f>
        <v>1</v>
      </c>
      <c r="AG67" s="103"/>
      <c r="AH67" s="78">
        <f>A.IIOPEX!M69+100%</f>
        <v>1</v>
      </c>
      <c r="AI67" s="78">
        <v>1</v>
      </c>
      <c r="AJ67" s="78">
        <f>A.IIOPEX!M69+100%</f>
        <v>1</v>
      </c>
      <c r="AK67" s="103"/>
      <c r="AL67" s="78">
        <v>1</v>
      </c>
      <c r="AM67" s="78">
        <v>1</v>
      </c>
      <c r="AN67" s="78">
        <v>1</v>
      </c>
      <c r="AO67" s="103"/>
      <c r="AP67" s="78">
        <f>AL67</f>
        <v>1</v>
      </c>
      <c r="AQ67" s="78">
        <v>1</v>
      </c>
      <c r="AR67" s="78">
        <f>AN67</f>
        <v>1</v>
      </c>
      <c r="AS67" s="103"/>
      <c r="AT67" s="78">
        <f>AP67</f>
        <v>1</v>
      </c>
      <c r="AU67" s="78">
        <v>1</v>
      </c>
      <c r="AV67" s="78">
        <f>AR67</f>
        <v>1</v>
      </c>
      <c r="AW67" s="103"/>
      <c r="AX67" s="78">
        <f>AT67</f>
        <v>1</v>
      </c>
      <c r="AY67" s="78">
        <v>1</v>
      </c>
      <c r="AZ67" s="78">
        <f>AV67</f>
        <v>1</v>
      </c>
      <c r="BA67" s="103"/>
      <c r="BB67" s="78">
        <f>AX67</f>
        <v>1</v>
      </c>
      <c r="BC67" s="78">
        <v>1</v>
      </c>
      <c r="BD67" s="78">
        <f>AZ67</f>
        <v>1</v>
      </c>
      <c r="BE67" s="103"/>
      <c r="BF67" s="78">
        <f>BB67</f>
        <v>1</v>
      </c>
      <c r="BG67" s="78">
        <v>1</v>
      </c>
      <c r="BH67" s="78">
        <f>BD67</f>
        <v>1</v>
      </c>
      <c r="BI67" s="103"/>
      <c r="BJ67" s="78">
        <f>BF67</f>
        <v>1</v>
      </c>
      <c r="BK67" s="78">
        <v>1</v>
      </c>
      <c r="BL67" s="78">
        <f>BH67</f>
        <v>1</v>
      </c>
      <c r="BM67" s="103"/>
      <c r="BN67" s="79">
        <f>BJ67</f>
        <v>1</v>
      </c>
      <c r="BO67" s="79">
        <v>1</v>
      </c>
      <c r="BP67" s="78">
        <f>BL67</f>
        <v>1</v>
      </c>
      <c r="BQ67" s="103"/>
      <c r="BR67" s="78">
        <f>BN67</f>
        <v>1</v>
      </c>
      <c r="BS67" s="78">
        <v>1</v>
      </c>
      <c r="BT67" s="78">
        <f>BP67</f>
        <v>1</v>
      </c>
      <c r="BU67" s="103"/>
      <c r="BV67" s="78">
        <v>1</v>
      </c>
      <c r="BW67" s="78">
        <v>1</v>
      </c>
      <c r="BX67" s="78">
        <f>BT67</f>
        <v>1</v>
      </c>
      <c r="BY67" s="103"/>
      <c r="BZ67" s="78">
        <f>BV67</f>
        <v>1</v>
      </c>
      <c r="CA67" s="78">
        <v>1</v>
      </c>
      <c r="CB67" s="78">
        <f>BX67</f>
        <v>1</v>
      </c>
      <c r="CC67" s="103"/>
      <c r="CD67" s="78">
        <f>A.IIOPEX!O69+100%</f>
        <v>1</v>
      </c>
      <c r="CE67" s="78">
        <v>1</v>
      </c>
      <c r="CF67" s="78">
        <f>A.IIOPEX!O69+100%</f>
        <v>1</v>
      </c>
      <c r="CG67" s="103"/>
      <c r="CH67" s="78">
        <v>1</v>
      </c>
      <c r="CI67" s="78">
        <v>1</v>
      </c>
      <c r="CJ67" s="78">
        <v>1</v>
      </c>
      <c r="CK67" s="103"/>
      <c r="CL67" s="78">
        <f>CH67</f>
        <v>1</v>
      </c>
      <c r="CM67" s="78">
        <v>1</v>
      </c>
      <c r="CN67" s="78">
        <f>CJ67</f>
        <v>1</v>
      </c>
      <c r="CO67" s="103"/>
      <c r="CP67" s="78">
        <f>CL67</f>
        <v>1</v>
      </c>
      <c r="CQ67" s="78">
        <v>1</v>
      </c>
      <c r="CR67" s="78">
        <f>CN67</f>
        <v>1</v>
      </c>
      <c r="CS67" s="103"/>
      <c r="CT67" s="78">
        <f>CP67</f>
        <v>1</v>
      </c>
      <c r="CU67" s="78">
        <v>1</v>
      </c>
      <c r="CV67" s="78">
        <f>CR67</f>
        <v>1</v>
      </c>
      <c r="CW67" s="103"/>
      <c r="CX67" s="78">
        <f>CT67</f>
        <v>1</v>
      </c>
      <c r="CY67" s="78">
        <v>1</v>
      </c>
      <c r="CZ67" s="78">
        <f>CV67</f>
        <v>1</v>
      </c>
      <c r="DA67" s="103"/>
      <c r="DB67" s="78">
        <f>CX67</f>
        <v>1</v>
      </c>
      <c r="DC67" s="78">
        <v>1</v>
      </c>
      <c r="DD67" s="78">
        <f>CZ67</f>
        <v>1</v>
      </c>
      <c r="DE67" s="103"/>
      <c r="DF67" s="78">
        <f>DB67</f>
        <v>1</v>
      </c>
      <c r="DG67" s="78">
        <v>1</v>
      </c>
      <c r="DH67" s="78">
        <f>DD67</f>
        <v>1</v>
      </c>
      <c r="DI67" s="103"/>
      <c r="DJ67" s="79">
        <f>DF67</f>
        <v>1</v>
      </c>
      <c r="DK67" s="79">
        <v>1</v>
      </c>
      <c r="DL67" s="78">
        <f>DH67</f>
        <v>1</v>
      </c>
      <c r="DM67" s="103"/>
      <c r="DN67" s="78">
        <f>DJ67</f>
        <v>1</v>
      </c>
      <c r="DO67" s="78">
        <v>1</v>
      </c>
      <c r="DP67" s="78">
        <f>DL67</f>
        <v>1</v>
      </c>
      <c r="DQ67" s="103"/>
      <c r="DR67" s="78">
        <v>1</v>
      </c>
      <c r="DS67" s="78">
        <v>1</v>
      </c>
      <c r="DT67" s="78">
        <f>DP67</f>
        <v>1</v>
      </c>
      <c r="DU67" s="103"/>
      <c r="DV67" s="78">
        <f>DR67</f>
        <v>1</v>
      </c>
      <c r="DW67" s="78">
        <v>1</v>
      </c>
      <c r="DX67" s="78">
        <f>DT67</f>
        <v>1</v>
      </c>
      <c r="DY67" s="103"/>
      <c r="DZ67" s="78">
        <f>A.IIOPEX!Q69+100%</f>
        <v>1</v>
      </c>
      <c r="EA67" s="78">
        <v>1</v>
      </c>
      <c r="EB67" s="78">
        <f>A.IIOPEX!Q69+100%</f>
        <v>1</v>
      </c>
      <c r="EC67" s="103"/>
      <c r="ED67" s="78">
        <v>1</v>
      </c>
      <c r="EE67" s="78">
        <v>1</v>
      </c>
      <c r="EF67" s="78">
        <v>1</v>
      </c>
      <c r="EG67" s="103"/>
      <c r="EH67" s="78">
        <f>ED67</f>
        <v>1</v>
      </c>
      <c r="EI67" s="78">
        <v>1</v>
      </c>
      <c r="EJ67" s="78">
        <f>EF67</f>
        <v>1</v>
      </c>
      <c r="EK67" s="103"/>
      <c r="EL67" s="78">
        <f>EH67</f>
        <v>1</v>
      </c>
      <c r="EM67" s="78">
        <v>1</v>
      </c>
      <c r="EN67" s="78">
        <f>EJ67</f>
        <v>1</v>
      </c>
      <c r="EO67" s="103"/>
      <c r="EP67" s="78">
        <f>EL67</f>
        <v>1</v>
      </c>
      <c r="EQ67" s="78">
        <v>1</v>
      </c>
      <c r="ER67" s="78">
        <f>EN67</f>
        <v>1</v>
      </c>
      <c r="ES67" s="103"/>
      <c r="ET67" s="78">
        <f>EP67</f>
        <v>1</v>
      </c>
      <c r="EU67" s="78">
        <v>1</v>
      </c>
      <c r="EV67" s="78">
        <f>ER67</f>
        <v>1</v>
      </c>
      <c r="EW67" s="103"/>
      <c r="EX67" s="78">
        <f>ET67</f>
        <v>1</v>
      </c>
      <c r="EY67" s="78">
        <v>1</v>
      </c>
      <c r="EZ67" s="78">
        <f>EV67</f>
        <v>1</v>
      </c>
      <c r="FA67" s="103"/>
      <c r="FB67" s="78">
        <f>EX67</f>
        <v>1</v>
      </c>
      <c r="FC67" s="78">
        <v>1</v>
      </c>
      <c r="FD67" s="78">
        <f>EZ67</f>
        <v>1</v>
      </c>
      <c r="FE67" s="103"/>
      <c r="FF67" s="79">
        <f>FB67</f>
        <v>1</v>
      </c>
      <c r="FG67" s="79">
        <v>1</v>
      </c>
      <c r="FH67" s="78">
        <f>FD67</f>
        <v>1</v>
      </c>
      <c r="FI67" s="103"/>
      <c r="FJ67" s="78">
        <f>A.IIOPEX!S69+100%</f>
        <v>1</v>
      </c>
      <c r="FK67" s="78">
        <v>1</v>
      </c>
      <c r="FL67" s="78">
        <f>FH67</f>
        <v>1</v>
      </c>
      <c r="FM67" s="103"/>
      <c r="FN67" s="78">
        <v>1</v>
      </c>
      <c r="FO67" s="78">
        <v>1</v>
      </c>
      <c r="FP67" s="78">
        <f>FL67</f>
        <v>1</v>
      </c>
      <c r="FQ67" s="103"/>
      <c r="FR67" s="78">
        <f>FN67</f>
        <v>1</v>
      </c>
      <c r="FS67" s="78">
        <v>1</v>
      </c>
      <c r="FT67" s="78">
        <f>FP67</f>
        <v>1</v>
      </c>
      <c r="FU67" s="103"/>
      <c r="FV67" s="78">
        <f>FR67</f>
        <v>1</v>
      </c>
      <c r="FW67" s="78">
        <v>1</v>
      </c>
      <c r="FX67" s="78">
        <f>A.IIOPEX!S69+100%</f>
        <v>1</v>
      </c>
      <c r="FY67" s="103"/>
      <c r="FZ67" s="78">
        <f>FV67</f>
        <v>1</v>
      </c>
      <c r="GA67" s="78">
        <v>1</v>
      </c>
      <c r="GB67" s="78">
        <v>1</v>
      </c>
      <c r="GC67" s="103"/>
      <c r="GD67" s="78">
        <f>FZ67</f>
        <v>1</v>
      </c>
      <c r="GE67" s="78">
        <v>1</v>
      </c>
      <c r="GF67" s="78">
        <f>GB67</f>
        <v>1</v>
      </c>
      <c r="GG67" s="103"/>
      <c r="GH67" s="78">
        <f>GD67</f>
        <v>1</v>
      </c>
      <c r="GI67" s="78">
        <v>1</v>
      </c>
      <c r="GJ67" s="78">
        <f>GF67</f>
        <v>1</v>
      </c>
      <c r="GK67" s="103"/>
      <c r="GL67" s="78">
        <f>GH67</f>
        <v>1</v>
      </c>
      <c r="GM67" s="78">
        <v>1</v>
      </c>
      <c r="GN67" s="78">
        <f>GJ67</f>
        <v>1</v>
      </c>
      <c r="GO67" s="103"/>
      <c r="GP67" s="78">
        <f>GL67</f>
        <v>1</v>
      </c>
      <c r="GQ67" s="78">
        <v>1</v>
      </c>
      <c r="GR67" s="78">
        <f>GN67</f>
        <v>1</v>
      </c>
      <c r="GS67" s="103"/>
      <c r="GT67" s="78">
        <f>GP67</f>
        <v>1</v>
      </c>
      <c r="GU67" s="78">
        <v>1</v>
      </c>
      <c r="GV67" s="78">
        <f>GR67</f>
        <v>1</v>
      </c>
      <c r="GW67" s="103"/>
      <c r="GX67" s="78">
        <f>GT67</f>
        <v>1</v>
      </c>
      <c r="GY67" s="78">
        <v>1</v>
      </c>
      <c r="GZ67" s="78">
        <f>GV67</f>
        <v>1</v>
      </c>
      <c r="HA67" s="103"/>
      <c r="HB67" s="79">
        <f>GX67</f>
        <v>1</v>
      </c>
      <c r="HC67" s="79">
        <v>1</v>
      </c>
      <c r="HD67" s="78">
        <f>GZ67</f>
        <v>1</v>
      </c>
      <c r="HE67" s="103"/>
      <c r="HF67" s="78">
        <f>A.IIOPEX!U69+100%</f>
        <v>1</v>
      </c>
      <c r="HG67" s="78">
        <v>1</v>
      </c>
      <c r="HH67" s="78">
        <f>HD67</f>
        <v>1</v>
      </c>
      <c r="HI67" s="103"/>
      <c r="HJ67" s="78">
        <v>1</v>
      </c>
      <c r="HK67" s="78">
        <v>1</v>
      </c>
      <c r="HL67" s="78">
        <f>HH67</f>
        <v>1</v>
      </c>
      <c r="HM67" s="103"/>
      <c r="HN67" s="78">
        <f>HJ67</f>
        <v>1</v>
      </c>
      <c r="HO67" s="78">
        <v>1</v>
      </c>
      <c r="HP67" s="78">
        <f>HL67</f>
        <v>1</v>
      </c>
      <c r="HQ67" s="103"/>
      <c r="HR67" s="78">
        <f>HN67</f>
        <v>1</v>
      </c>
      <c r="HS67" s="78">
        <v>1</v>
      </c>
      <c r="HT67" s="78">
        <f>A.IIOPEX!U69+100%</f>
        <v>1</v>
      </c>
      <c r="HU67" s="103"/>
      <c r="HV67" s="78">
        <f>HR67</f>
        <v>1</v>
      </c>
      <c r="HW67" s="78">
        <v>1</v>
      </c>
      <c r="HX67" s="78">
        <v>1</v>
      </c>
      <c r="HY67" s="103"/>
      <c r="HZ67" s="78">
        <f>HV67</f>
        <v>1</v>
      </c>
      <c r="IA67" s="78">
        <v>1</v>
      </c>
      <c r="IB67" s="78">
        <f>HX67</f>
        <v>1</v>
      </c>
      <c r="IC67" s="103"/>
      <c r="ID67" s="78">
        <f>HZ67</f>
        <v>1</v>
      </c>
      <c r="IE67" s="78">
        <v>1</v>
      </c>
      <c r="IF67" s="78">
        <f>IB67</f>
        <v>1</v>
      </c>
      <c r="IG67" s="103"/>
      <c r="IH67" s="78">
        <f>ID67</f>
        <v>1</v>
      </c>
      <c r="II67" s="78">
        <v>1</v>
      </c>
      <c r="IJ67" s="78">
        <f>IF67</f>
        <v>1</v>
      </c>
      <c r="IK67" s="103"/>
      <c r="IL67" s="78">
        <f>IH67</f>
        <v>1</v>
      </c>
      <c r="IM67" s="78">
        <v>1</v>
      </c>
      <c r="IN67" s="78">
        <f>IJ67</f>
        <v>1</v>
      </c>
      <c r="IO67" s="103"/>
      <c r="IP67" s="78">
        <f>IL67</f>
        <v>1</v>
      </c>
      <c r="IQ67" s="78">
        <v>1</v>
      </c>
      <c r="IR67" s="78">
        <f>IN67</f>
        <v>1</v>
      </c>
      <c r="IS67" s="103"/>
      <c r="IT67" s="78">
        <f>IP67</f>
        <v>1</v>
      </c>
      <c r="IU67" s="78">
        <v>1</v>
      </c>
      <c r="IV67" s="78">
        <f>IR67</f>
        <v>1</v>
      </c>
      <c r="IW67" s="103"/>
      <c r="IX67" s="79">
        <f>IT67</f>
        <v>1</v>
      </c>
      <c r="IY67" s="79">
        <v>1</v>
      </c>
      <c r="IZ67" s="78">
        <f>IV67</f>
        <v>1</v>
      </c>
      <c r="JA67" s="103"/>
      <c r="JB67" s="78" t="e">
        <f>A.IIOPEX!#REF!+100%</f>
        <v>#REF!</v>
      </c>
      <c r="JC67" s="78">
        <v>1</v>
      </c>
      <c r="JD67" s="78">
        <f>IZ67</f>
        <v>1</v>
      </c>
      <c r="JE67" s="103"/>
      <c r="JF67" s="78" t="e">
        <f>JB67</f>
        <v>#REF!</v>
      </c>
      <c r="JG67" s="78">
        <v>1</v>
      </c>
      <c r="JH67" s="78">
        <f>JD67</f>
        <v>1</v>
      </c>
      <c r="JI67" s="103"/>
      <c r="JJ67" s="79" t="e">
        <f>JF67</f>
        <v>#REF!</v>
      </c>
      <c r="JK67" s="79">
        <v>1</v>
      </c>
      <c r="JL67" s="78">
        <f>JH67</f>
        <v>1</v>
      </c>
      <c r="JM67" s="103"/>
      <c r="JO67" s="78">
        <f>'A.I Revenue Streams - P2'!DU57+100%</f>
        <v>1</v>
      </c>
      <c r="JP67" s="78">
        <v>1</v>
      </c>
      <c r="JQ67" s="103"/>
      <c r="JS67" s="78">
        <f>'A.I Revenue Streams - P2'!DY57+100%</f>
        <v>1</v>
      </c>
      <c r="JT67" s="78">
        <v>1</v>
      </c>
      <c r="JU67" s="103"/>
      <c r="JW67" s="78">
        <f>'A.I Revenue Streams - P2'!EC57+100%</f>
        <v>1</v>
      </c>
      <c r="JX67" s="78">
        <v>1</v>
      </c>
      <c r="JY67" s="103"/>
      <c r="KA67" s="78">
        <f>'A.I Revenue Streams - P2'!EG57+100%</f>
        <v>1</v>
      </c>
      <c r="KB67" s="78">
        <v>1</v>
      </c>
      <c r="KC67" s="103"/>
      <c r="KE67" s="78">
        <f>'A.I Revenue Streams - P2'!EK57+100%</f>
        <v>1</v>
      </c>
      <c r="KF67" s="78">
        <v>1</v>
      </c>
      <c r="KG67" s="103"/>
      <c r="KI67" s="78">
        <f>'A.I Revenue Streams - P2'!EO57+100%</f>
        <v>1</v>
      </c>
      <c r="KJ67" s="78">
        <v>1</v>
      </c>
      <c r="KK67" s="103"/>
      <c r="KM67" s="78">
        <f>'A.I Revenue Streams - P2'!ES57+100%</f>
        <v>1</v>
      </c>
      <c r="KN67" s="78">
        <v>1</v>
      </c>
      <c r="KO67" s="103"/>
    </row>
    <row r="68" ht="18.75" customHeight="1" spans="2:301" x14ac:dyDescent="0.25">
      <c r="B68" s="5">
        <v>6</v>
      </c>
      <c r="C68" s="27">
        <f>A.IIOPEX!D68</f>
        <v>0</v>
      </c>
      <c r="D68" s="27"/>
      <c r="E68" s="28"/>
      <c r="F68" s="51"/>
      <c r="G68" s="51"/>
      <c r="H68" s="51"/>
      <c r="I68" s="54"/>
      <c r="J68" s="51"/>
      <c r="K68" s="51"/>
      <c r="L68" s="51"/>
      <c r="M68" s="54"/>
      <c r="N68" s="51"/>
      <c r="O68" s="51"/>
      <c r="P68" s="51"/>
      <c r="Q68" s="54"/>
      <c r="R68" s="51"/>
      <c r="S68" s="51"/>
      <c r="T68" s="51"/>
      <c r="U68" s="54"/>
      <c r="V68" s="51"/>
      <c r="W68" s="51"/>
      <c r="X68" s="51"/>
      <c r="Y68" s="54"/>
      <c r="Z68" s="51"/>
      <c r="AA68" s="51"/>
      <c r="AB68" s="51"/>
      <c r="AC68" s="54"/>
      <c r="AD68" s="51"/>
      <c r="AE68" s="51"/>
      <c r="AF68" s="51"/>
      <c r="AG68" s="54"/>
      <c r="AH68" s="51"/>
      <c r="AI68" s="51"/>
      <c r="AJ68" s="51"/>
      <c r="AK68" s="54"/>
      <c r="AL68" s="51"/>
      <c r="AM68" s="51"/>
      <c r="AN68" s="51"/>
      <c r="AO68" s="54"/>
      <c r="AP68" s="51"/>
      <c r="AQ68" s="51"/>
      <c r="AR68" s="51"/>
      <c r="AS68" s="54"/>
      <c r="AT68" s="51"/>
      <c r="AU68" s="51"/>
      <c r="AV68" s="51"/>
      <c r="AW68" s="54"/>
      <c r="AX68" s="51"/>
      <c r="AY68" s="51"/>
      <c r="AZ68" s="51"/>
      <c r="BA68" s="54"/>
      <c r="BB68" s="51"/>
      <c r="BC68" s="51"/>
      <c r="BD68" s="51"/>
      <c r="BE68" s="54"/>
      <c r="BF68" s="51"/>
      <c r="BG68" s="51"/>
      <c r="BH68" s="51"/>
      <c r="BI68" s="54"/>
      <c r="BJ68" s="51"/>
      <c r="BK68" s="51"/>
      <c r="BL68" s="51"/>
      <c r="BM68" s="54"/>
      <c r="BN68" s="51"/>
      <c r="BO68" s="51"/>
      <c r="BP68" s="51"/>
      <c r="BQ68" s="54"/>
      <c r="BR68" s="51"/>
      <c r="BS68" s="51"/>
      <c r="BT68" s="51"/>
      <c r="BU68" s="54"/>
      <c r="BV68" s="51"/>
      <c r="BW68" s="51"/>
      <c r="BX68" s="51"/>
      <c r="BY68" s="54"/>
      <c r="BZ68" s="51"/>
      <c r="CA68" s="51"/>
      <c r="CB68" s="51"/>
      <c r="CC68" s="54"/>
      <c r="CD68" s="51"/>
      <c r="CE68" s="51"/>
      <c r="CF68" s="51"/>
      <c r="CG68" s="54"/>
      <c r="CH68" s="51"/>
      <c r="CI68" s="51"/>
      <c r="CJ68" s="51"/>
      <c r="CK68" s="54"/>
      <c r="CL68" s="51"/>
      <c r="CM68" s="51"/>
      <c r="CN68" s="51"/>
      <c r="CO68" s="54"/>
      <c r="CP68" s="51"/>
      <c r="CQ68" s="51"/>
      <c r="CR68" s="51"/>
      <c r="CS68" s="54"/>
      <c r="CT68" s="51"/>
      <c r="CU68" s="51"/>
      <c r="CV68" s="51"/>
      <c r="CW68" s="54"/>
      <c r="CX68" s="51"/>
      <c r="CY68" s="51"/>
      <c r="CZ68" s="51"/>
      <c r="DA68" s="54"/>
      <c r="DB68" s="51"/>
      <c r="DC68" s="51"/>
      <c r="DD68" s="51"/>
      <c r="DE68" s="54"/>
      <c r="DF68" s="51"/>
      <c r="DG68" s="51"/>
      <c r="DH68" s="51"/>
      <c r="DI68" s="54"/>
      <c r="DJ68" s="51"/>
      <c r="DK68" s="51"/>
      <c r="DL68" s="51"/>
      <c r="DM68" s="54"/>
      <c r="DN68" s="51"/>
      <c r="DO68" s="51"/>
      <c r="DP68" s="51"/>
      <c r="DQ68" s="54"/>
      <c r="DR68" s="51"/>
      <c r="DS68" s="51"/>
      <c r="DT68" s="51"/>
      <c r="DU68" s="54"/>
      <c r="DV68" s="51"/>
      <c r="DW68" s="51"/>
      <c r="DX68" s="51"/>
      <c r="DY68" s="54"/>
      <c r="DZ68" s="51"/>
      <c r="EA68" s="51"/>
      <c r="EB68" s="51"/>
      <c r="EC68" s="54"/>
      <c r="ED68" s="51"/>
      <c r="EE68" s="51"/>
      <c r="EF68" s="51"/>
      <c r="EG68" s="54"/>
      <c r="EH68" s="51"/>
      <c r="EI68" s="51"/>
      <c r="EJ68" s="51"/>
      <c r="EK68" s="54"/>
      <c r="EL68" s="51"/>
      <c r="EM68" s="51"/>
      <c r="EN68" s="51"/>
      <c r="EO68" s="54"/>
      <c r="EP68" s="51"/>
      <c r="EQ68" s="51"/>
      <c r="ER68" s="51"/>
      <c r="ES68" s="54"/>
      <c r="ET68" s="51"/>
      <c r="EU68" s="51"/>
      <c r="EV68" s="51"/>
      <c r="EW68" s="54"/>
      <c r="EX68" s="51"/>
      <c r="EY68" s="51"/>
      <c r="EZ68" s="51"/>
      <c r="FA68" s="54"/>
      <c r="FB68" s="51"/>
      <c r="FC68" s="51"/>
      <c r="FD68" s="51"/>
      <c r="FE68" s="54"/>
      <c r="FF68" s="51"/>
      <c r="FG68" s="51"/>
      <c r="FH68" s="51"/>
      <c r="FI68" s="54"/>
      <c r="FJ68" s="51"/>
      <c r="FK68" s="51"/>
      <c r="FL68" s="51"/>
      <c r="FM68" s="54"/>
      <c r="FN68" s="51"/>
      <c r="FO68" s="51"/>
      <c r="FP68" s="51"/>
      <c r="FQ68" s="54"/>
      <c r="FR68" s="51"/>
      <c r="FS68" s="51"/>
      <c r="FT68" s="51"/>
      <c r="FU68" s="54"/>
      <c r="FV68" s="51"/>
      <c r="FW68" s="51"/>
      <c r="FX68" s="51"/>
      <c r="FY68" s="54"/>
      <c r="FZ68" s="51"/>
      <c r="GA68" s="51"/>
      <c r="GB68" s="51"/>
      <c r="GC68" s="54"/>
      <c r="GD68" s="51"/>
      <c r="GE68" s="51"/>
      <c r="GF68" s="51"/>
      <c r="GG68" s="54"/>
      <c r="GH68" s="51"/>
      <c r="GI68" s="51"/>
      <c r="GJ68" s="51"/>
      <c r="GK68" s="54"/>
      <c r="GL68" s="51"/>
      <c r="GM68" s="51"/>
      <c r="GN68" s="51"/>
      <c r="GP68" s="51"/>
      <c r="GQ68" s="51"/>
      <c r="GR68" s="51"/>
      <c r="GS68" s="54"/>
      <c r="GT68" s="51"/>
      <c r="GU68" s="51"/>
      <c r="GV68" s="51"/>
      <c r="GW68" s="54"/>
      <c r="GX68" s="51"/>
      <c r="GY68" s="51"/>
      <c r="GZ68" s="51"/>
      <c r="HA68" s="54"/>
      <c r="HB68" s="51"/>
      <c r="HC68" s="51"/>
      <c r="HD68" s="51"/>
      <c r="HE68" s="54"/>
      <c r="HF68" s="51"/>
      <c r="HG68" s="51"/>
      <c r="HH68" s="51"/>
      <c r="HI68" s="54"/>
      <c r="HJ68" s="51"/>
      <c r="HK68" s="51"/>
      <c r="HL68" s="51"/>
      <c r="HM68" s="54"/>
      <c r="HN68" s="51"/>
      <c r="HO68" s="51"/>
      <c r="HP68" s="51"/>
      <c r="HQ68" s="54"/>
      <c r="HR68" s="51"/>
      <c r="HS68" s="51"/>
      <c r="HT68" s="51"/>
      <c r="HU68" s="54"/>
      <c r="HV68" s="51"/>
      <c r="HW68" s="51"/>
      <c r="HX68" s="51"/>
      <c r="HY68" s="54"/>
      <c r="HZ68" s="51"/>
      <c r="IA68" s="51"/>
      <c r="IB68" s="51"/>
      <c r="IC68" s="54"/>
      <c r="ID68" s="51"/>
      <c r="IE68" s="51"/>
      <c r="IF68" s="51"/>
      <c r="IG68" s="54"/>
      <c r="IH68" s="51"/>
      <c r="II68" s="51"/>
      <c r="IJ68" s="51"/>
      <c r="IL68" s="51"/>
      <c r="IM68" s="51"/>
      <c r="IN68" s="51"/>
      <c r="IO68" s="54"/>
      <c r="IP68" s="51"/>
      <c r="IQ68" s="51"/>
      <c r="IR68" s="51"/>
      <c r="IS68" s="54"/>
      <c r="IT68" s="51"/>
      <c r="IU68" s="51"/>
      <c r="IV68" s="51"/>
      <c r="IW68" s="54"/>
      <c r="IX68" s="51"/>
      <c r="IY68" s="51"/>
      <c r="IZ68" s="51"/>
      <c r="JA68" s="54"/>
      <c r="JB68" s="51"/>
      <c r="JC68" s="51"/>
      <c r="JD68" s="51"/>
      <c r="JE68" s="54"/>
      <c r="JF68" s="51"/>
      <c r="JG68" s="51"/>
      <c r="JH68" s="51"/>
      <c r="JI68" s="54"/>
      <c r="JJ68" s="51"/>
      <c r="JK68" s="51"/>
      <c r="JL68" s="51"/>
      <c r="JM68" s="54"/>
      <c r="JO68" s="80"/>
      <c r="JP68" s="80"/>
      <c r="JQ68" s="80"/>
      <c r="JS68" s="80"/>
      <c r="JT68" s="80"/>
      <c r="JU68" s="80"/>
      <c r="JW68" s="80"/>
      <c r="JX68" s="80"/>
      <c r="JY68" s="80"/>
      <c r="KA68" s="80"/>
      <c r="KB68" s="80"/>
      <c r="KC68" s="80"/>
      <c r="KE68" s="80"/>
      <c r="KF68" s="80"/>
      <c r="KG68" s="80"/>
      <c r="KI68" s="80"/>
      <c r="KJ68" s="80"/>
      <c r="KK68" s="80"/>
      <c r="KM68" s="80"/>
      <c r="KN68" s="80"/>
      <c r="KO68" s="80"/>
    </row>
    <row r="69" ht="18.75" customHeight="1" spans="2:301" x14ac:dyDescent="0.25">
      <c r="B69" s="5" t="str">
        <f>A.IIOPEX!C69</f>
        <v>6a</v>
      </c>
      <c r="C69" s="27"/>
      <c r="D69" s="29">
        <f>A.IIOPEX!E69</f>
        <v>0</v>
      </c>
      <c r="E69" s="30"/>
      <c r="F69" s="51">
        <v>1</v>
      </c>
      <c r="G69" s="51"/>
      <c r="H69" s="51">
        <f>A.IIOPEX!I69</f>
        <v>0</v>
      </c>
      <c r="I69" s="54"/>
      <c r="J69" s="51">
        <f t="shared" ref="J69:J86" si="1208">F69*$J$67</f>
        <v>1</v>
      </c>
      <c r="K69" s="51"/>
      <c r="L69" s="51">
        <f>H69*L$67</f>
        <v>0</v>
      </c>
      <c r="M69" s="54"/>
      <c r="N69" s="51">
        <f t="shared" ref="N69:N86" si="1209">J69*$N$67</f>
        <v>1</v>
      </c>
      <c r="O69" s="51">
        <v>0</v>
      </c>
      <c r="P69" s="51">
        <f>L69*P$67</f>
        <v>0</v>
      </c>
      <c r="Q69" s="54"/>
      <c r="R69" s="51">
        <f t="shared" ref="R69:R86" si="1210">N69*$R$67</f>
        <v>1</v>
      </c>
      <c r="S69" s="51">
        <v>0</v>
      </c>
      <c r="T69" s="51">
        <f>P69*T$67</f>
        <v>0</v>
      </c>
      <c r="U69" s="54"/>
      <c r="V69" s="51">
        <f t="shared" ref="V69:V86" si="1211">R69*$V$67</f>
        <v>1</v>
      </c>
      <c r="W69" s="51">
        <v>0</v>
      </c>
      <c r="X69" s="51">
        <f>T69*X$67</f>
        <v>0</v>
      </c>
      <c r="Y69" s="54"/>
      <c r="Z69" s="51">
        <f t="shared" ref="Z69:Z86" si="1212">V69*$Z$67</f>
        <v>1</v>
      </c>
      <c r="AA69" s="51">
        <v>0</v>
      </c>
      <c r="AB69" s="51">
        <f>X69*AB$67</f>
        <v>0</v>
      </c>
      <c r="AC69" s="54"/>
      <c r="AD69" s="51">
        <f>Z69*$AD$67</f>
        <v>1</v>
      </c>
      <c r="AE69" s="51">
        <v>0</v>
      </c>
      <c r="AF69" s="51">
        <f>AB69*AF$67</f>
        <v>0</v>
      </c>
      <c r="AG69" s="54"/>
      <c r="AH69" s="51">
        <f>AD69*$AH$67</f>
        <v>1</v>
      </c>
      <c r="AI69" s="51"/>
      <c r="AJ69" s="51">
        <f>AF69*AJ$67</f>
        <v>0</v>
      </c>
      <c r="AK69" s="54"/>
      <c r="AL69" s="51">
        <f>AH69*$AL$67</f>
        <v>1</v>
      </c>
      <c r="AM69" s="51"/>
      <c r="AN69" s="51">
        <f>AJ69*AN$67</f>
        <v>0</v>
      </c>
      <c r="AO69" s="54"/>
      <c r="AP69" s="51">
        <f>AL69*$AP$67</f>
        <v>1</v>
      </c>
      <c r="AQ69" s="51"/>
      <c r="AR69" s="51">
        <f>AN69*AR$67</f>
        <v>0</v>
      </c>
      <c r="AS69" s="54"/>
      <c r="AT69" s="51">
        <f>AP69*$AT$67</f>
        <v>1</v>
      </c>
      <c r="AU69" s="51"/>
      <c r="AV69" s="51">
        <f>AR69*AV$67</f>
        <v>0</v>
      </c>
      <c r="AW69" s="54"/>
      <c r="AX69" s="51">
        <f>AT69*$AX$67</f>
        <v>1</v>
      </c>
      <c r="AY69" s="51"/>
      <c r="AZ69" s="51">
        <f>AV69*AZ$67</f>
        <v>0</v>
      </c>
      <c r="BA69" s="54"/>
      <c r="BB69" s="51">
        <f t="shared" ref="BB69:BB86" si="1213">AX69*$BB$67</f>
        <v>1</v>
      </c>
      <c r="BC69" s="51"/>
      <c r="BD69" s="51">
        <f>AZ69*BD$67</f>
        <v>0</v>
      </c>
      <c r="BE69" s="54"/>
      <c r="BF69" s="51">
        <f>BB69*$BF$67</f>
        <v>1</v>
      </c>
      <c r="BG69" s="51"/>
      <c r="BH69" s="51">
        <f>BD69*BH$67</f>
        <v>0</v>
      </c>
      <c r="BI69" s="54"/>
      <c r="BJ69" s="51">
        <f>BF69*$BJ$67</f>
        <v>1</v>
      </c>
      <c r="BK69" s="51">
        <f>BG69*$BK$67</f>
        <v>0</v>
      </c>
      <c r="BL69" s="51">
        <f>BH69*BL$67</f>
        <v>0</v>
      </c>
      <c r="BM69" s="54"/>
      <c r="BN69" s="51">
        <f>BJ69*$BN$67</f>
        <v>1</v>
      </c>
      <c r="BO69" s="51">
        <f>BK69*$BO$67</f>
        <v>0</v>
      </c>
      <c r="BP69" s="51">
        <f>BL69*BP$67</f>
        <v>0</v>
      </c>
      <c r="BQ69" s="54"/>
      <c r="BR69" s="51">
        <f>BN69*$BR$67</f>
        <v>1</v>
      </c>
      <c r="BS69" s="51">
        <f>BO69*$BS$67</f>
        <v>0</v>
      </c>
      <c r="BT69" s="51">
        <f>BP69*BT$67</f>
        <v>0</v>
      </c>
      <c r="BU69" s="54"/>
      <c r="BV69" s="51">
        <f>BR69*$BV$67</f>
        <v>1</v>
      </c>
      <c r="BW69" s="51">
        <f>BS69*$BW$67</f>
        <v>0</v>
      </c>
      <c r="BX69" s="51">
        <f>BT69*BX$67</f>
        <v>0</v>
      </c>
      <c r="BY69" s="54"/>
      <c r="BZ69" s="51">
        <f>BV69*$BZ$67</f>
        <v>1</v>
      </c>
      <c r="CA69" s="51">
        <f>BW69*$CA$67</f>
        <v>0</v>
      </c>
      <c r="CB69" s="51">
        <f>BX69*CB$67</f>
        <v>0</v>
      </c>
      <c r="CC69" s="54"/>
      <c r="CD69" s="51">
        <f>BZ69*$CD$67</f>
        <v>1</v>
      </c>
      <c r="CE69" s="51">
        <f>CA69*$CE$67</f>
        <v>0</v>
      </c>
      <c r="CF69" s="51">
        <f>CB69*CF$67</f>
        <v>0</v>
      </c>
      <c r="CG69" s="54"/>
      <c r="CH69" s="51">
        <f>CD69*$CH$67</f>
        <v>1</v>
      </c>
      <c r="CI69" s="51">
        <f>CE69*$CI$67</f>
        <v>0</v>
      </c>
      <c r="CJ69" s="51">
        <f>CF69*CJ$67</f>
        <v>0</v>
      </c>
      <c r="CK69" s="54"/>
      <c r="CL69" s="51">
        <f>CH69*$CL$67</f>
        <v>1</v>
      </c>
      <c r="CM69" s="51">
        <f>CI69*$CM$67</f>
        <v>0</v>
      </c>
      <c r="CN69" s="51">
        <f>CJ69*CN$67</f>
        <v>0</v>
      </c>
      <c r="CO69" s="54"/>
      <c r="CP69" s="51">
        <f>CL69*$CP$67</f>
        <v>1</v>
      </c>
      <c r="CQ69" s="51">
        <f>CM69*$CQ$67</f>
        <v>0</v>
      </c>
      <c r="CR69" s="51">
        <f>CN69*CR$67</f>
        <v>0</v>
      </c>
      <c r="CS69" s="54"/>
      <c r="CT69" s="51">
        <f>CP69*$CT$67</f>
        <v>1</v>
      </c>
      <c r="CU69" s="51">
        <f>CQ69*$CU$67</f>
        <v>0</v>
      </c>
      <c r="CV69" s="51">
        <f>CR69*CV$67</f>
        <v>0</v>
      </c>
      <c r="CW69" s="54"/>
      <c r="CX69" s="51">
        <f t="shared" ref="CX69:CX86" si="1214">CT69*$CX$67</f>
        <v>1</v>
      </c>
      <c r="CY69" s="51">
        <f t="shared" ref="CY69:CY86" si="1215">CU69*$CY$67</f>
        <v>0</v>
      </c>
      <c r="CZ69" s="51">
        <f>CV69*CZ$67</f>
        <v>0</v>
      </c>
      <c r="DA69" s="54"/>
      <c r="DB69" s="51">
        <f>CX69*$DB$67</f>
        <v>1</v>
      </c>
      <c r="DC69" s="51">
        <f>CY69*$DC$67</f>
        <v>0</v>
      </c>
      <c r="DD69" s="51">
        <f>CZ69*DD$67</f>
        <v>0</v>
      </c>
      <c r="DE69" s="54"/>
      <c r="DF69" s="51">
        <f>DB69*$DF$67</f>
        <v>1</v>
      </c>
      <c r="DG69" s="51">
        <f>DC69*$DG$67</f>
        <v>0</v>
      </c>
      <c r="DH69" s="51">
        <f>DD69*DH$67</f>
        <v>0</v>
      </c>
      <c r="DI69" s="54"/>
      <c r="DJ69" s="51">
        <f>DF69*$DJ$67</f>
        <v>1</v>
      </c>
      <c r="DK69" s="51">
        <f>DG69*$DK$67</f>
        <v>0</v>
      </c>
      <c r="DL69" s="51">
        <f>DH69*DL$67</f>
        <v>0</v>
      </c>
      <c r="DM69" s="54"/>
      <c r="DN69" s="51">
        <f>DJ69*$DN$67</f>
        <v>1</v>
      </c>
      <c r="DO69" s="51">
        <f>DK69*$DO$67</f>
        <v>0</v>
      </c>
      <c r="DP69" s="51">
        <f>DL69*DP$67</f>
        <v>0</v>
      </c>
      <c r="DQ69" s="54"/>
      <c r="DR69" s="51">
        <f>DN69*$DR$67</f>
        <v>1</v>
      </c>
      <c r="DS69" s="51">
        <f>DO69*$DS$67</f>
        <v>0</v>
      </c>
      <c r="DT69" s="51">
        <f>DP69*DT$67</f>
        <v>0</v>
      </c>
      <c r="DU69" s="54"/>
      <c r="DV69" s="51">
        <f>DR69*$DV$67</f>
        <v>1</v>
      </c>
      <c r="DW69" s="51">
        <f>DS69*$DW$67</f>
        <v>0</v>
      </c>
      <c r="DX69" s="51">
        <f>DT69*DX$67</f>
        <v>0</v>
      </c>
      <c r="DY69" s="54"/>
      <c r="DZ69" s="51">
        <f>DV69*$DZ$67</f>
        <v>1</v>
      </c>
      <c r="EA69" s="51">
        <f>DW69*$EA$67</f>
        <v>0</v>
      </c>
      <c r="EB69" s="51">
        <f>DX69*EB$67</f>
        <v>0</v>
      </c>
      <c r="EC69" s="54"/>
      <c r="ED69" s="51">
        <f>DZ69*$ED$67</f>
        <v>1</v>
      </c>
      <c r="EE69" s="51">
        <f>EA69*$EE$67</f>
        <v>0</v>
      </c>
      <c r="EF69" s="51">
        <f>EB69*EF$67</f>
        <v>0</v>
      </c>
      <c r="EG69" s="54"/>
      <c r="EH69" s="51">
        <f>ED69*$EH$67</f>
        <v>1</v>
      </c>
      <c r="EI69" s="51">
        <f>EE69*$EI$67</f>
        <v>0</v>
      </c>
      <c r="EJ69" s="51">
        <f>EF69*EJ$67</f>
        <v>0</v>
      </c>
      <c r="EK69" s="54"/>
      <c r="EL69" s="51">
        <f>EH69*$EL$67</f>
        <v>1</v>
      </c>
      <c r="EM69" s="51">
        <f>EI69*$EM$67</f>
        <v>0</v>
      </c>
      <c r="EN69" s="51">
        <f>EJ69*EN$67</f>
        <v>0</v>
      </c>
      <c r="EO69" s="54"/>
      <c r="EP69" s="51">
        <f>EL69*$EP$67</f>
        <v>1</v>
      </c>
      <c r="EQ69" s="51">
        <f>EM69*$EQ$67</f>
        <v>0</v>
      </c>
      <c r="ER69" s="51">
        <f>EN69*ER$67</f>
        <v>0</v>
      </c>
      <c r="ES69" s="54"/>
      <c r="ET69" s="51">
        <f t="shared" ref="ET69:ET86" si="1216">EP69*$ET$67</f>
        <v>1</v>
      </c>
      <c r="EU69" s="51">
        <f t="shared" ref="EU69:EU86" si="1217">EQ69*$EU$67</f>
        <v>0</v>
      </c>
      <c r="EV69" s="51">
        <f>ER69*EV$67</f>
        <v>0</v>
      </c>
      <c r="EW69" s="54"/>
      <c r="EX69" s="51">
        <f>ET69*$EX$67</f>
        <v>1</v>
      </c>
      <c r="EY69" s="51">
        <f>EU69*$EY$67</f>
        <v>0</v>
      </c>
      <c r="EZ69" s="51">
        <f>EV69*EZ$67</f>
        <v>0</v>
      </c>
      <c r="FA69" s="54"/>
      <c r="FB69" s="51">
        <f>EX69*$FB$67</f>
        <v>1</v>
      </c>
      <c r="FC69" s="51">
        <f>EY69*$FC$67</f>
        <v>0</v>
      </c>
      <c r="FD69" s="51">
        <f>EZ69*FD$67</f>
        <v>0</v>
      </c>
      <c r="FE69" s="54"/>
      <c r="FF69" s="51">
        <f>FB69*$FF$67</f>
        <v>1</v>
      </c>
      <c r="FG69" s="51">
        <f>FC69*$FG$67</f>
        <v>0</v>
      </c>
      <c r="FH69" s="51">
        <f>FD69*FH$67</f>
        <v>0</v>
      </c>
      <c r="FI69" s="54"/>
      <c r="FJ69" s="51">
        <f>FF69*$FJ$67</f>
        <v>1</v>
      </c>
      <c r="FK69" s="51">
        <f>FG69*$FK$67</f>
        <v>0</v>
      </c>
      <c r="FL69" s="51">
        <f>FH69*FL$67</f>
        <v>0</v>
      </c>
      <c r="FM69" s="54"/>
      <c r="FN69" s="51">
        <f>FJ69*$FN$67</f>
        <v>1</v>
      </c>
      <c r="FO69" s="51">
        <f>FK69*$FO$67</f>
        <v>0</v>
      </c>
      <c r="FP69" s="51">
        <f>FL69*FP$67</f>
        <v>0</v>
      </c>
      <c r="FQ69" s="54"/>
      <c r="FR69" s="51">
        <f>FN69*$FR$67</f>
        <v>1</v>
      </c>
      <c r="FS69" s="51">
        <f>FO69*$FS$67</f>
        <v>0</v>
      </c>
      <c r="FT69" s="51">
        <f>FP69*FT$67</f>
        <v>0</v>
      </c>
      <c r="FU69" s="54"/>
      <c r="FV69" s="51">
        <f>FR69*$FV$67</f>
        <v>1</v>
      </c>
      <c r="FW69" s="51">
        <f>FS69*$FW$67</f>
        <v>0</v>
      </c>
      <c r="FX69" s="51">
        <f>FT69*FX$67</f>
        <v>0</v>
      </c>
      <c r="FY69" s="54"/>
      <c r="FZ69" s="51">
        <f>FV69*$FZ$67</f>
        <v>1</v>
      </c>
      <c r="GA69" s="51">
        <f>FW69*$GA$67</f>
        <v>0</v>
      </c>
      <c r="GB69" s="51">
        <f>FX69*GB$67</f>
        <v>0</v>
      </c>
      <c r="GC69" s="54"/>
      <c r="GD69" s="51">
        <f>FZ69*$GD$67</f>
        <v>1</v>
      </c>
      <c r="GE69" s="51">
        <f>GA69*$GE$67</f>
        <v>0</v>
      </c>
      <c r="GF69" s="51">
        <f>GB69*GF$67</f>
        <v>0</v>
      </c>
      <c r="GG69" s="54"/>
      <c r="GH69" s="51">
        <f>GD69*$GH$67</f>
        <v>1</v>
      </c>
      <c r="GI69" s="51">
        <f>GE69*$GI$67</f>
        <v>0</v>
      </c>
      <c r="GJ69" s="51">
        <f>GF69*GJ$67</f>
        <v>0</v>
      </c>
      <c r="GK69" s="54"/>
      <c r="GL69" s="51">
        <f>GH69*$GL$67</f>
        <v>1</v>
      </c>
      <c r="GM69" s="51">
        <f>GI69*$GM$67</f>
        <v>0</v>
      </c>
      <c r="GN69" s="51">
        <f>GJ69*GN$67</f>
        <v>0</v>
      </c>
      <c r="GP69" s="51">
        <f t="shared" ref="GP69:GP86" si="1218">GL69*$GP$67</f>
        <v>1</v>
      </c>
      <c r="GQ69" s="51">
        <f t="shared" ref="GQ69:GQ86" si="1219">GM69*$GQ$67</f>
        <v>0</v>
      </c>
      <c r="GR69" s="51">
        <f>GN69*GR$67</f>
        <v>0</v>
      </c>
      <c r="GS69" s="54"/>
      <c r="GT69" s="51">
        <f>GP69*$GT$67</f>
        <v>1</v>
      </c>
      <c r="GU69" s="51">
        <f>GQ69*$GU$67</f>
        <v>0</v>
      </c>
      <c r="GV69" s="51">
        <f>GR69*GV$67</f>
        <v>0</v>
      </c>
      <c r="GW69" s="54"/>
      <c r="GX69" s="51">
        <f>GT69*$GX$67</f>
        <v>1</v>
      </c>
      <c r="GY69" s="51">
        <f>GU69*$GY$67</f>
        <v>0</v>
      </c>
      <c r="GZ69" s="51">
        <f>GV69*GZ$67</f>
        <v>0</v>
      </c>
      <c r="HA69" s="54"/>
      <c r="HB69" s="51">
        <f>GX69*$HB$67</f>
        <v>1</v>
      </c>
      <c r="HC69" s="51">
        <f>GY69*$HC$67</f>
        <v>0</v>
      </c>
      <c r="HD69" s="51">
        <f>GZ69*HD$67</f>
        <v>0</v>
      </c>
      <c r="HE69" s="54"/>
      <c r="HF69" s="51">
        <f>HB69*$HF$67</f>
        <v>1</v>
      </c>
      <c r="HG69" s="51">
        <f>HC69*$HG$67</f>
        <v>0</v>
      </c>
      <c r="HH69" s="51">
        <f>HD69*HH$67</f>
        <v>0</v>
      </c>
      <c r="HI69" s="54"/>
      <c r="HJ69" s="51">
        <f>HF69*$HJ$67</f>
        <v>1</v>
      </c>
      <c r="HK69" s="51">
        <f>HG69*$HK$67</f>
        <v>0</v>
      </c>
      <c r="HL69" s="51">
        <f>HH69*HL$67</f>
        <v>0</v>
      </c>
      <c r="HM69" s="54"/>
      <c r="HN69" s="51">
        <f>HJ69*$HN$67</f>
        <v>1</v>
      </c>
      <c r="HO69" s="51">
        <f>HK69*$HO$67</f>
        <v>0</v>
      </c>
      <c r="HP69" s="51">
        <f>HL69*HP$67</f>
        <v>0</v>
      </c>
      <c r="HQ69" s="54"/>
      <c r="HR69" s="51">
        <f>HN69*$HR$67</f>
        <v>1</v>
      </c>
      <c r="HS69" s="51">
        <f>HO69*$HS$67</f>
        <v>0</v>
      </c>
      <c r="HT69" s="51">
        <f>HP69*HT$67</f>
        <v>0</v>
      </c>
      <c r="HU69" s="54"/>
      <c r="HV69" s="51">
        <f>HR69*$HV$67</f>
        <v>1</v>
      </c>
      <c r="HW69" s="51">
        <f>HS69*$HW$67</f>
        <v>0</v>
      </c>
      <c r="HX69" s="51">
        <f>HT69*HX$67</f>
        <v>0</v>
      </c>
      <c r="HY69" s="54"/>
      <c r="HZ69" s="51">
        <f>HV69*$HZ$67</f>
        <v>1</v>
      </c>
      <c r="IA69" s="51">
        <f>HW69*$IA$67</f>
        <v>0</v>
      </c>
      <c r="IB69" s="51">
        <f>HX69*IB$67</f>
        <v>0</v>
      </c>
      <c r="IC69" s="54"/>
      <c r="ID69" s="51">
        <f>HZ69*$ID$67</f>
        <v>1</v>
      </c>
      <c r="IE69" s="51">
        <f>IA69*$IE$67</f>
        <v>0</v>
      </c>
      <c r="IF69" s="51">
        <f>IB69*IF$67</f>
        <v>0</v>
      </c>
      <c r="IG69" s="54"/>
      <c r="IH69" s="51">
        <f>ID69*$IH$67</f>
        <v>1</v>
      </c>
      <c r="II69" s="51">
        <f>IE69*$II$67</f>
        <v>0</v>
      </c>
      <c r="IJ69" s="51">
        <f>IF69*IJ$67</f>
        <v>0</v>
      </c>
      <c r="IL69" s="51">
        <f t="shared" ref="IL69:IL86" si="1220">IH69*$IL$67</f>
        <v>1</v>
      </c>
      <c r="IM69" s="51">
        <f t="shared" ref="IM69:IM86" si="1221">II69*$IM$67</f>
        <v>0</v>
      </c>
      <c r="IN69" s="51">
        <f>IJ69*IN$67</f>
        <v>0</v>
      </c>
      <c r="IO69" s="54"/>
      <c r="IP69" s="51">
        <f>IL69*$IP$67</f>
        <v>1</v>
      </c>
      <c r="IQ69" s="51">
        <f>IM69*$IQ$67</f>
        <v>0</v>
      </c>
      <c r="IR69" s="51">
        <f>IN69*IR$67</f>
        <v>0</v>
      </c>
      <c r="IS69" s="54"/>
      <c r="IT69" s="51">
        <f>IP69*$IT$67</f>
        <v>1</v>
      </c>
      <c r="IU69" s="51">
        <f>IQ69*$IU$67</f>
        <v>0</v>
      </c>
      <c r="IV69" s="51">
        <f>IR69*IV$67</f>
        <v>0</v>
      </c>
      <c r="IW69" s="54"/>
      <c r="IX69" s="51">
        <f>IT69*$IX$67</f>
        <v>1</v>
      </c>
      <c r="IY69" s="51">
        <f>IU69*$IY$67</f>
        <v>0</v>
      </c>
      <c r="IZ69" s="51">
        <f>IV69*IZ$67</f>
        <v>0</v>
      </c>
      <c r="JA69" s="54"/>
      <c r="JB69" s="51" t="e">
        <f>IX69*$JB$67</f>
        <v>#REF!</v>
      </c>
      <c r="JC69" s="51">
        <f>IY69*$JC$67</f>
        <v>0</v>
      </c>
      <c r="JD69" s="51">
        <f>IZ69*JD$67</f>
        <v>0</v>
      </c>
      <c r="JE69" s="54"/>
      <c r="JF69" s="51" t="e">
        <f>JB69*$JF$67</f>
        <v>#REF!</v>
      </c>
      <c r="JG69" s="51">
        <f>JC69*$JG$67</f>
        <v>0</v>
      </c>
      <c r="JH69" s="51">
        <f>JD69*JH$67</f>
        <v>0</v>
      </c>
      <c r="JI69" s="54"/>
      <c r="JJ69" s="51" t="e">
        <f>JF69*$JJ$67</f>
        <v>#REF!</v>
      </c>
      <c r="JK69" s="51">
        <f>JG69*$JK$67</f>
        <v>0</v>
      </c>
      <c r="JL69" s="51">
        <f>JH69*JL$67</f>
        <v>0</v>
      </c>
      <c r="JM69" s="54"/>
      <c r="JO69" s="80"/>
      <c r="JP69" s="80"/>
      <c r="JQ69" s="80">
        <f t="shared" ref="JQ69:JQ87" si="1222">SUMIFS($F69:$JM69,$F$3:$JM$3,JO$5,$F$6:$JM$6,JQ$6)</f>
        <v>0</v>
      </c>
      <c r="JS69" s="80"/>
      <c r="JT69" s="80"/>
      <c r="JU69" s="80">
        <f t="shared" ref="JU69:JU87" si="1223">SUMIFS($F69:$JM69,$F$3:$JM$3,JS$5,$F$6:$JM$6,JU$6)</f>
        <v>0</v>
      </c>
      <c r="JW69" s="80"/>
      <c r="JX69" s="80"/>
      <c r="JY69" s="80">
        <f t="shared" ref="JY69:JY87" si="1224">SUMIFS($F69:$JM69,$F$3:$JM$3,JW$5,$F$6:$JM$6,JY$6)</f>
        <v>0</v>
      </c>
      <c r="KA69" s="80"/>
      <c r="KB69" s="80"/>
      <c r="KC69" s="80">
        <f t="shared" ref="KC69:KC87" si="1225">SUMIFS($F69:$JM69,$F$3:$JM$3,KA$5,$F$6:$JM$6,KC$6)</f>
        <v>0</v>
      </c>
      <c r="KE69" s="80"/>
      <c r="KF69" s="80"/>
      <c r="KG69" s="80">
        <f t="shared" ref="KG69:KG87" si="1226">SUMIFS($F69:$JM69,$F$3:$JM$3,KE$5,$F$6:$JM$6,KG$6)</f>
        <v>0</v>
      </c>
      <c r="KI69" s="80"/>
      <c r="KJ69" s="80"/>
      <c r="KK69" s="80">
        <f t="shared" ref="KK69:KK87" si="1227">SUMIFS($F69:$JM69,$F$3:$JM$3,KI$5,$F$6:$JM$6,KK$6)</f>
        <v>0</v>
      </c>
      <c r="KM69" s="80"/>
      <c r="KN69" s="80"/>
      <c r="KO69" s="80">
        <f t="shared" ref="KO69:KO87" si="1228">SUMIFS($F69:$JM69,$F$3:$JM$3,KM$5,$F$6:$JM$6,KO$6)</f>
        <v>0</v>
      </c>
    </row>
    <row r="70" ht="18.75" customHeight="1" spans="2:301" x14ac:dyDescent="0.25">
      <c r="B70" s="5" t="str">
        <f>A.IIOPEX!C70</f>
        <v>6b</v>
      </c>
      <c r="C70" s="27"/>
      <c r="D70" s="29">
        <f>A.IIOPEX!E70</f>
        <v>0</v>
      </c>
      <c r="E70" s="30"/>
      <c r="F70" s="51">
        <v>1</v>
      </c>
      <c r="G70" s="51"/>
      <c r="H70" s="51">
        <f>A.IIOPEX!I70</f>
        <v>0</v>
      </c>
      <c r="I70" s="54"/>
      <c r="J70" s="51">
        <f t="shared" si="1208"/>
        <v>1</v>
      </c>
      <c r="K70" s="51"/>
      <c r="L70" s="51">
        <f t="shared" ref="L70:L86" si="1229">H70*L$67</f>
        <v>0</v>
      </c>
      <c r="M70" s="54"/>
      <c r="N70" s="51">
        <f t="shared" si="1209"/>
        <v>1</v>
      </c>
      <c r="O70" s="51">
        <v>0</v>
      </c>
      <c r="P70" s="51">
        <f t="shared" ref="P70:P86" si="1230">L70*P$67</f>
        <v>0</v>
      </c>
      <c r="Q70" s="54"/>
      <c r="R70" s="51">
        <f t="shared" si="1210"/>
        <v>1</v>
      </c>
      <c r="S70" s="51">
        <v>0</v>
      </c>
      <c r="T70" s="51">
        <f>P70*T$67</f>
        <v>0</v>
      </c>
      <c r="U70" s="54"/>
      <c r="V70" s="51">
        <f t="shared" si="1211"/>
        <v>1</v>
      </c>
      <c r="W70" s="51">
        <v>0</v>
      </c>
      <c r="X70" s="51">
        <f>T70*X$67</f>
        <v>0</v>
      </c>
      <c r="Y70" s="54"/>
      <c r="Z70" s="51">
        <f t="shared" si="1212"/>
        <v>1</v>
      </c>
      <c r="AA70" s="51">
        <v>0</v>
      </c>
      <c r="AB70" s="51">
        <f>X70*AB$67</f>
        <v>0</v>
      </c>
      <c r="AC70" s="54"/>
      <c r="AD70" s="51">
        <f t="shared" ref="AD70" si="1231">Z70*$AD$67</f>
        <v>1</v>
      </c>
      <c r="AE70" s="51">
        <v>0</v>
      </c>
      <c r="AF70" s="51">
        <f>AB70*AF$67</f>
        <v>0</v>
      </c>
      <c r="AG70" s="54"/>
      <c r="AH70" s="51">
        <f t="shared" ref="AH70:AH86" si="1232">AD70*$AH$67</f>
        <v>1</v>
      </c>
      <c r="AI70" s="51"/>
      <c r="AJ70" s="51">
        <f>AF70*AJ$67</f>
        <v>0</v>
      </c>
      <c r="AK70" s="54"/>
      <c r="AL70" s="51">
        <f t="shared" ref="AL70:AL86" si="1233">AH70*$AL$67</f>
        <v>1</v>
      </c>
      <c r="AM70" s="51"/>
      <c r="AN70" s="51">
        <f>AJ70*AN$67</f>
        <v>0</v>
      </c>
      <c r="AO70" s="54"/>
      <c r="AP70" s="51">
        <f t="shared" ref="AP70:AP86" si="1234">AL70*$AP$67</f>
        <v>1</v>
      </c>
      <c r="AQ70" s="51"/>
      <c r="AR70" s="51">
        <f>AN70*AR$67</f>
        <v>0</v>
      </c>
      <c r="AS70" s="54"/>
      <c r="AT70" s="51">
        <f t="shared" ref="AT70:AT86" si="1235">AP70*$AT$67</f>
        <v>1</v>
      </c>
      <c r="AU70" s="51"/>
      <c r="AV70" s="51">
        <f>AR70*AV$67</f>
        <v>0</v>
      </c>
      <c r="AW70" s="54"/>
      <c r="AX70" s="51">
        <f t="shared" ref="AX70:AX86" si="1236">AT70*$AX$67</f>
        <v>1</v>
      </c>
      <c r="AY70" s="51"/>
      <c r="AZ70" s="51">
        <f>AV70*AZ$67</f>
        <v>0</v>
      </c>
      <c r="BA70" s="54"/>
      <c r="BB70" s="51">
        <f t="shared" si="1213"/>
        <v>1</v>
      </c>
      <c r="BC70" s="51"/>
      <c r="BD70" s="51">
        <f>AZ70*BD$67</f>
        <v>0</v>
      </c>
      <c r="BE70" s="54"/>
      <c r="BF70" s="51">
        <f t="shared" ref="BF70:BF86" si="1237">BB70*$BF$67</f>
        <v>1</v>
      </c>
      <c r="BG70" s="51"/>
      <c r="BH70" s="51">
        <f>BD70*BH$67</f>
        <v>0</v>
      </c>
      <c r="BI70" s="54"/>
      <c r="BJ70" s="51">
        <f t="shared" ref="BJ70:BJ86" si="1238">BF70*$BJ$67</f>
        <v>1</v>
      </c>
      <c r="BK70" s="51">
        <f t="shared" ref="BK70:BK86" si="1239">BG70*$BK$67</f>
        <v>0</v>
      </c>
      <c r="BL70" s="51">
        <f>BH70*BL$67</f>
        <v>0</v>
      </c>
      <c r="BM70" s="54"/>
      <c r="BN70" s="51">
        <f t="shared" ref="BN70:BN86" si="1240">BJ70*$BN$67</f>
        <v>1</v>
      </c>
      <c r="BO70" s="51">
        <f t="shared" ref="BO70:BO86" si="1241">BK70*$BO$67</f>
        <v>0</v>
      </c>
      <c r="BP70" s="51">
        <f>BL70*BP$67</f>
        <v>0</v>
      </c>
      <c r="BQ70" s="54"/>
      <c r="BR70" s="51">
        <f t="shared" ref="BR70:BR86" si="1242">BN70*$BR$67</f>
        <v>1</v>
      </c>
      <c r="BS70" s="51">
        <f t="shared" ref="BS70:BS86" si="1243">BO70*$BS$67</f>
        <v>0</v>
      </c>
      <c r="BT70" s="51">
        <f>BP70*BT$67</f>
        <v>0</v>
      </c>
      <c r="BU70" s="54"/>
      <c r="BV70" s="51">
        <f t="shared" ref="BV70:BV86" si="1244">BR70*$BV$67</f>
        <v>1</v>
      </c>
      <c r="BW70" s="51">
        <f t="shared" ref="BW70:BW86" si="1245">BS70*$BW$67</f>
        <v>0</v>
      </c>
      <c r="BX70" s="51">
        <f>BT70*BX$67</f>
        <v>0</v>
      </c>
      <c r="BY70" s="54"/>
      <c r="BZ70" s="51">
        <f t="shared" ref="BZ70:BZ86" si="1246">BV70*$BZ$67</f>
        <v>1</v>
      </c>
      <c r="CA70" s="51">
        <f t="shared" ref="CA70:CA86" si="1247">BW70*$CA$67</f>
        <v>0</v>
      </c>
      <c r="CB70" s="51">
        <f>BX70*CB$67</f>
        <v>0</v>
      </c>
      <c r="CC70" s="54"/>
      <c r="CD70" s="51">
        <f t="shared" ref="CD70:CD86" si="1248">BZ70*$CD$67</f>
        <v>1</v>
      </c>
      <c r="CE70" s="51">
        <f t="shared" ref="CE70:CE86" si="1249">CA70*$CE$67</f>
        <v>0</v>
      </c>
      <c r="CF70" s="51">
        <f>CB70*CF$67</f>
        <v>0</v>
      </c>
      <c r="CG70" s="54"/>
      <c r="CH70" s="51">
        <f t="shared" ref="CH70:CH86" si="1250">CD70*$CH$67</f>
        <v>1</v>
      </c>
      <c r="CI70" s="51">
        <f t="shared" ref="CI70:CI86" si="1251">CE70*$CI$67</f>
        <v>0</v>
      </c>
      <c r="CJ70" s="51">
        <f>CF70*CJ$67</f>
        <v>0</v>
      </c>
      <c r="CK70" s="54"/>
      <c r="CL70" s="51">
        <f t="shared" ref="CL70:CL86" si="1252">CH70*$CL$67</f>
        <v>1</v>
      </c>
      <c r="CM70" s="51">
        <f t="shared" ref="CM70:CM86" si="1253">CI70*$CM$67</f>
        <v>0</v>
      </c>
      <c r="CN70" s="51">
        <f>CJ70*CN$67</f>
        <v>0</v>
      </c>
      <c r="CO70" s="54"/>
      <c r="CP70" s="51">
        <f t="shared" ref="CP70:CP86" si="1254">CL70*$CP$67</f>
        <v>1</v>
      </c>
      <c r="CQ70" s="51">
        <f t="shared" ref="CQ70:CQ86" si="1255">CM70*$CQ$67</f>
        <v>0</v>
      </c>
      <c r="CR70" s="51">
        <f>CN70*CR$67</f>
        <v>0</v>
      </c>
      <c r="CS70" s="54"/>
      <c r="CT70" s="51">
        <f t="shared" ref="CT70:CT86" si="1256">CP70*$CT$67</f>
        <v>1</v>
      </c>
      <c r="CU70" s="51">
        <f t="shared" ref="CU70:CU86" si="1257">CQ70*$CU$67</f>
        <v>0</v>
      </c>
      <c r="CV70" s="51">
        <f>CR70*CV$67</f>
        <v>0</v>
      </c>
      <c r="CW70" s="54"/>
      <c r="CX70" s="51">
        <f t="shared" si="1214"/>
        <v>1</v>
      </c>
      <c r="CY70" s="51">
        <f t="shared" si="1215"/>
        <v>0</v>
      </c>
      <c r="CZ70" s="51">
        <f>CV70*CZ$67</f>
        <v>0</v>
      </c>
      <c r="DA70" s="54"/>
      <c r="DB70" s="51">
        <f t="shared" ref="DB70:DB86" si="1258">CX70*$DB$67</f>
        <v>1</v>
      </c>
      <c r="DC70" s="51">
        <f t="shared" ref="DC70:DC86" si="1259">CY70*$DC$67</f>
        <v>0</v>
      </c>
      <c r="DD70" s="51">
        <f>CZ70*DD$67</f>
        <v>0</v>
      </c>
      <c r="DE70" s="54"/>
      <c r="DF70" s="51">
        <f t="shared" ref="DF70:DF86" si="1260">DB70*$DF$67</f>
        <v>1</v>
      </c>
      <c r="DG70" s="51">
        <f t="shared" ref="DG70:DG86" si="1261">DC70*$DG$67</f>
        <v>0</v>
      </c>
      <c r="DH70" s="51">
        <f>DD70*DH$67</f>
        <v>0</v>
      </c>
      <c r="DI70" s="54"/>
      <c r="DJ70" s="51">
        <f t="shared" ref="DJ70:DJ86" si="1262">DF70*$DJ$67</f>
        <v>1</v>
      </c>
      <c r="DK70" s="51">
        <f t="shared" ref="DK70:DK86" si="1263">DG70*$DK$67</f>
        <v>0</v>
      </c>
      <c r="DL70" s="51">
        <f>DH70*DL$67</f>
        <v>0</v>
      </c>
      <c r="DM70" s="54"/>
      <c r="DN70" s="51">
        <f t="shared" ref="DN70:DN86" si="1264">DJ70*$DN$67</f>
        <v>1</v>
      </c>
      <c r="DO70" s="51">
        <f t="shared" ref="DO70:DO86" si="1265">DK70*$DO$67</f>
        <v>0</v>
      </c>
      <c r="DP70" s="51">
        <f>DL70*DP$67</f>
        <v>0</v>
      </c>
      <c r="DQ70" s="54"/>
      <c r="DR70" s="51">
        <f t="shared" ref="DR70:DR86" si="1266">DN70*$DR$67</f>
        <v>1</v>
      </c>
      <c r="DS70" s="51">
        <f t="shared" ref="DS70:DS86" si="1267">DO70*$DS$67</f>
        <v>0</v>
      </c>
      <c r="DT70" s="51">
        <f>DP70*DT$67</f>
        <v>0</v>
      </c>
      <c r="DU70" s="54"/>
      <c r="DV70" s="51">
        <f t="shared" ref="DV70:DV86" si="1268">DR70*$DV$67</f>
        <v>1</v>
      </c>
      <c r="DW70" s="51">
        <f t="shared" ref="DW70:DW86" si="1269">DS70*$DW$67</f>
        <v>0</v>
      </c>
      <c r="DX70" s="51">
        <f>DT70*DX$67</f>
        <v>0</v>
      </c>
      <c r="DY70" s="54"/>
      <c r="DZ70" s="51">
        <f t="shared" ref="DZ70:DZ86" si="1270">DV70*$DZ$67</f>
        <v>1</v>
      </c>
      <c r="EA70" s="51">
        <f t="shared" ref="EA70:EA86" si="1271">DW70*$EA$67</f>
        <v>0</v>
      </c>
      <c r="EB70" s="51">
        <f>DX70*EB$67</f>
        <v>0</v>
      </c>
      <c r="EC70" s="54"/>
      <c r="ED70" s="51">
        <f t="shared" ref="ED70:ED86" si="1272">DZ70*$ED$67</f>
        <v>1</v>
      </c>
      <c r="EE70" s="51">
        <f t="shared" ref="EE70:EE86" si="1273">EA70*$EE$67</f>
        <v>0</v>
      </c>
      <c r="EF70" s="51">
        <f>EB70*EF$67</f>
        <v>0</v>
      </c>
      <c r="EG70" s="54"/>
      <c r="EH70" s="51">
        <f t="shared" ref="EH70:EH86" si="1274">ED70*$EH$67</f>
        <v>1</v>
      </c>
      <c r="EI70" s="51">
        <f t="shared" ref="EI70:EI86" si="1275">EE70*$EI$67</f>
        <v>0</v>
      </c>
      <c r="EJ70" s="51">
        <f>EF70*EJ$67</f>
        <v>0</v>
      </c>
      <c r="EK70" s="54"/>
      <c r="EL70" s="51">
        <f t="shared" ref="EL70:EL86" si="1276">EH70*$EL$67</f>
        <v>1</v>
      </c>
      <c r="EM70" s="51">
        <f t="shared" ref="EM70:EM86" si="1277">EI70*$EM$67</f>
        <v>0</v>
      </c>
      <c r="EN70" s="51">
        <f>EJ70*EN$67</f>
        <v>0</v>
      </c>
      <c r="EO70" s="54"/>
      <c r="EP70" s="51">
        <f t="shared" ref="EP70:EP86" si="1278">EL70*$EP$67</f>
        <v>1</v>
      </c>
      <c r="EQ70" s="51">
        <f t="shared" ref="EQ70:EQ86" si="1279">EM70*$EQ$67</f>
        <v>0</v>
      </c>
      <c r="ER70" s="51">
        <f>EN70*ER$67</f>
        <v>0</v>
      </c>
      <c r="ES70" s="54"/>
      <c r="ET70" s="51">
        <f t="shared" si="1216"/>
        <v>1</v>
      </c>
      <c r="EU70" s="51">
        <f t="shared" si="1217"/>
        <v>0</v>
      </c>
      <c r="EV70" s="51">
        <f>ER70*EV$67</f>
        <v>0</v>
      </c>
      <c r="EW70" s="54"/>
      <c r="EX70" s="51">
        <f t="shared" ref="EX70:EX86" si="1280">ET70*$EX$67</f>
        <v>1</v>
      </c>
      <c r="EY70" s="51">
        <f t="shared" ref="EY70:EY86" si="1281">EU70*$EY$67</f>
        <v>0</v>
      </c>
      <c r="EZ70" s="51">
        <f>EV70*EZ$67</f>
        <v>0</v>
      </c>
      <c r="FA70" s="54"/>
      <c r="FB70" s="51">
        <f t="shared" ref="FB70:FB86" si="1282">EX70*$FB$67</f>
        <v>1</v>
      </c>
      <c r="FC70" s="51">
        <f t="shared" ref="FC70:FC86" si="1283">EY70*$FC$67</f>
        <v>0</v>
      </c>
      <c r="FD70" s="51">
        <f>EZ70*FD$67</f>
        <v>0</v>
      </c>
      <c r="FE70" s="54"/>
      <c r="FF70" s="51">
        <f t="shared" ref="FF70:FF86" si="1284">FB70*$FF$67</f>
        <v>1</v>
      </c>
      <c r="FG70" s="51">
        <f t="shared" ref="FG70:FG86" si="1285">FC70*$FG$67</f>
        <v>0</v>
      </c>
      <c r="FH70" s="51">
        <f>FD70*FH$67</f>
        <v>0</v>
      </c>
      <c r="FI70" s="54"/>
      <c r="FJ70" s="51">
        <f t="shared" ref="FJ70:FJ86" si="1286">FF70*$FJ$67</f>
        <v>1</v>
      </c>
      <c r="FK70" s="51">
        <f t="shared" ref="FK70:FK86" si="1287">FG70*$FK$67</f>
        <v>0</v>
      </c>
      <c r="FL70" s="51">
        <f>FH70*FL$67</f>
        <v>0</v>
      </c>
      <c r="FM70" s="54"/>
      <c r="FN70" s="51">
        <f t="shared" ref="FN70:FN86" si="1288">FJ70*$FN$67</f>
        <v>1</v>
      </c>
      <c r="FO70" s="51">
        <f t="shared" ref="FO70:FO86" si="1289">FK70*$FO$67</f>
        <v>0</v>
      </c>
      <c r="FP70" s="51">
        <f>FL70*FP$67</f>
        <v>0</v>
      </c>
      <c r="FQ70" s="54"/>
      <c r="FR70" s="51">
        <f t="shared" ref="FR70:FR86" si="1290">FN70*$FR$67</f>
        <v>1</v>
      </c>
      <c r="FS70" s="51">
        <f t="shared" ref="FS70:FS86" si="1291">FO70*$FS$67</f>
        <v>0</v>
      </c>
      <c r="FT70" s="51">
        <f>FP70*FT$67</f>
        <v>0</v>
      </c>
      <c r="FU70" s="54"/>
      <c r="FV70" s="51">
        <f t="shared" ref="FV70:FV86" si="1292">FR70*$FV$67</f>
        <v>1</v>
      </c>
      <c r="FW70" s="51">
        <f t="shared" ref="FW70:FW86" si="1293">FS70*$FW$67</f>
        <v>0</v>
      </c>
      <c r="FX70" s="51">
        <f>FT70*FX$67</f>
        <v>0</v>
      </c>
      <c r="FY70" s="54"/>
      <c r="FZ70" s="51">
        <f t="shared" ref="FZ70:FZ86" si="1294">FV70*$FZ$67</f>
        <v>1</v>
      </c>
      <c r="GA70" s="51">
        <f t="shared" ref="GA70:GA86" si="1295">FW70*$GA$67</f>
        <v>0</v>
      </c>
      <c r="GB70" s="51">
        <f>FX70*GB$67</f>
        <v>0</v>
      </c>
      <c r="GC70" s="54"/>
      <c r="GD70" s="51">
        <f t="shared" ref="GD70:GD86" si="1296">FZ70*$GD$67</f>
        <v>1</v>
      </c>
      <c r="GE70" s="51">
        <f t="shared" ref="GE70:GE86" si="1297">GA70*$GE$67</f>
        <v>0</v>
      </c>
      <c r="GF70" s="51">
        <f>GB70*GF$67</f>
        <v>0</v>
      </c>
      <c r="GG70" s="54"/>
      <c r="GH70" s="51">
        <f t="shared" ref="GH70:GH86" si="1298">GD70*$GH$67</f>
        <v>1</v>
      </c>
      <c r="GI70" s="51">
        <f t="shared" ref="GI70:GI86" si="1299">GE70*$GI$67</f>
        <v>0</v>
      </c>
      <c r="GJ70" s="51">
        <f>GF70*GJ$67</f>
        <v>0</v>
      </c>
      <c r="GK70" s="54"/>
      <c r="GL70" s="51">
        <f t="shared" ref="GL70:GL86" si="1300">GH70*$GL$67</f>
        <v>1</v>
      </c>
      <c r="GM70" s="51">
        <f t="shared" ref="GM70:GM86" si="1301">GI70*$GM$67</f>
        <v>0</v>
      </c>
      <c r="GN70" s="51">
        <f>GJ70*GN$67</f>
        <v>0</v>
      </c>
      <c r="GP70" s="51">
        <f t="shared" si="1218"/>
        <v>1</v>
      </c>
      <c r="GQ70" s="51">
        <f t="shared" si="1219"/>
        <v>0</v>
      </c>
      <c r="GR70" s="51">
        <f>GN70*GR$67</f>
        <v>0</v>
      </c>
      <c r="GS70" s="54"/>
      <c r="GT70" s="51">
        <f t="shared" ref="GT70:GT86" si="1302">GP70*$GT$67</f>
        <v>1</v>
      </c>
      <c r="GU70" s="51">
        <f t="shared" ref="GU70:GU86" si="1303">GQ70*$GU$67</f>
        <v>0</v>
      </c>
      <c r="GV70" s="51">
        <f>GR70*GV$67</f>
        <v>0</v>
      </c>
      <c r="GW70" s="54"/>
      <c r="GX70" s="51">
        <f t="shared" ref="GX70:GX86" si="1304">GT70*$GX$67</f>
        <v>1</v>
      </c>
      <c r="GY70" s="51">
        <f t="shared" ref="GY70:GY86" si="1305">GU70*$GY$67</f>
        <v>0</v>
      </c>
      <c r="GZ70" s="51">
        <f>GV70*GZ$67</f>
        <v>0</v>
      </c>
      <c r="HA70" s="54"/>
      <c r="HB70" s="51">
        <f t="shared" ref="HB70:HB86" si="1306">GX70*$HB$67</f>
        <v>1</v>
      </c>
      <c r="HC70" s="51">
        <f t="shared" ref="HC70:HC86" si="1307">GY70*$HC$67</f>
        <v>0</v>
      </c>
      <c r="HD70" s="51">
        <f>GZ70*HD$67</f>
        <v>0</v>
      </c>
      <c r="HE70" s="54"/>
      <c r="HF70" s="51">
        <f t="shared" ref="HF70:HF86" si="1308">HB70*$HF$67</f>
        <v>1</v>
      </c>
      <c r="HG70" s="51">
        <f t="shared" ref="HG70:HG86" si="1309">HC70*$HG$67</f>
        <v>0</v>
      </c>
      <c r="HH70" s="51">
        <f>HD70*HH$67</f>
        <v>0</v>
      </c>
      <c r="HI70" s="54"/>
      <c r="HJ70" s="51">
        <f t="shared" ref="HJ70:HJ86" si="1310">HF70*$HJ$67</f>
        <v>1</v>
      </c>
      <c r="HK70" s="51">
        <f t="shared" ref="HK70:HK86" si="1311">HG70*$HK$67</f>
        <v>0</v>
      </c>
      <c r="HL70" s="51">
        <f>HH70*HL$67</f>
        <v>0</v>
      </c>
      <c r="HM70" s="54"/>
      <c r="HN70" s="51">
        <f t="shared" ref="HN70:HN86" si="1312">HJ70*$HN$67</f>
        <v>1</v>
      </c>
      <c r="HO70" s="51">
        <f t="shared" ref="HO70:HO86" si="1313">HK70*$HO$67</f>
        <v>0</v>
      </c>
      <c r="HP70" s="51">
        <f>HL70*HP$67</f>
        <v>0</v>
      </c>
      <c r="HQ70" s="54"/>
      <c r="HR70" s="51">
        <f t="shared" ref="HR70:HR86" si="1314">HN70*$HR$67</f>
        <v>1</v>
      </c>
      <c r="HS70" s="51">
        <f t="shared" ref="HS70:HS86" si="1315">HO70*$HS$67</f>
        <v>0</v>
      </c>
      <c r="HT70" s="51">
        <f>HP70*HT$67</f>
        <v>0</v>
      </c>
      <c r="HU70" s="54"/>
      <c r="HV70" s="51">
        <f t="shared" ref="HV70:HV86" si="1316">HR70*$HV$67</f>
        <v>1</v>
      </c>
      <c r="HW70" s="51">
        <f t="shared" ref="HW70:HW86" si="1317">HS70*$HW$67</f>
        <v>0</v>
      </c>
      <c r="HX70" s="51">
        <f>HT70*HX$67</f>
        <v>0</v>
      </c>
      <c r="HY70" s="54"/>
      <c r="HZ70" s="51">
        <f t="shared" ref="HZ70:HZ86" si="1318">HV70*$HZ$67</f>
        <v>1</v>
      </c>
      <c r="IA70" s="51">
        <f t="shared" ref="IA70:IA86" si="1319">HW70*$IA$67</f>
        <v>0</v>
      </c>
      <c r="IB70" s="51">
        <f>HX70*IB$67</f>
        <v>0</v>
      </c>
      <c r="IC70" s="54"/>
      <c r="ID70" s="51">
        <f t="shared" ref="ID70:ID86" si="1320">HZ70*$ID$67</f>
        <v>1</v>
      </c>
      <c r="IE70" s="51">
        <f t="shared" ref="IE70:IE86" si="1321">IA70*$IE$67</f>
        <v>0</v>
      </c>
      <c r="IF70" s="51">
        <f>IB70*IF$67</f>
        <v>0</v>
      </c>
      <c r="IG70" s="54"/>
      <c r="IH70" s="51">
        <f t="shared" ref="IH70:IH86" si="1322">ID70*$IH$67</f>
        <v>1</v>
      </c>
      <c r="II70" s="51">
        <f t="shared" ref="II70:II86" si="1323">IE70*$II$67</f>
        <v>0</v>
      </c>
      <c r="IJ70" s="51">
        <f>IF70*IJ$67</f>
        <v>0</v>
      </c>
      <c r="IL70" s="51">
        <f t="shared" si="1220"/>
        <v>1</v>
      </c>
      <c r="IM70" s="51">
        <f t="shared" si="1221"/>
        <v>0</v>
      </c>
      <c r="IN70" s="51">
        <f>IJ70*IN$67</f>
        <v>0</v>
      </c>
      <c r="IO70" s="54"/>
      <c r="IP70" s="51">
        <f t="shared" ref="IP70:IP86" si="1324">IL70*$IP$67</f>
        <v>1</v>
      </c>
      <c r="IQ70" s="51">
        <f t="shared" ref="IQ70:IQ86" si="1325">IM70*$IQ$67</f>
        <v>0</v>
      </c>
      <c r="IR70" s="51">
        <f>IN70*IR$67</f>
        <v>0</v>
      </c>
      <c r="IS70" s="54"/>
      <c r="IT70" s="51">
        <f t="shared" ref="IT70:IT86" si="1326">IP70*$IT$67</f>
        <v>1</v>
      </c>
      <c r="IU70" s="51">
        <f t="shared" ref="IU70:IU86" si="1327">IQ70*$IU$67</f>
        <v>0</v>
      </c>
      <c r="IV70" s="51">
        <f>IR70*IV$67</f>
        <v>0</v>
      </c>
      <c r="IW70" s="54"/>
      <c r="IX70" s="51">
        <f t="shared" ref="IX70:IX86" si="1328">IT70*$IX$67</f>
        <v>1</v>
      </c>
      <c r="IY70" s="51">
        <f t="shared" ref="IY70:IY86" si="1329">IU70*$IY$67</f>
        <v>0</v>
      </c>
      <c r="IZ70" s="51">
        <f>IV70*IZ$67</f>
        <v>0</v>
      </c>
      <c r="JA70" s="54"/>
      <c r="JB70" s="51" t="e">
        <f t="shared" ref="JB70:JB86" si="1330">IX70*$JB$67</f>
        <v>#REF!</v>
      </c>
      <c r="JC70" s="51">
        <f t="shared" ref="JC70:JC86" si="1331">IY70*$JC$67</f>
        <v>0</v>
      </c>
      <c r="JD70" s="51">
        <f>IZ70*JD$67</f>
        <v>0</v>
      </c>
      <c r="JE70" s="54"/>
      <c r="JF70" s="51" t="e">
        <f t="shared" ref="JF70:JF86" si="1332">JB70*$JF$67</f>
        <v>#REF!</v>
      </c>
      <c r="JG70" s="51">
        <f t="shared" ref="JG70:JG86" si="1333">JC70*$JG$67</f>
        <v>0</v>
      </c>
      <c r="JH70" s="51">
        <f>JD70*JH$67</f>
        <v>0</v>
      </c>
      <c r="JI70" s="54"/>
      <c r="JJ70" s="51" t="e">
        <f t="shared" ref="JJ70:JJ86" si="1334">JF70*$JJ$67</f>
        <v>#REF!</v>
      </c>
      <c r="JK70" s="51">
        <f t="shared" ref="JK70:JK86" si="1335">JG70*$JK$67</f>
        <v>0</v>
      </c>
      <c r="JL70" s="51">
        <f>JH70*JL$67</f>
        <v>0</v>
      </c>
      <c r="JM70" s="54"/>
      <c r="JO70" s="80"/>
      <c r="JP70" s="80"/>
      <c r="JQ70" s="80">
        <f t="shared" si="1222"/>
        <v>0</v>
      </c>
      <c r="JS70" s="80"/>
      <c r="JT70" s="80"/>
      <c r="JU70" s="80">
        <f t="shared" si="1223"/>
        <v>0</v>
      </c>
      <c r="JW70" s="80"/>
      <c r="JX70" s="80"/>
      <c r="JY70" s="80">
        <f t="shared" si="1224"/>
        <v>0</v>
      </c>
      <c r="KA70" s="80"/>
      <c r="KB70" s="80"/>
      <c r="KC70" s="80">
        <f t="shared" si="1225"/>
        <v>0</v>
      </c>
      <c r="KE70" s="80"/>
      <c r="KF70" s="80"/>
      <c r="KG70" s="80">
        <f t="shared" si="1226"/>
        <v>0</v>
      </c>
      <c r="KI70" s="80"/>
      <c r="KJ70" s="80"/>
      <c r="KK70" s="80">
        <f t="shared" si="1227"/>
        <v>0</v>
      </c>
      <c r="KM70" s="80"/>
      <c r="KN70" s="80"/>
      <c r="KO70" s="80">
        <f t="shared" si="1228"/>
        <v>0</v>
      </c>
    </row>
    <row r="71" ht="18.75" customHeight="1" spans="2:301" x14ac:dyDescent="0.25">
      <c r="B71" s="5" t="str">
        <f>A.IIOPEX!C71</f>
        <v>6c</v>
      </c>
      <c r="C71" s="27"/>
      <c r="D71" s="29">
        <f>A.IIOPEX!E71</f>
        <v>0</v>
      </c>
      <c r="E71" s="30"/>
      <c r="F71" s="51">
        <v>1</v>
      </c>
      <c r="G71" s="51"/>
      <c r="H71" s="51">
        <f>A.IIOPEX!I71</f>
        <v>0</v>
      </c>
      <c r="I71" s="54"/>
      <c r="J71" s="51">
        <f t="shared" si="1208"/>
        <v>1</v>
      </c>
      <c r="K71" s="51"/>
      <c r="L71" s="51">
        <f t="shared" si="1229"/>
        <v>0</v>
      </c>
      <c r="M71" s="54"/>
      <c r="N71" s="51">
        <f t="shared" si="1209"/>
        <v>1</v>
      </c>
      <c r="O71" s="51">
        <v>0</v>
      </c>
      <c r="P71" s="51">
        <f t="shared" si="1230"/>
        <v>0</v>
      </c>
      <c r="Q71" s="54"/>
      <c r="R71" s="51">
        <f t="shared" si="1210"/>
        <v>1</v>
      </c>
      <c r="S71" s="51">
        <v>0</v>
      </c>
      <c r="T71" s="51">
        <f t="shared" ref="T71:T86" si="1336">P71*T$67</f>
        <v>0</v>
      </c>
      <c r="U71" s="54"/>
      <c r="V71" s="51">
        <f t="shared" si="1211"/>
        <v>1</v>
      </c>
      <c r="W71" s="51">
        <v>0</v>
      </c>
      <c r="X71" s="51">
        <f t="shared" ref="X71:X86" si="1337">T71*X$67</f>
        <v>0</v>
      </c>
      <c r="Y71" s="54"/>
      <c r="Z71" s="51">
        <f t="shared" si="1212"/>
        <v>1</v>
      </c>
      <c r="AA71" s="51">
        <v>0</v>
      </c>
      <c r="AB71" s="51">
        <f t="shared" ref="AB71:AB86" si="1338">X71*AB$67</f>
        <v>0</v>
      </c>
      <c r="AC71" s="54"/>
      <c r="AD71" s="51">
        <f t="shared" ref="AD71:AD86" si="1339">Z71*$AD$67</f>
        <v>1</v>
      </c>
      <c r="AE71" s="51">
        <v>0</v>
      </c>
      <c r="AF71" s="51">
        <f t="shared" ref="AF71:AF86" si="1340">AB71*AF$67</f>
        <v>0</v>
      </c>
      <c r="AG71" s="54"/>
      <c r="AH71" s="51">
        <f t="shared" si="1232"/>
        <v>1</v>
      </c>
      <c r="AI71" s="51"/>
      <c r="AJ71" s="51">
        <f t="shared" ref="AJ71:AJ86" si="1341">AF71*AJ$67</f>
        <v>0</v>
      </c>
      <c r="AK71" s="54"/>
      <c r="AL71" s="51">
        <f t="shared" si="1233"/>
        <v>1</v>
      </c>
      <c r="AM71" s="51"/>
      <c r="AN71" s="51">
        <f t="shared" ref="AN71:AN86" si="1342">AJ71*AN$67</f>
        <v>0</v>
      </c>
      <c r="AO71" s="54"/>
      <c r="AP71" s="51">
        <f t="shared" si="1234"/>
        <v>1</v>
      </c>
      <c r="AQ71" s="51"/>
      <c r="AR71" s="51">
        <f t="shared" ref="AR71:AR86" si="1343">AN71*AR$67</f>
        <v>0</v>
      </c>
      <c r="AS71" s="54"/>
      <c r="AT71" s="51">
        <f t="shared" si="1235"/>
        <v>1</v>
      </c>
      <c r="AU71" s="51"/>
      <c r="AV71" s="51">
        <f t="shared" ref="AV71:AV86" si="1344">AR71*AV$67</f>
        <v>0</v>
      </c>
      <c r="AW71" s="54"/>
      <c r="AX71" s="51">
        <f t="shared" si="1236"/>
        <v>1</v>
      </c>
      <c r="AY71" s="51"/>
      <c r="AZ71" s="51">
        <f t="shared" ref="AZ71:AZ86" si="1345">AV71*AZ$67</f>
        <v>0</v>
      </c>
      <c r="BA71" s="54"/>
      <c r="BB71" s="51">
        <f t="shared" si="1213"/>
        <v>1</v>
      </c>
      <c r="BC71" s="51"/>
      <c r="BD71" s="51">
        <f t="shared" ref="BD71:BD86" si="1346">AZ71*BD$67</f>
        <v>0</v>
      </c>
      <c r="BE71" s="54"/>
      <c r="BF71" s="51">
        <f t="shared" si="1237"/>
        <v>1</v>
      </c>
      <c r="BG71" s="51"/>
      <c r="BH71" s="51">
        <f t="shared" ref="BH71:BH86" si="1347">BD71*BH$67</f>
        <v>0</v>
      </c>
      <c r="BI71" s="54"/>
      <c r="BJ71" s="51">
        <f t="shared" si="1238"/>
        <v>1</v>
      </c>
      <c r="BK71" s="51">
        <f t="shared" si="1239"/>
        <v>0</v>
      </c>
      <c r="BL71" s="51">
        <f t="shared" ref="BL71:BL86" si="1348">BH71*BL$67</f>
        <v>0</v>
      </c>
      <c r="BM71" s="54"/>
      <c r="BN71" s="51">
        <f t="shared" si="1240"/>
        <v>1</v>
      </c>
      <c r="BO71" s="51">
        <f t="shared" si="1241"/>
        <v>0</v>
      </c>
      <c r="BP71" s="51">
        <f t="shared" ref="BP71:BP86" si="1349">BL71*BP$67</f>
        <v>0</v>
      </c>
      <c r="BQ71" s="54"/>
      <c r="BR71" s="51">
        <f t="shared" si="1242"/>
        <v>1</v>
      </c>
      <c r="BS71" s="51">
        <f t="shared" si="1243"/>
        <v>0</v>
      </c>
      <c r="BT71" s="51">
        <f t="shared" ref="BT71:BT86" si="1350">BP71*BT$67</f>
        <v>0</v>
      </c>
      <c r="BU71" s="54"/>
      <c r="BV71" s="51">
        <f t="shared" si="1244"/>
        <v>1</v>
      </c>
      <c r="BW71" s="51">
        <f t="shared" si="1245"/>
        <v>0</v>
      </c>
      <c r="BX71" s="51">
        <f t="shared" ref="BX71:BX86" si="1351">BT71*BX$67</f>
        <v>0</v>
      </c>
      <c r="BY71" s="54"/>
      <c r="BZ71" s="51">
        <f t="shared" si="1246"/>
        <v>1</v>
      </c>
      <c r="CA71" s="51">
        <f t="shared" si="1247"/>
        <v>0</v>
      </c>
      <c r="CB71" s="51">
        <f t="shared" ref="CB71:CB86" si="1352">BX71*CB$67</f>
        <v>0</v>
      </c>
      <c r="CC71" s="54"/>
      <c r="CD71" s="51">
        <f t="shared" si="1248"/>
        <v>1</v>
      </c>
      <c r="CE71" s="51">
        <f t="shared" si="1249"/>
        <v>0</v>
      </c>
      <c r="CF71" s="51">
        <f t="shared" ref="CF71:CF86" si="1353">CB71*CF$67</f>
        <v>0</v>
      </c>
      <c r="CG71" s="54"/>
      <c r="CH71" s="51">
        <f t="shared" si="1250"/>
        <v>1</v>
      </c>
      <c r="CI71" s="51">
        <f t="shared" si="1251"/>
        <v>0</v>
      </c>
      <c r="CJ71" s="51">
        <f t="shared" ref="CJ71:CJ86" si="1354">CF71*CJ$67</f>
        <v>0</v>
      </c>
      <c r="CK71" s="54"/>
      <c r="CL71" s="51">
        <f t="shared" si="1252"/>
        <v>1</v>
      </c>
      <c r="CM71" s="51">
        <f t="shared" si="1253"/>
        <v>0</v>
      </c>
      <c r="CN71" s="51">
        <f t="shared" ref="CN71:CN86" si="1355">CJ71*CN$67</f>
        <v>0</v>
      </c>
      <c r="CO71" s="54"/>
      <c r="CP71" s="51">
        <f t="shared" si="1254"/>
        <v>1</v>
      </c>
      <c r="CQ71" s="51">
        <f t="shared" si="1255"/>
        <v>0</v>
      </c>
      <c r="CR71" s="51">
        <f t="shared" ref="CR71:CR86" si="1356">CN71*CR$67</f>
        <v>0</v>
      </c>
      <c r="CS71" s="54"/>
      <c r="CT71" s="51">
        <f t="shared" si="1256"/>
        <v>1</v>
      </c>
      <c r="CU71" s="51">
        <f t="shared" si="1257"/>
        <v>0</v>
      </c>
      <c r="CV71" s="51">
        <f t="shared" ref="CV71:CV86" si="1357">CR71*CV$67</f>
        <v>0</v>
      </c>
      <c r="CW71" s="54"/>
      <c r="CX71" s="51">
        <f t="shared" si="1214"/>
        <v>1</v>
      </c>
      <c r="CY71" s="51">
        <f t="shared" si="1215"/>
        <v>0</v>
      </c>
      <c r="CZ71" s="51">
        <f t="shared" ref="CZ71:CZ86" si="1358">CV71*CZ$67</f>
        <v>0</v>
      </c>
      <c r="DA71" s="54"/>
      <c r="DB71" s="51">
        <f t="shared" si="1258"/>
        <v>1</v>
      </c>
      <c r="DC71" s="51">
        <f t="shared" si="1259"/>
        <v>0</v>
      </c>
      <c r="DD71" s="51">
        <f t="shared" ref="DD71:DD86" si="1359">CZ71*DD$67</f>
        <v>0</v>
      </c>
      <c r="DE71" s="54"/>
      <c r="DF71" s="51">
        <f t="shared" si="1260"/>
        <v>1</v>
      </c>
      <c r="DG71" s="51">
        <f t="shared" si="1261"/>
        <v>0</v>
      </c>
      <c r="DH71" s="51">
        <f t="shared" ref="DH71:DH86" si="1360">DD71*DH$67</f>
        <v>0</v>
      </c>
      <c r="DI71" s="54"/>
      <c r="DJ71" s="51">
        <f t="shared" si="1262"/>
        <v>1</v>
      </c>
      <c r="DK71" s="51">
        <f t="shared" si="1263"/>
        <v>0</v>
      </c>
      <c r="DL71" s="51">
        <f t="shared" ref="DL71:DL86" si="1361">DH71*DL$67</f>
        <v>0</v>
      </c>
      <c r="DM71" s="54"/>
      <c r="DN71" s="51">
        <f t="shared" si="1264"/>
        <v>1</v>
      </c>
      <c r="DO71" s="51">
        <f t="shared" si="1265"/>
        <v>0</v>
      </c>
      <c r="DP71" s="51">
        <f t="shared" ref="DP71:DP86" si="1362">DL71*DP$67</f>
        <v>0</v>
      </c>
      <c r="DQ71" s="54"/>
      <c r="DR71" s="51">
        <f t="shared" si="1266"/>
        <v>1</v>
      </c>
      <c r="DS71" s="51">
        <f t="shared" si="1267"/>
        <v>0</v>
      </c>
      <c r="DT71" s="51">
        <f t="shared" ref="DT71:DT86" si="1363">DP71*DT$67</f>
        <v>0</v>
      </c>
      <c r="DU71" s="54"/>
      <c r="DV71" s="51">
        <f t="shared" si="1268"/>
        <v>1</v>
      </c>
      <c r="DW71" s="51">
        <f t="shared" si="1269"/>
        <v>0</v>
      </c>
      <c r="DX71" s="51">
        <f t="shared" ref="DX71:DX86" si="1364">DT71*DX$67</f>
        <v>0</v>
      </c>
      <c r="DY71" s="54"/>
      <c r="DZ71" s="51">
        <f t="shared" si="1270"/>
        <v>1</v>
      </c>
      <c r="EA71" s="51">
        <f t="shared" si="1271"/>
        <v>0</v>
      </c>
      <c r="EB71" s="51">
        <f t="shared" ref="EB71:EB86" si="1365">DX71*EB$67</f>
        <v>0</v>
      </c>
      <c r="EC71" s="54"/>
      <c r="ED71" s="51">
        <f t="shared" si="1272"/>
        <v>1</v>
      </c>
      <c r="EE71" s="51">
        <f t="shared" si="1273"/>
        <v>0</v>
      </c>
      <c r="EF71" s="51">
        <f t="shared" ref="EF71:EF86" si="1366">EB71*EF$67</f>
        <v>0</v>
      </c>
      <c r="EG71" s="54"/>
      <c r="EH71" s="51">
        <f t="shared" si="1274"/>
        <v>1</v>
      </c>
      <c r="EI71" s="51">
        <f t="shared" si="1275"/>
        <v>0</v>
      </c>
      <c r="EJ71" s="51">
        <f t="shared" ref="EJ71:EJ86" si="1367">EF71*EJ$67</f>
        <v>0</v>
      </c>
      <c r="EK71" s="54"/>
      <c r="EL71" s="51">
        <f t="shared" si="1276"/>
        <v>1</v>
      </c>
      <c r="EM71" s="51">
        <f t="shared" si="1277"/>
        <v>0</v>
      </c>
      <c r="EN71" s="51">
        <f t="shared" ref="EN71:EN86" si="1368">EJ71*EN$67</f>
        <v>0</v>
      </c>
      <c r="EO71" s="54"/>
      <c r="EP71" s="51">
        <f t="shared" si="1278"/>
        <v>1</v>
      </c>
      <c r="EQ71" s="51">
        <f t="shared" si="1279"/>
        <v>0</v>
      </c>
      <c r="ER71" s="51">
        <f t="shared" ref="ER71:ER86" si="1369">EN71*ER$67</f>
        <v>0</v>
      </c>
      <c r="ES71" s="54"/>
      <c r="ET71" s="51">
        <f t="shared" si="1216"/>
        <v>1</v>
      </c>
      <c r="EU71" s="51">
        <f t="shared" si="1217"/>
        <v>0</v>
      </c>
      <c r="EV71" s="51">
        <f t="shared" ref="EV71:EV86" si="1370">ER71*EV$67</f>
        <v>0</v>
      </c>
      <c r="EW71" s="54"/>
      <c r="EX71" s="51">
        <f t="shared" si="1280"/>
        <v>1</v>
      </c>
      <c r="EY71" s="51">
        <f t="shared" si="1281"/>
        <v>0</v>
      </c>
      <c r="EZ71" s="51">
        <f t="shared" ref="EZ71:EZ86" si="1371">EV71*EZ$67</f>
        <v>0</v>
      </c>
      <c r="FA71" s="54"/>
      <c r="FB71" s="51">
        <f t="shared" si="1282"/>
        <v>1</v>
      </c>
      <c r="FC71" s="51">
        <f t="shared" si="1283"/>
        <v>0</v>
      </c>
      <c r="FD71" s="51">
        <f t="shared" ref="FD71:FD86" si="1372">EZ71*FD$67</f>
        <v>0</v>
      </c>
      <c r="FE71" s="54"/>
      <c r="FF71" s="51">
        <f t="shared" si="1284"/>
        <v>1</v>
      </c>
      <c r="FG71" s="51">
        <f t="shared" si="1285"/>
        <v>0</v>
      </c>
      <c r="FH71" s="51">
        <f t="shared" ref="FH71:FH86" si="1373">FD71*FH$67</f>
        <v>0</v>
      </c>
      <c r="FI71" s="54"/>
      <c r="FJ71" s="51">
        <f t="shared" si="1286"/>
        <v>1</v>
      </c>
      <c r="FK71" s="51">
        <f t="shared" si="1287"/>
        <v>0</v>
      </c>
      <c r="FL71" s="51">
        <f t="shared" ref="FL71:FL86" si="1374">FH71*FL$67</f>
        <v>0</v>
      </c>
      <c r="FM71" s="54"/>
      <c r="FN71" s="51">
        <f t="shared" si="1288"/>
        <v>1</v>
      </c>
      <c r="FO71" s="51">
        <f t="shared" si="1289"/>
        <v>0</v>
      </c>
      <c r="FP71" s="51">
        <f t="shared" ref="FP71:FP86" si="1375">FL71*FP$67</f>
        <v>0</v>
      </c>
      <c r="FQ71" s="54"/>
      <c r="FR71" s="51">
        <f t="shared" si="1290"/>
        <v>1</v>
      </c>
      <c r="FS71" s="51">
        <f t="shared" si="1291"/>
        <v>0</v>
      </c>
      <c r="FT71" s="51">
        <f t="shared" ref="FT71:FT86" si="1376">FP71*FT$67</f>
        <v>0</v>
      </c>
      <c r="FU71" s="54"/>
      <c r="FV71" s="51">
        <f t="shared" si="1292"/>
        <v>1</v>
      </c>
      <c r="FW71" s="51">
        <f t="shared" si="1293"/>
        <v>0</v>
      </c>
      <c r="FX71" s="51">
        <f t="shared" ref="FX71:FX86" si="1377">FT71*FX$67</f>
        <v>0</v>
      </c>
      <c r="FY71" s="54"/>
      <c r="FZ71" s="51">
        <f t="shared" si="1294"/>
        <v>1</v>
      </c>
      <c r="GA71" s="51">
        <f t="shared" si="1295"/>
        <v>0</v>
      </c>
      <c r="GB71" s="51">
        <f t="shared" ref="GB71:GB86" si="1378">FX71*GB$67</f>
        <v>0</v>
      </c>
      <c r="GC71" s="54"/>
      <c r="GD71" s="51">
        <f t="shared" si="1296"/>
        <v>1</v>
      </c>
      <c r="GE71" s="51">
        <f t="shared" si="1297"/>
        <v>0</v>
      </c>
      <c r="GF71" s="51">
        <f t="shared" ref="GF71:GF86" si="1379">GB71*GF$67</f>
        <v>0</v>
      </c>
      <c r="GG71" s="54"/>
      <c r="GH71" s="51">
        <f t="shared" si="1298"/>
        <v>1</v>
      </c>
      <c r="GI71" s="51">
        <f t="shared" si="1299"/>
        <v>0</v>
      </c>
      <c r="GJ71" s="51">
        <f t="shared" ref="GJ71:GJ86" si="1380">GF71*GJ$67</f>
        <v>0</v>
      </c>
      <c r="GK71" s="54"/>
      <c r="GL71" s="51">
        <f t="shared" si="1300"/>
        <v>1</v>
      </c>
      <c r="GM71" s="51">
        <f t="shared" si="1301"/>
        <v>0</v>
      </c>
      <c r="GN71" s="51">
        <f t="shared" ref="GN71:GN86" si="1381">GJ71*GN$67</f>
        <v>0</v>
      </c>
      <c r="GP71" s="51">
        <f t="shared" si="1218"/>
        <v>1</v>
      </c>
      <c r="GQ71" s="51">
        <f t="shared" si="1219"/>
        <v>0</v>
      </c>
      <c r="GR71" s="51">
        <f t="shared" ref="GR71:GR86" si="1382">GN71*GR$67</f>
        <v>0</v>
      </c>
      <c r="GS71" s="54"/>
      <c r="GT71" s="51">
        <f t="shared" si="1302"/>
        <v>1</v>
      </c>
      <c r="GU71" s="51">
        <f t="shared" si="1303"/>
        <v>0</v>
      </c>
      <c r="GV71" s="51">
        <f t="shared" ref="GV71:GV86" si="1383">GR71*GV$67</f>
        <v>0</v>
      </c>
      <c r="GW71" s="54"/>
      <c r="GX71" s="51">
        <f t="shared" si="1304"/>
        <v>1</v>
      </c>
      <c r="GY71" s="51">
        <f t="shared" si="1305"/>
        <v>0</v>
      </c>
      <c r="GZ71" s="51">
        <f t="shared" ref="GZ71:GZ86" si="1384">GV71*GZ$67</f>
        <v>0</v>
      </c>
      <c r="HA71" s="54"/>
      <c r="HB71" s="51">
        <f t="shared" si="1306"/>
        <v>1</v>
      </c>
      <c r="HC71" s="51">
        <f t="shared" si="1307"/>
        <v>0</v>
      </c>
      <c r="HD71" s="51">
        <f t="shared" ref="HD71:HD86" si="1385">GZ71*HD$67</f>
        <v>0</v>
      </c>
      <c r="HE71" s="54"/>
      <c r="HF71" s="51">
        <f t="shared" si="1308"/>
        <v>1</v>
      </c>
      <c r="HG71" s="51">
        <f t="shared" si="1309"/>
        <v>0</v>
      </c>
      <c r="HH71" s="51">
        <f t="shared" ref="HH71:HH86" si="1386">HD71*HH$67</f>
        <v>0</v>
      </c>
      <c r="HI71" s="54"/>
      <c r="HJ71" s="51">
        <f t="shared" si="1310"/>
        <v>1</v>
      </c>
      <c r="HK71" s="51">
        <f t="shared" si="1311"/>
        <v>0</v>
      </c>
      <c r="HL71" s="51">
        <f t="shared" ref="HL71:HL86" si="1387">HH71*HL$67</f>
        <v>0</v>
      </c>
      <c r="HM71" s="54"/>
      <c r="HN71" s="51">
        <f t="shared" si="1312"/>
        <v>1</v>
      </c>
      <c r="HO71" s="51">
        <f t="shared" si="1313"/>
        <v>0</v>
      </c>
      <c r="HP71" s="51">
        <f t="shared" ref="HP71:HP86" si="1388">HL71*HP$67</f>
        <v>0</v>
      </c>
      <c r="HQ71" s="54"/>
      <c r="HR71" s="51">
        <f t="shared" si="1314"/>
        <v>1</v>
      </c>
      <c r="HS71" s="51">
        <f t="shared" si="1315"/>
        <v>0</v>
      </c>
      <c r="HT71" s="51">
        <f t="shared" ref="HT71:HT86" si="1389">HP71*HT$67</f>
        <v>0</v>
      </c>
      <c r="HU71" s="54"/>
      <c r="HV71" s="51">
        <f t="shared" si="1316"/>
        <v>1</v>
      </c>
      <c r="HW71" s="51">
        <f t="shared" si="1317"/>
        <v>0</v>
      </c>
      <c r="HX71" s="51">
        <f t="shared" ref="HX71:HX86" si="1390">HT71*HX$67</f>
        <v>0</v>
      </c>
      <c r="HY71" s="54"/>
      <c r="HZ71" s="51">
        <f t="shared" si="1318"/>
        <v>1</v>
      </c>
      <c r="IA71" s="51">
        <f t="shared" si="1319"/>
        <v>0</v>
      </c>
      <c r="IB71" s="51">
        <f t="shared" ref="IB71:IB86" si="1391">HX71*IB$67</f>
        <v>0</v>
      </c>
      <c r="IC71" s="54"/>
      <c r="ID71" s="51">
        <f t="shared" si="1320"/>
        <v>1</v>
      </c>
      <c r="IE71" s="51">
        <f t="shared" si="1321"/>
        <v>0</v>
      </c>
      <c r="IF71" s="51">
        <f t="shared" ref="IF71:IF86" si="1392">IB71*IF$67</f>
        <v>0</v>
      </c>
      <c r="IG71" s="54"/>
      <c r="IH71" s="51">
        <f t="shared" si="1322"/>
        <v>1</v>
      </c>
      <c r="II71" s="51">
        <f t="shared" si="1323"/>
        <v>0</v>
      </c>
      <c r="IJ71" s="51">
        <f t="shared" ref="IJ71:IJ86" si="1393">IF71*IJ$67</f>
        <v>0</v>
      </c>
      <c r="IL71" s="51">
        <f t="shared" si="1220"/>
        <v>1</v>
      </c>
      <c r="IM71" s="51">
        <f t="shared" si="1221"/>
        <v>0</v>
      </c>
      <c r="IN71" s="51">
        <f t="shared" ref="IN71:IN86" si="1394">IJ71*IN$67</f>
        <v>0</v>
      </c>
      <c r="IO71" s="54"/>
      <c r="IP71" s="51">
        <f t="shared" si="1324"/>
        <v>1</v>
      </c>
      <c r="IQ71" s="51">
        <f t="shared" si="1325"/>
        <v>0</v>
      </c>
      <c r="IR71" s="51">
        <f t="shared" ref="IR71:IR86" si="1395">IN71*IR$67</f>
        <v>0</v>
      </c>
      <c r="IS71" s="54"/>
      <c r="IT71" s="51">
        <f t="shared" si="1326"/>
        <v>1</v>
      </c>
      <c r="IU71" s="51">
        <f t="shared" si="1327"/>
        <v>0</v>
      </c>
      <c r="IV71" s="51">
        <f t="shared" ref="IV71:IV86" si="1396">IR71*IV$67</f>
        <v>0</v>
      </c>
      <c r="IW71" s="54"/>
      <c r="IX71" s="51">
        <f t="shared" si="1328"/>
        <v>1</v>
      </c>
      <c r="IY71" s="51">
        <f t="shared" si="1329"/>
        <v>0</v>
      </c>
      <c r="IZ71" s="51">
        <f t="shared" ref="IZ71:IZ86" si="1397">IV71*IZ$67</f>
        <v>0</v>
      </c>
      <c r="JA71" s="54"/>
      <c r="JB71" s="51" t="e">
        <f t="shared" si="1330"/>
        <v>#REF!</v>
      </c>
      <c r="JC71" s="51">
        <f t="shared" si="1331"/>
        <v>0</v>
      </c>
      <c r="JD71" s="51">
        <f t="shared" ref="JD71:JD86" si="1398">IZ71*JD$67</f>
        <v>0</v>
      </c>
      <c r="JE71" s="54"/>
      <c r="JF71" s="51" t="e">
        <f t="shared" si="1332"/>
        <v>#REF!</v>
      </c>
      <c r="JG71" s="51">
        <f t="shared" si="1333"/>
        <v>0</v>
      </c>
      <c r="JH71" s="51">
        <f t="shared" ref="JH71:JH86" si="1399">JD71*JH$67</f>
        <v>0</v>
      </c>
      <c r="JI71" s="54"/>
      <c r="JJ71" s="51" t="e">
        <f t="shared" si="1334"/>
        <v>#REF!</v>
      </c>
      <c r="JK71" s="51">
        <f t="shared" si="1335"/>
        <v>0</v>
      </c>
      <c r="JL71" s="51">
        <f t="shared" ref="JL71:JL86" si="1400">JH71*JL$67</f>
        <v>0</v>
      </c>
      <c r="JM71" s="54"/>
      <c r="JO71" s="80"/>
      <c r="JP71" s="80"/>
      <c r="JQ71" s="80">
        <f t="shared" si="1222"/>
        <v>0</v>
      </c>
      <c r="JS71" s="80"/>
      <c r="JT71" s="80"/>
      <c r="JU71" s="80">
        <f t="shared" si="1223"/>
        <v>0</v>
      </c>
      <c r="JW71" s="80"/>
      <c r="JX71" s="80"/>
      <c r="JY71" s="80">
        <f t="shared" si="1224"/>
        <v>0</v>
      </c>
      <c r="KA71" s="80"/>
      <c r="KB71" s="80"/>
      <c r="KC71" s="80">
        <f t="shared" si="1225"/>
        <v>0</v>
      </c>
      <c r="KE71" s="80"/>
      <c r="KF71" s="80"/>
      <c r="KG71" s="80">
        <f t="shared" si="1226"/>
        <v>0</v>
      </c>
      <c r="KI71" s="80"/>
      <c r="KJ71" s="80"/>
      <c r="KK71" s="80">
        <f t="shared" si="1227"/>
        <v>0</v>
      </c>
      <c r="KM71" s="80"/>
      <c r="KN71" s="80"/>
      <c r="KO71" s="80">
        <f t="shared" si="1228"/>
        <v>0</v>
      </c>
    </row>
    <row r="72" ht="18.75" customHeight="1" spans="2:301" x14ac:dyDescent="0.25">
      <c r="B72" s="5" t="str">
        <f>A.IIOPEX!C72</f>
        <v>6d</v>
      </c>
      <c r="C72" s="27"/>
      <c r="D72" s="29">
        <f>A.IIOPEX!E72</f>
        <v>0</v>
      </c>
      <c r="E72" s="30"/>
      <c r="F72" s="51">
        <v>1</v>
      </c>
      <c r="G72" s="51"/>
      <c r="H72" s="51">
        <f>A.IIOPEX!I72</f>
        <v>0</v>
      </c>
      <c r="I72" s="54"/>
      <c r="J72" s="51">
        <f t="shared" si="1208"/>
        <v>1</v>
      </c>
      <c r="K72" s="51"/>
      <c r="L72" s="51">
        <f t="shared" si="1229"/>
        <v>0</v>
      </c>
      <c r="M72" s="54"/>
      <c r="N72" s="51">
        <f t="shared" si="1209"/>
        <v>1</v>
      </c>
      <c r="O72" s="51">
        <v>0</v>
      </c>
      <c r="P72" s="51">
        <f t="shared" si="1230"/>
        <v>0</v>
      </c>
      <c r="Q72" s="54"/>
      <c r="R72" s="51">
        <f t="shared" si="1210"/>
        <v>1</v>
      </c>
      <c r="S72" s="51">
        <v>0</v>
      </c>
      <c r="T72" s="51">
        <f t="shared" si="1336"/>
        <v>0</v>
      </c>
      <c r="U72" s="54"/>
      <c r="V72" s="51">
        <f t="shared" si="1211"/>
        <v>1</v>
      </c>
      <c r="W72" s="51">
        <v>0</v>
      </c>
      <c r="X72" s="51">
        <f t="shared" si="1337"/>
        <v>0</v>
      </c>
      <c r="Y72" s="54"/>
      <c r="Z72" s="51">
        <f t="shared" si="1212"/>
        <v>1</v>
      </c>
      <c r="AA72" s="51">
        <v>0</v>
      </c>
      <c r="AB72" s="51">
        <f t="shared" si="1338"/>
        <v>0</v>
      </c>
      <c r="AC72" s="54"/>
      <c r="AD72" s="51">
        <f t="shared" si="1339"/>
        <v>1</v>
      </c>
      <c r="AE72" s="51">
        <v>0</v>
      </c>
      <c r="AF72" s="51">
        <f t="shared" si="1340"/>
        <v>0</v>
      </c>
      <c r="AG72" s="54"/>
      <c r="AH72" s="51">
        <f t="shared" si="1232"/>
        <v>1</v>
      </c>
      <c r="AI72" s="51"/>
      <c r="AJ72" s="51">
        <f t="shared" si="1341"/>
        <v>0</v>
      </c>
      <c r="AK72" s="54"/>
      <c r="AL72" s="51">
        <f t="shared" si="1233"/>
        <v>1</v>
      </c>
      <c r="AM72" s="51"/>
      <c r="AN72" s="51">
        <f t="shared" si="1342"/>
        <v>0</v>
      </c>
      <c r="AO72" s="54"/>
      <c r="AP72" s="51">
        <f t="shared" si="1234"/>
        <v>1</v>
      </c>
      <c r="AQ72" s="51"/>
      <c r="AR72" s="51">
        <f t="shared" si="1343"/>
        <v>0</v>
      </c>
      <c r="AS72" s="54"/>
      <c r="AT72" s="51">
        <f t="shared" si="1235"/>
        <v>1</v>
      </c>
      <c r="AU72" s="51"/>
      <c r="AV72" s="51">
        <f t="shared" si="1344"/>
        <v>0</v>
      </c>
      <c r="AW72" s="54"/>
      <c r="AX72" s="51">
        <f t="shared" si="1236"/>
        <v>1</v>
      </c>
      <c r="AY72" s="51"/>
      <c r="AZ72" s="51">
        <f t="shared" si="1345"/>
        <v>0</v>
      </c>
      <c r="BA72" s="54"/>
      <c r="BB72" s="51">
        <f t="shared" si="1213"/>
        <v>1</v>
      </c>
      <c r="BC72" s="51"/>
      <c r="BD72" s="51">
        <f t="shared" si="1346"/>
        <v>0</v>
      </c>
      <c r="BE72" s="54"/>
      <c r="BF72" s="51">
        <f t="shared" si="1237"/>
        <v>1</v>
      </c>
      <c r="BG72" s="51"/>
      <c r="BH72" s="51">
        <f t="shared" si="1347"/>
        <v>0</v>
      </c>
      <c r="BI72" s="54"/>
      <c r="BJ72" s="51">
        <f t="shared" si="1238"/>
        <v>1</v>
      </c>
      <c r="BK72" s="51">
        <f t="shared" si="1239"/>
        <v>0</v>
      </c>
      <c r="BL72" s="51">
        <f t="shared" si="1348"/>
        <v>0</v>
      </c>
      <c r="BM72" s="54"/>
      <c r="BN72" s="51">
        <f t="shared" si="1240"/>
        <v>1</v>
      </c>
      <c r="BO72" s="51">
        <f t="shared" si="1241"/>
        <v>0</v>
      </c>
      <c r="BP72" s="51">
        <f t="shared" si="1349"/>
        <v>0</v>
      </c>
      <c r="BQ72" s="54"/>
      <c r="BR72" s="51">
        <f t="shared" si="1242"/>
        <v>1</v>
      </c>
      <c r="BS72" s="51">
        <f t="shared" si="1243"/>
        <v>0</v>
      </c>
      <c r="BT72" s="51">
        <f t="shared" si="1350"/>
        <v>0</v>
      </c>
      <c r="BU72" s="54"/>
      <c r="BV72" s="51">
        <f t="shared" si="1244"/>
        <v>1</v>
      </c>
      <c r="BW72" s="51">
        <f t="shared" si="1245"/>
        <v>0</v>
      </c>
      <c r="BX72" s="51">
        <f t="shared" si="1351"/>
        <v>0</v>
      </c>
      <c r="BY72" s="54"/>
      <c r="BZ72" s="51">
        <f t="shared" si="1246"/>
        <v>1</v>
      </c>
      <c r="CA72" s="51">
        <f t="shared" si="1247"/>
        <v>0</v>
      </c>
      <c r="CB72" s="51">
        <f t="shared" si="1352"/>
        <v>0</v>
      </c>
      <c r="CC72" s="54"/>
      <c r="CD72" s="51">
        <f t="shared" si="1248"/>
        <v>1</v>
      </c>
      <c r="CE72" s="51">
        <f t="shared" si="1249"/>
        <v>0</v>
      </c>
      <c r="CF72" s="51">
        <f t="shared" si="1353"/>
        <v>0</v>
      </c>
      <c r="CG72" s="54"/>
      <c r="CH72" s="51">
        <f t="shared" si="1250"/>
        <v>1</v>
      </c>
      <c r="CI72" s="51">
        <f t="shared" si="1251"/>
        <v>0</v>
      </c>
      <c r="CJ72" s="51">
        <f t="shared" si="1354"/>
        <v>0</v>
      </c>
      <c r="CK72" s="54"/>
      <c r="CL72" s="51">
        <f t="shared" si="1252"/>
        <v>1</v>
      </c>
      <c r="CM72" s="51">
        <f t="shared" si="1253"/>
        <v>0</v>
      </c>
      <c r="CN72" s="51">
        <f t="shared" si="1355"/>
        <v>0</v>
      </c>
      <c r="CO72" s="54"/>
      <c r="CP72" s="51">
        <f t="shared" si="1254"/>
        <v>1</v>
      </c>
      <c r="CQ72" s="51">
        <f t="shared" si="1255"/>
        <v>0</v>
      </c>
      <c r="CR72" s="51">
        <f t="shared" si="1356"/>
        <v>0</v>
      </c>
      <c r="CS72" s="54"/>
      <c r="CT72" s="51">
        <f t="shared" si="1256"/>
        <v>1</v>
      </c>
      <c r="CU72" s="51">
        <f t="shared" si="1257"/>
        <v>0</v>
      </c>
      <c r="CV72" s="51">
        <f t="shared" si="1357"/>
        <v>0</v>
      </c>
      <c r="CW72" s="54"/>
      <c r="CX72" s="51">
        <f t="shared" si="1214"/>
        <v>1</v>
      </c>
      <c r="CY72" s="51">
        <f t="shared" si="1215"/>
        <v>0</v>
      </c>
      <c r="CZ72" s="51">
        <f t="shared" si="1358"/>
        <v>0</v>
      </c>
      <c r="DA72" s="54"/>
      <c r="DB72" s="51">
        <f t="shared" si="1258"/>
        <v>1</v>
      </c>
      <c r="DC72" s="51">
        <f t="shared" si="1259"/>
        <v>0</v>
      </c>
      <c r="DD72" s="51">
        <f t="shared" si="1359"/>
        <v>0</v>
      </c>
      <c r="DE72" s="54"/>
      <c r="DF72" s="51">
        <f t="shared" si="1260"/>
        <v>1</v>
      </c>
      <c r="DG72" s="51">
        <f t="shared" si="1261"/>
        <v>0</v>
      </c>
      <c r="DH72" s="51">
        <f t="shared" si="1360"/>
        <v>0</v>
      </c>
      <c r="DI72" s="54"/>
      <c r="DJ72" s="51">
        <f t="shared" si="1262"/>
        <v>1</v>
      </c>
      <c r="DK72" s="51">
        <f t="shared" si="1263"/>
        <v>0</v>
      </c>
      <c r="DL72" s="51">
        <f t="shared" si="1361"/>
        <v>0</v>
      </c>
      <c r="DM72" s="54"/>
      <c r="DN72" s="51">
        <f t="shared" si="1264"/>
        <v>1</v>
      </c>
      <c r="DO72" s="51">
        <f t="shared" si="1265"/>
        <v>0</v>
      </c>
      <c r="DP72" s="51">
        <f t="shared" si="1362"/>
        <v>0</v>
      </c>
      <c r="DQ72" s="54"/>
      <c r="DR72" s="51">
        <f t="shared" si="1266"/>
        <v>1</v>
      </c>
      <c r="DS72" s="51">
        <f t="shared" si="1267"/>
        <v>0</v>
      </c>
      <c r="DT72" s="51">
        <f t="shared" si="1363"/>
        <v>0</v>
      </c>
      <c r="DU72" s="54"/>
      <c r="DV72" s="51">
        <f t="shared" si="1268"/>
        <v>1</v>
      </c>
      <c r="DW72" s="51">
        <f t="shared" si="1269"/>
        <v>0</v>
      </c>
      <c r="DX72" s="51">
        <f t="shared" si="1364"/>
        <v>0</v>
      </c>
      <c r="DY72" s="54"/>
      <c r="DZ72" s="51">
        <f t="shared" si="1270"/>
        <v>1</v>
      </c>
      <c r="EA72" s="51">
        <f t="shared" si="1271"/>
        <v>0</v>
      </c>
      <c r="EB72" s="51">
        <f t="shared" si="1365"/>
        <v>0</v>
      </c>
      <c r="EC72" s="54"/>
      <c r="ED72" s="51">
        <f t="shared" si="1272"/>
        <v>1</v>
      </c>
      <c r="EE72" s="51">
        <f t="shared" si="1273"/>
        <v>0</v>
      </c>
      <c r="EF72" s="51">
        <f t="shared" si="1366"/>
        <v>0</v>
      </c>
      <c r="EG72" s="54"/>
      <c r="EH72" s="51">
        <f t="shared" si="1274"/>
        <v>1</v>
      </c>
      <c r="EI72" s="51">
        <f t="shared" si="1275"/>
        <v>0</v>
      </c>
      <c r="EJ72" s="51">
        <f t="shared" si="1367"/>
        <v>0</v>
      </c>
      <c r="EK72" s="54"/>
      <c r="EL72" s="51">
        <f t="shared" si="1276"/>
        <v>1</v>
      </c>
      <c r="EM72" s="51">
        <f t="shared" si="1277"/>
        <v>0</v>
      </c>
      <c r="EN72" s="51">
        <f t="shared" si="1368"/>
        <v>0</v>
      </c>
      <c r="EO72" s="54"/>
      <c r="EP72" s="51">
        <f t="shared" si="1278"/>
        <v>1</v>
      </c>
      <c r="EQ72" s="51">
        <f t="shared" si="1279"/>
        <v>0</v>
      </c>
      <c r="ER72" s="51">
        <f t="shared" si="1369"/>
        <v>0</v>
      </c>
      <c r="ES72" s="54"/>
      <c r="ET72" s="51">
        <f t="shared" si="1216"/>
        <v>1</v>
      </c>
      <c r="EU72" s="51">
        <f t="shared" si="1217"/>
        <v>0</v>
      </c>
      <c r="EV72" s="51">
        <f t="shared" si="1370"/>
        <v>0</v>
      </c>
      <c r="EW72" s="54"/>
      <c r="EX72" s="51">
        <f t="shared" si="1280"/>
        <v>1</v>
      </c>
      <c r="EY72" s="51">
        <f t="shared" si="1281"/>
        <v>0</v>
      </c>
      <c r="EZ72" s="51">
        <f t="shared" si="1371"/>
        <v>0</v>
      </c>
      <c r="FA72" s="54"/>
      <c r="FB72" s="51">
        <f t="shared" si="1282"/>
        <v>1</v>
      </c>
      <c r="FC72" s="51">
        <f t="shared" si="1283"/>
        <v>0</v>
      </c>
      <c r="FD72" s="51">
        <f t="shared" si="1372"/>
        <v>0</v>
      </c>
      <c r="FE72" s="54"/>
      <c r="FF72" s="51">
        <f t="shared" si="1284"/>
        <v>1</v>
      </c>
      <c r="FG72" s="51">
        <f t="shared" si="1285"/>
        <v>0</v>
      </c>
      <c r="FH72" s="51">
        <f t="shared" si="1373"/>
        <v>0</v>
      </c>
      <c r="FI72" s="54"/>
      <c r="FJ72" s="51">
        <f t="shared" si="1286"/>
        <v>1</v>
      </c>
      <c r="FK72" s="51">
        <f t="shared" si="1287"/>
        <v>0</v>
      </c>
      <c r="FL72" s="51">
        <f t="shared" si="1374"/>
        <v>0</v>
      </c>
      <c r="FM72" s="54"/>
      <c r="FN72" s="51">
        <f t="shared" si="1288"/>
        <v>1</v>
      </c>
      <c r="FO72" s="51">
        <f t="shared" si="1289"/>
        <v>0</v>
      </c>
      <c r="FP72" s="51">
        <f t="shared" si="1375"/>
        <v>0</v>
      </c>
      <c r="FQ72" s="54"/>
      <c r="FR72" s="51">
        <f t="shared" si="1290"/>
        <v>1</v>
      </c>
      <c r="FS72" s="51">
        <f t="shared" si="1291"/>
        <v>0</v>
      </c>
      <c r="FT72" s="51">
        <f t="shared" si="1376"/>
        <v>0</v>
      </c>
      <c r="FU72" s="54"/>
      <c r="FV72" s="51">
        <f t="shared" si="1292"/>
        <v>1</v>
      </c>
      <c r="FW72" s="51">
        <f t="shared" si="1293"/>
        <v>0</v>
      </c>
      <c r="FX72" s="51">
        <f t="shared" si="1377"/>
        <v>0</v>
      </c>
      <c r="FY72" s="54"/>
      <c r="FZ72" s="51">
        <f t="shared" si="1294"/>
        <v>1</v>
      </c>
      <c r="GA72" s="51">
        <f t="shared" si="1295"/>
        <v>0</v>
      </c>
      <c r="GB72" s="51">
        <f t="shared" si="1378"/>
        <v>0</v>
      </c>
      <c r="GC72" s="54"/>
      <c r="GD72" s="51">
        <f t="shared" si="1296"/>
        <v>1</v>
      </c>
      <c r="GE72" s="51">
        <f t="shared" si="1297"/>
        <v>0</v>
      </c>
      <c r="GF72" s="51">
        <f t="shared" si="1379"/>
        <v>0</v>
      </c>
      <c r="GG72" s="54"/>
      <c r="GH72" s="51">
        <f t="shared" si="1298"/>
        <v>1</v>
      </c>
      <c r="GI72" s="51">
        <f t="shared" si="1299"/>
        <v>0</v>
      </c>
      <c r="GJ72" s="51">
        <f t="shared" si="1380"/>
        <v>0</v>
      </c>
      <c r="GK72" s="54"/>
      <c r="GL72" s="51">
        <f t="shared" si="1300"/>
        <v>1</v>
      </c>
      <c r="GM72" s="51">
        <f t="shared" si="1301"/>
        <v>0</v>
      </c>
      <c r="GN72" s="51">
        <f t="shared" si="1381"/>
        <v>0</v>
      </c>
      <c r="GP72" s="51">
        <f t="shared" si="1218"/>
        <v>1</v>
      </c>
      <c r="GQ72" s="51">
        <f t="shared" si="1219"/>
        <v>0</v>
      </c>
      <c r="GR72" s="51">
        <f t="shared" si="1382"/>
        <v>0</v>
      </c>
      <c r="GS72" s="54"/>
      <c r="GT72" s="51">
        <f t="shared" si="1302"/>
        <v>1</v>
      </c>
      <c r="GU72" s="51">
        <f t="shared" si="1303"/>
        <v>0</v>
      </c>
      <c r="GV72" s="51">
        <f t="shared" si="1383"/>
        <v>0</v>
      </c>
      <c r="GW72" s="54"/>
      <c r="GX72" s="51">
        <f t="shared" si="1304"/>
        <v>1</v>
      </c>
      <c r="GY72" s="51">
        <f t="shared" si="1305"/>
        <v>0</v>
      </c>
      <c r="GZ72" s="51">
        <f t="shared" si="1384"/>
        <v>0</v>
      </c>
      <c r="HA72" s="54"/>
      <c r="HB72" s="51">
        <f t="shared" si="1306"/>
        <v>1</v>
      </c>
      <c r="HC72" s="51">
        <f t="shared" si="1307"/>
        <v>0</v>
      </c>
      <c r="HD72" s="51">
        <f t="shared" si="1385"/>
        <v>0</v>
      </c>
      <c r="HE72" s="54"/>
      <c r="HF72" s="51">
        <f t="shared" si="1308"/>
        <v>1</v>
      </c>
      <c r="HG72" s="51">
        <f t="shared" si="1309"/>
        <v>0</v>
      </c>
      <c r="HH72" s="51">
        <f t="shared" si="1386"/>
        <v>0</v>
      </c>
      <c r="HI72" s="54"/>
      <c r="HJ72" s="51">
        <f t="shared" si="1310"/>
        <v>1</v>
      </c>
      <c r="HK72" s="51">
        <f t="shared" si="1311"/>
        <v>0</v>
      </c>
      <c r="HL72" s="51">
        <f t="shared" si="1387"/>
        <v>0</v>
      </c>
      <c r="HM72" s="54"/>
      <c r="HN72" s="51">
        <f t="shared" si="1312"/>
        <v>1</v>
      </c>
      <c r="HO72" s="51">
        <f t="shared" si="1313"/>
        <v>0</v>
      </c>
      <c r="HP72" s="51">
        <f t="shared" si="1388"/>
        <v>0</v>
      </c>
      <c r="HQ72" s="54"/>
      <c r="HR72" s="51">
        <f t="shared" si="1314"/>
        <v>1</v>
      </c>
      <c r="HS72" s="51">
        <f t="shared" si="1315"/>
        <v>0</v>
      </c>
      <c r="HT72" s="51">
        <f t="shared" si="1389"/>
        <v>0</v>
      </c>
      <c r="HU72" s="54"/>
      <c r="HV72" s="51">
        <f t="shared" si="1316"/>
        <v>1</v>
      </c>
      <c r="HW72" s="51">
        <f t="shared" si="1317"/>
        <v>0</v>
      </c>
      <c r="HX72" s="51">
        <f t="shared" si="1390"/>
        <v>0</v>
      </c>
      <c r="HY72" s="54"/>
      <c r="HZ72" s="51">
        <f t="shared" si="1318"/>
        <v>1</v>
      </c>
      <c r="IA72" s="51">
        <f t="shared" si="1319"/>
        <v>0</v>
      </c>
      <c r="IB72" s="51">
        <f t="shared" si="1391"/>
        <v>0</v>
      </c>
      <c r="IC72" s="54"/>
      <c r="ID72" s="51">
        <f t="shared" si="1320"/>
        <v>1</v>
      </c>
      <c r="IE72" s="51">
        <f t="shared" si="1321"/>
        <v>0</v>
      </c>
      <c r="IF72" s="51">
        <f t="shared" si="1392"/>
        <v>0</v>
      </c>
      <c r="IG72" s="54"/>
      <c r="IH72" s="51">
        <f t="shared" si="1322"/>
        <v>1</v>
      </c>
      <c r="II72" s="51">
        <f t="shared" si="1323"/>
        <v>0</v>
      </c>
      <c r="IJ72" s="51">
        <f t="shared" si="1393"/>
        <v>0</v>
      </c>
      <c r="IL72" s="51">
        <f t="shared" si="1220"/>
        <v>1</v>
      </c>
      <c r="IM72" s="51">
        <f t="shared" si="1221"/>
        <v>0</v>
      </c>
      <c r="IN72" s="51">
        <f t="shared" si="1394"/>
        <v>0</v>
      </c>
      <c r="IO72" s="54"/>
      <c r="IP72" s="51">
        <f t="shared" si="1324"/>
        <v>1</v>
      </c>
      <c r="IQ72" s="51">
        <f t="shared" si="1325"/>
        <v>0</v>
      </c>
      <c r="IR72" s="51">
        <f t="shared" si="1395"/>
        <v>0</v>
      </c>
      <c r="IS72" s="54"/>
      <c r="IT72" s="51">
        <f t="shared" si="1326"/>
        <v>1</v>
      </c>
      <c r="IU72" s="51">
        <f t="shared" si="1327"/>
        <v>0</v>
      </c>
      <c r="IV72" s="51">
        <f t="shared" si="1396"/>
        <v>0</v>
      </c>
      <c r="IW72" s="54"/>
      <c r="IX72" s="51">
        <f t="shared" si="1328"/>
        <v>1</v>
      </c>
      <c r="IY72" s="51">
        <f t="shared" si="1329"/>
        <v>0</v>
      </c>
      <c r="IZ72" s="51">
        <f t="shared" si="1397"/>
        <v>0</v>
      </c>
      <c r="JA72" s="54"/>
      <c r="JB72" s="51" t="e">
        <f t="shared" si="1330"/>
        <v>#REF!</v>
      </c>
      <c r="JC72" s="51">
        <f t="shared" si="1331"/>
        <v>0</v>
      </c>
      <c r="JD72" s="51">
        <f t="shared" si="1398"/>
        <v>0</v>
      </c>
      <c r="JE72" s="54"/>
      <c r="JF72" s="51" t="e">
        <f t="shared" si="1332"/>
        <v>#REF!</v>
      </c>
      <c r="JG72" s="51">
        <f t="shared" si="1333"/>
        <v>0</v>
      </c>
      <c r="JH72" s="51">
        <f t="shared" si="1399"/>
        <v>0</v>
      </c>
      <c r="JI72" s="54"/>
      <c r="JJ72" s="51" t="e">
        <f t="shared" si="1334"/>
        <v>#REF!</v>
      </c>
      <c r="JK72" s="51">
        <f t="shared" si="1335"/>
        <v>0</v>
      </c>
      <c r="JL72" s="51">
        <f t="shared" si="1400"/>
        <v>0</v>
      </c>
      <c r="JM72" s="54"/>
      <c r="JO72" s="80"/>
      <c r="JP72" s="80"/>
      <c r="JQ72" s="80">
        <f t="shared" si="1222"/>
        <v>0</v>
      </c>
      <c r="JS72" s="80"/>
      <c r="JT72" s="80"/>
      <c r="JU72" s="80">
        <f t="shared" si="1223"/>
        <v>0</v>
      </c>
      <c r="JW72" s="80"/>
      <c r="JX72" s="80"/>
      <c r="JY72" s="80">
        <f t="shared" si="1224"/>
        <v>0</v>
      </c>
      <c r="KA72" s="80"/>
      <c r="KB72" s="80"/>
      <c r="KC72" s="80">
        <f t="shared" si="1225"/>
        <v>0</v>
      </c>
      <c r="KE72" s="80"/>
      <c r="KF72" s="80"/>
      <c r="KG72" s="80">
        <f t="shared" si="1226"/>
        <v>0</v>
      </c>
      <c r="KI72" s="80"/>
      <c r="KJ72" s="80"/>
      <c r="KK72" s="80">
        <f t="shared" si="1227"/>
        <v>0</v>
      </c>
      <c r="KM72" s="80"/>
      <c r="KN72" s="80"/>
      <c r="KO72" s="80">
        <f t="shared" si="1228"/>
        <v>0</v>
      </c>
    </row>
    <row r="73" ht="18.75" customHeight="1" spans="2:301" x14ac:dyDescent="0.25">
      <c r="B73" s="5" t="str">
        <f>A.IIOPEX!C73</f>
        <v>6e</v>
      </c>
      <c r="C73" s="27"/>
      <c r="D73" s="29">
        <f>A.IIOPEX!E73</f>
        <v>0</v>
      </c>
      <c r="E73" s="30"/>
      <c r="F73" s="51">
        <v>1</v>
      </c>
      <c r="G73" s="51"/>
      <c r="H73" s="51">
        <f>A.IIOPEX!I73</f>
        <v>0</v>
      </c>
      <c r="I73" s="54"/>
      <c r="J73" s="51">
        <f t="shared" si="1208"/>
        <v>1</v>
      </c>
      <c r="K73" s="51"/>
      <c r="L73" s="51">
        <f t="shared" si="1229"/>
        <v>0</v>
      </c>
      <c r="M73" s="54"/>
      <c r="N73" s="51">
        <f t="shared" si="1209"/>
        <v>1</v>
      </c>
      <c r="O73" s="51">
        <v>0</v>
      </c>
      <c r="P73" s="51">
        <f t="shared" si="1230"/>
        <v>0</v>
      </c>
      <c r="Q73" s="54"/>
      <c r="R73" s="51">
        <f t="shared" si="1210"/>
        <v>1</v>
      </c>
      <c r="S73" s="51">
        <v>0</v>
      </c>
      <c r="T73" s="51">
        <f t="shared" si="1336"/>
        <v>0</v>
      </c>
      <c r="U73" s="54"/>
      <c r="V73" s="51">
        <f t="shared" si="1211"/>
        <v>1</v>
      </c>
      <c r="W73" s="51">
        <v>0</v>
      </c>
      <c r="X73" s="51">
        <f t="shared" si="1337"/>
        <v>0</v>
      </c>
      <c r="Y73" s="54"/>
      <c r="Z73" s="51">
        <f t="shared" si="1212"/>
        <v>1</v>
      </c>
      <c r="AA73" s="51">
        <v>0</v>
      </c>
      <c r="AB73" s="51">
        <f t="shared" si="1338"/>
        <v>0</v>
      </c>
      <c r="AC73" s="54"/>
      <c r="AD73" s="51">
        <f t="shared" si="1339"/>
        <v>1</v>
      </c>
      <c r="AE73" s="51">
        <v>0</v>
      </c>
      <c r="AF73" s="51">
        <f t="shared" si="1340"/>
        <v>0</v>
      </c>
      <c r="AG73" s="54"/>
      <c r="AH73" s="51">
        <f t="shared" si="1232"/>
        <v>1</v>
      </c>
      <c r="AI73" s="51"/>
      <c r="AJ73" s="51">
        <f t="shared" si="1341"/>
        <v>0</v>
      </c>
      <c r="AK73" s="54"/>
      <c r="AL73" s="51">
        <f t="shared" si="1233"/>
        <v>1</v>
      </c>
      <c r="AM73" s="51"/>
      <c r="AN73" s="51">
        <f t="shared" si="1342"/>
        <v>0</v>
      </c>
      <c r="AO73" s="54"/>
      <c r="AP73" s="51">
        <f t="shared" si="1234"/>
        <v>1</v>
      </c>
      <c r="AQ73" s="51"/>
      <c r="AR73" s="51">
        <f t="shared" si="1343"/>
        <v>0</v>
      </c>
      <c r="AS73" s="54"/>
      <c r="AT73" s="51">
        <f t="shared" si="1235"/>
        <v>1</v>
      </c>
      <c r="AU73" s="51"/>
      <c r="AV73" s="51">
        <f t="shared" si="1344"/>
        <v>0</v>
      </c>
      <c r="AW73" s="54"/>
      <c r="AX73" s="51">
        <f t="shared" si="1236"/>
        <v>1</v>
      </c>
      <c r="AY73" s="51"/>
      <c r="AZ73" s="51">
        <f t="shared" si="1345"/>
        <v>0</v>
      </c>
      <c r="BA73" s="54"/>
      <c r="BB73" s="51">
        <f t="shared" si="1213"/>
        <v>1</v>
      </c>
      <c r="BC73" s="51"/>
      <c r="BD73" s="51">
        <f t="shared" si="1346"/>
        <v>0</v>
      </c>
      <c r="BE73" s="54"/>
      <c r="BF73" s="51">
        <f t="shared" si="1237"/>
        <v>1</v>
      </c>
      <c r="BG73" s="51"/>
      <c r="BH73" s="51">
        <f t="shared" si="1347"/>
        <v>0</v>
      </c>
      <c r="BI73" s="54"/>
      <c r="BJ73" s="51">
        <f t="shared" si="1238"/>
        <v>1</v>
      </c>
      <c r="BK73" s="51">
        <f t="shared" si="1239"/>
        <v>0</v>
      </c>
      <c r="BL73" s="51">
        <f t="shared" si="1348"/>
        <v>0</v>
      </c>
      <c r="BM73" s="54"/>
      <c r="BN73" s="51">
        <f t="shared" si="1240"/>
        <v>1</v>
      </c>
      <c r="BO73" s="51">
        <f t="shared" si="1241"/>
        <v>0</v>
      </c>
      <c r="BP73" s="51">
        <f t="shared" si="1349"/>
        <v>0</v>
      </c>
      <c r="BQ73" s="54"/>
      <c r="BR73" s="51">
        <f t="shared" si="1242"/>
        <v>1</v>
      </c>
      <c r="BS73" s="51">
        <f t="shared" si="1243"/>
        <v>0</v>
      </c>
      <c r="BT73" s="51">
        <f t="shared" si="1350"/>
        <v>0</v>
      </c>
      <c r="BU73" s="54"/>
      <c r="BV73" s="51">
        <f t="shared" si="1244"/>
        <v>1</v>
      </c>
      <c r="BW73" s="51">
        <f t="shared" si="1245"/>
        <v>0</v>
      </c>
      <c r="BX73" s="51">
        <f t="shared" si="1351"/>
        <v>0</v>
      </c>
      <c r="BY73" s="54"/>
      <c r="BZ73" s="51">
        <f t="shared" si="1246"/>
        <v>1</v>
      </c>
      <c r="CA73" s="51">
        <f t="shared" si="1247"/>
        <v>0</v>
      </c>
      <c r="CB73" s="51">
        <f t="shared" si="1352"/>
        <v>0</v>
      </c>
      <c r="CC73" s="54"/>
      <c r="CD73" s="51">
        <f t="shared" si="1248"/>
        <v>1</v>
      </c>
      <c r="CE73" s="51">
        <f t="shared" si="1249"/>
        <v>0</v>
      </c>
      <c r="CF73" s="51">
        <f t="shared" si="1353"/>
        <v>0</v>
      </c>
      <c r="CG73" s="54"/>
      <c r="CH73" s="51">
        <f t="shared" si="1250"/>
        <v>1</v>
      </c>
      <c r="CI73" s="51">
        <f t="shared" si="1251"/>
        <v>0</v>
      </c>
      <c r="CJ73" s="51">
        <f t="shared" si="1354"/>
        <v>0</v>
      </c>
      <c r="CK73" s="54"/>
      <c r="CL73" s="51">
        <f t="shared" si="1252"/>
        <v>1</v>
      </c>
      <c r="CM73" s="51">
        <f t="shared" si="1253"/>
        <v>0</v>
      </c>
      <c r="CN73" s="51">
        <f t="shared" si="1355"/>
        <v>0</v>
      </c>
      <c r="CO73" s="54"/>
      <c r="CP73" s="51">
        <f t="shared" si="1254"/>
        <v>1</v>
      </c>
      <c r="CQ73" s="51">
        <f t="shared" si="1255"/>
        <v>0</v>
      </c>
      <c r="CR73" s="51">
        <f t="shared" si="1356"/>
        <v>0</v>
      </c>
      <c r="CS73" s="54"/>
      <c r="CT73" s="51">
        <f t="shared" si="1256"/>
        <v>1</v>
      </c>
      <c r="CU73" s="51">
        <f t="shared" si="1257"/>
        <v>0</v>
      </c>
      <c r="CV73" s="51">
        <f t="shared" si="1357"/>
        <v>0</v>
      </c>
      <c r="CW73" s="54"/>
      <c r="CX73" s="51">
        <f t="shared" si="1214"/>
        <v>1</v>
      </c>
      <c r="CY73" s="51">
        <f t="shared" si="1215"/>
        <v>0</v>
      </c>
      <c r="CZ73" s="51">
        <f t="shared" si="1358"/>
        <v>0</v>
      </c>
      <c r="DA73" s="54"/>
      <c r="DB73" s="51">
        <f t="shared" si="1258"/>
        <v>1</v>
      </c>
      <c r="DC73" s="51">
        <f t="shared" si="1259"/>
        <v>0</v>
      </c>
      <c r="DD73" s="51">
        <f t="shared" si="1359"/>
        <v>0</v>
      </c>
      <c r="DE73" s="54"/>
      <c r="DF73" s="51">
        <f t="shared" si="1260"/>
        <v>1</v>
      </c>
      <c r="DG73" s="51">
        <f t="shared" si="1261"/>
        <v>0</v>
      </c>
      <c r="DH73" s="51">
        <f t="shared" si="1360"/>
        <v>0</v>
      </c>
      <c r="DI73" s="54"/>
      <c r="DJ73" s="51">
        <f t="shared" si="1262"/>
        <v>1</v>
      </c>
      <c r="DK73" s="51">
        <f t="shared" si="1263"/>
        <v>0</v>
      </c>
      <c r="DL73" s="51">
        <f t="shared" si="1361"/>
        <v>0</v>
      </c>
      <c r="DM73" s="54"/>
      <c r="DN73" s="51">
        <f t="shared" si="1264"/>
        <v>1</v>
      </c>
      <c r="DO73" s="51">
        <f t="shared" si="1265"/>
        <v>0</v>
      </c>
      <c r="DP73" s="51">
        <f t="shared" si="1362"/>
        <v>0</v>
      </c>
      <c r="DQ73" s="54"/>
      <c r="DR73" s="51">
        <f t="shared" si="1266"/>
        <v>1</v>
      </c>
      <c r="DS73" s="51">
        <f t="shared" si="1267"/>
        <v>0</v>
      </c>
      <c r="DT73" s="51">
        <f t="shared" si="1363"/>
        <v>0</v>
      </c>
      <c r="DU73" s="54"/>
      <c r="DV73" s="51">
        <f t="shared" si="1268"/>
        <v>1</v>
      </c>
      <c r="DW73" s="51">
        <f t="shared" si="1269"/>
        <v>0</v>
      </c>
      <c r="DX73" s="51">
        <f t="shared" si="1364"/>
        <v>0</v>
      </c>
      <c r="DY73" s="54"/>
      <c r="DZ73" s="51">
        <f t="shared" si="1270"/>
        <v>1</v>
      </c>
      <c r="EA73" s="51">
        <f t="shared" si="1271"/>
        <v>0</v>
      </c>
      <c r="EB73" s="51">
        <f t="shared" si="1365"/>
        <v>0</v>
      </c>
      <c r="EC73" s="54"/>
      <c r="ED73" s="51">
        <f t="shared" si="1272"/>
        <v>1</v>
      </c>
      <c r="EE73" s="51">
        <f t="shared" si="1273"/>
        <v>0</v>
      </c>
      <c r="EF73" s="51">
        <f t="shared" si="1366"/>
        <v>0</v>
      </c>
      <c r="EG73" s="54"/>
      <c r="EH73" s="51">
        <f t="shared" si="1274"/>
        <v>1</v>
      </c>
      <c r="EI73" s="51">
        <f t="shared" si="1275"/>
        <v>0</v>
      </c>
      <c r="EJ73" s="51">
        <f t="shared" si="1367"/>
        <v>0</v>
      </c>
      <c r="EK73" s="54"/>
      <c r="EL73" s="51">
        <f t="shared" si="1276"/>
        <v>1</v>
      </c>
      <c r="EM73" s="51">
        <f t="shared" si="1277"/>
        <v>0</v>
      </c>
      <c r="EN73" s="51">
        <f t="shared" si="1368"/>
        <v>0</v>
      </c>
      <c r="EO73" s="54"/>
      <c r="EP73" s="51">
        <f t="shared" si="1278"/>
        <v>1</v>
      </c>
      <c r="EQ73" s="51">
        <f t="shared" si="1279"/>
        <v>0</v>
      </c>
      <c r="ER73" s="51">
        <f t="shared" si="1369"/>
        <v>0</v>
      </c>
      <c r="ES73" s="54"/>
      <c r="ET73" s="51">
        <f t="shared" si="1216"/>
        <v>1</v>
      </c>
      <c r="EU73" s="51">
        <f t="shared" si="1217"/>
        <v>0</v>
      </c>
      <c r="EV73" s="51">
        <f t="shared" si="1370"/>
        <v>0</v>
      </c>
      <c r="EW73" s="54"/>
      <c r="EX73" s="51">
        <f t="shared" si="1280"/>
        <v>1</v>
      </c>
      <c r="EY73" s="51">
        <f t="shared" si="1281"/>
        <v>0</v>
      </c>
      <c r="EZ73" s="51">
        <f t="shared" si="1371"/>
        <v>0</v>
      </c>
      <c r="FA73" s="54"/>
      <c r="FB73" s="51">
        <f t="shared" si="1282"/>
        <v>1</v>
      </c>
      <c r="FC73" s="51">
        <f t="shared" si="1283"/>
        <v>0</v>
      </c>
      <c r="FD73" s="51">
        <f t="shared" si="1372"/>
        <v>0</v>
      </c>
      <c r="FE73" s="54"/>
      <c r="FF73" s="51">
        <f t="shared" si="1284"/>
        <v>1</v>
      </c>
      <c r="FG73" s="51">
        <f t="shared" si="1285"/>
        <v>0</v>
      </c>
      <c r="FH73" s="51">
        <f t="shared" si="1373"/>
        <v>0</v>
      </c>
      <c r="FI73" s="54"/>
      <c r="FJ73" s="51">
        <f t="shared" si="1286"/>
        <v>1</v>
      </c>
      <c r="FK73" s="51">
        <f t="shared" si="1287"/>
        <v>0</v>
      </c>
      <c r="FL73" s="51">
        <f t="shared" si="1374"/>
        <v>0</v>
      </c>
      <c r="FM73" s="54"/>
      <c r="FN73" s="51">
        <f t="shared" si="1288"/>
        <v>1</v>
      </c>
      <c r="FO73" s="51">
        <f t="shared" si="1289"/>
        <v>0</v>
      </c>
      <c r="FP73" s="51">
        <f t="shared" si="1375"/>
        <v>0</v>
      </c>
      <c r="FQ73" s="54"/>
      <c r="FR73" s="51">
        <f t="shared" si="1290"/>
        <v>1</v>
      </c>
      <c r="FS73" s="51">
        <f t="shared" si="1291"/>
        <v>0</v>
      </c>
      <c r="FT73" s="51">
        <f t="shared" si="1376"/>
        <v>0</v>
      </c>
      <c r="FU73" s="54"/>
      <c r="FV73" s="51">
        <f t="shared" si="1292"/>
        <v>1</v>
      </c>
      <c r="FW73" s="51">
        <f t="shared" si="1293"/>
        <v>0</v>
      </c>
      <c r="FX73" s="51">
        <f t="shared" si="1377"/>
        <v>0</v>
      </c>
      <c r="FY73" s="54"/>
      <c r="FZ73" s="51">
        <f t="shared" si="1294"/>
        <v>1</v>
      </c>
      <c r="GA73" s="51">
        <f t="shared" si="1295"/>
        <v>0</v>
      </c>
      <c r="GB73" s="51">
        <f t="shared" si="1378"/>
        <v>0</v>
      </c>
      <c r="GC73" s="54"/>
      <c r="GD73" s="51">
        <f t="shared" si="1296"/>
        <v>1</v>
      </c>
      <c r="GE73" s="51">
        <f t="shared" si="1297"/>
        <v>0</v>
      </c>
      <c r="GF73" s="51">
        <f t="shared" si="1379"/>
        <v>0</v>
      </c>
      <c r="GG73" s="54"/>
      <c r="GH73" s="51">
        <f t="shared" si="1298"/>
        <v>1</v>
      </c>
      <c r="GI73" s="51">
        <f t="shared" si="1299"/>
        <v>0</v>
      </c>
      <c r="GJ73" s="51">
        <f t="shared" si="1380"/>
        <v>0</v>
      </c>
      <c r="GK73" s="54"/>
      <c r="GL73" s="51">
        <f t="shared" si="1300"/>
        <v>1</v>
      </c>
      <c r="GM73" s="51">
        <f t="shared" si="1301"/>
        <v>0</v>
      </c>
      <c r="GN73" s="51">
        <f t="shared" si="1381"/>
        <v>0</v>
      </c>
      <c r="GP73" s="51">
        <f t="shared" si="1218"/>
        <v>1</v>
      </c>
      <c r="GQ73" s="51">
        <f t="shared" si="1219"/>
        <v>0</v>
      </c>
      <c r="GR73" s="51">
        <f t="shared" si="1382"/>
        <v>0</v>
      </c>
      <c r="GS73" s="54"/>
      <c r="GT73" s="51">
        <f t="shared" si="1302"/>
        <v>1</v>
      </c>
      <c r="GU73" s="51">
        <f t="shared" si="1303"/>
        <v>0</v>
      </c>
      <c r="GV73" s="51">
        <f t="shared" si="1383"/>
        <v>0</v>
      </c>
      <c r="GW73" s="54"/>
      <c r="GX73" s="51">
        <f t="shared" si="1304"/>
        <v>1</v>
      </c>
      <c r="GY73" s="51">
        <f t="shared" si="1305"/>
        <v>0</v>
      </c>
      <c r="GZ73" s="51">
        <f t="shared" si="1384"/>
        <v>0</v>
      </c>
      <c r="HA73" s="54"/>
      <c r="HB73" s="51">
        <f t="shared" si="1306"/>
        <v>1</v>
      </c>
      <c r="HC73" s="51">
        <f t="shared" si="1307"/>
        <v>0</v>
      </c>
      <c r="HD73" s="51">
        <f t="shared" si="1385"/>
        <v>0</v>
      </c>
      <c r="HE73" s="54"/>
      <c r="HF73" s="51">
        <f t="shared" si="1308"/>
        <v>1</v>
      </c>
      <c r="HG73" s="51">
        <f t="shared" si="1309"/>
        <v>0</v>
      </c>
      <c r="HH73" s="51">
        <f t="shared" si="1386"/>
        <v>0</v>
      </c>
      <c r="HI73" s="54"/>
      <c r="HJ73" s="51">
        <f t="shared" si="1310"/>
        <v>1</v>
      </c>
      <c r="HK73" s="51">
        <f t="shared" si="1311"/>
        <v>0</v>
      </c>
      <c r="HL73" s="51">
        <f t="shared" si="1387"/>
        <v>0</v>
      </c>
      <c r="HM73" s="54"/>
      <c r="HN73" s="51">
        <f t="shared" si="1312"/>
        <v>1</v>
      </c>
      <c r="HO73" s="51">
        <f t="shared" si="1313"/>
        <v>0</v>
      </c>
      <c r="HP73" s="51">
        <f t="shared" si="1388"/>
        <v>0</v>
      </c>
      <c r="HQ73" s="54"/>
      <c r="HR73" s="51">
        <f t="shared" si="1314"/>
        <v>1</v>
      </c>
      <c r="HS73" s="51">
        <f t="shared" si="1315"/>
        <v>0</v>
      </c>
      <c r="HT73" s="51">
        <f t="shared" si="1389"/>
        <v>0</v>
      </c>
      <c r="HU73" s="54"/>
      <c r="HV73" s="51">
        <f t="shared" si="1316"/>
        <v>1</v>
      </c>
      <c r="HW73" s="51">
        <f t="shared" si="1317"/>
        <v>0</v>
      </c>
      <c r="HX73" s="51">
        <f t="shared" si="1390"/>
        <v>0</v>
      </c>
      <c r="HY73" s="54"/>
      <c r="HZ73" s="51">
        <f t="shared" si="1318"/>
        <v>1</v>
      </c>
      <c r="IA73" s="51">
        <f t="shared" si="1319"/>
        <v>0</v>
      </c>
      <c r="IB73" s="51">
        <f t="shared" si="1391"/>
        <v>0</v>
      </c>
      <c r="IC73" s="54"/>
      <c r="ID73" s="51">
        <f t="shared" si="1320"/>
        <v>1</v>
      </c>
      <c r="IE73" s="51">
        <f t="shared" si="1321"/>
        <v>0</v>
      </c>
      <c r="IF73" s="51">
        <f t="shared" si="1392"/>
        <v>0</v>
      </c>
      <c r="IG73" s="54"/>
      <c r="IH73" s="51">
        <f t="shared" si="1322"/>
        <v>1</v>
      </c>
      <c r="II73" s="51">
        <f t="shared" si="1323"/>
        <v>0</v>
      </c>
      <c r="IJ73" s="51">
        <f t="shared" si="1393"/>
        <v>0</v>
      </c>
      <c r="IL73" s="51">
        <f t="shared" si="1220"/>
        <v>1</v>
      </c>
      <c r="IM73" s="51">
        <f t="shared" si="1221"/>
        <v>0</v>
      </c>
      <c r="IN73" s="51">
        <f t="shared" si="1394"/>
        <v>0</v>
      </c>
      <c r="IO73" s="54"/>
      <c r="IP73" s="51">
        <f t="shared" si="1324"/>
        <v>1</v>
      </c>
      <c r="IQ73" s="51">
        <f t="shared" si="1325"/>
        <v>0</v>
      </c>
      <c r="IR73" s="51">
        <f t="shared" si="1395"/>
        <v>0</v>
      </c>
      <c r="IS73" s="54"/>
      <c r="IT73" s="51">
        <f t="shared" si="1326"/>
        <v>1</v>
      </c>
      <c r="IU73" s="51">
        <f t="shared" si="1327"/>
        <v>0</v>
      </c>
      <c r="IV73" s="51">
        <f t="shared" si="1396"/>
        <v>0</v>
      </c>
      <c r="IW73" s="54"/>
      <c r="IX73" s="51">
        <f t="shared" si="1328"/>
        <v>1</v>
      </c>
      <c r="IY73" s="51">
        <f t="shared" si="1329"/>
        <v>0</v>
      </c>
      <c r="IZ73" s="51">
        <f t="shared" si="1397"/>
        <v>0</v>
      </c>
      <c r="JA73" s="54"/>
      <c r="JB73" s="51" t="e">
        <f t="shared" si="1330"/>
        <v>#REF!</v>
      </c>
      <c r="JC73" s="51">
        <f t="shared" si="1331"/>
        <v>0</v>
      </c>
      <c r="JD73" s="51">
        <f t="shared" si="1398"/>
        <v>0</v>
      </c>
      <c r="JE73" s="54"/>
      <c r="JF73" s="51" t="e">
        <f t="shared" si="1332"/>
        <v>#REF!</v>
      </c>
      <c r="JG73" s="51">
        <f t="shared" si="1333"/>
        <v>0</v>
      </c>
      <c r="JH73" s="51">
        <f t="shared" si="1399"/>
        <v>0</v>
      </c>
      <c r="JI73" s="54"/>
      <c r="JJ73" s="51" t="e">
        <f t="shared" si="1334"/>
        <v>#REF!</v>
      </c>
      <c r="JK73" s="51">
        <f t="shared" si="1335"/>
        <v>0</v>
      </c>
      <c r="JL73" s="51">
        <f t="shared" si="1400"/>
        <v>0</v>
      </c>
      <c r="JM73" s="54"/>
      <c r="JO73" s="80"/>
      <c r="JP73" s="80"/>
      <c r="JQ73" s="80">
        <f t="shared" si="1222"/>
        <v>0</v>
      </c>
      <c r="JS73" s="80"/>
      <c r="JT73" s="80"/>
      <c r="JU73" s="80">
        <f t="shared" si="1223"/>
        <v>0</v>
      </c>
      <c r="JW73" s="80"/>
      <c r="JX73" s="80"/>
      <c r="JY73" s="80">
        <f t="shared" si="1224"/>
        <v>0</v>
      </c>
      <c r="KA73" s="80"/>
      <c r="KB73" s="80"/>
      <c r="KC73" s="80">
        <f t="shared" si="1225"/>
        <v>0</v>
      </c>
      <c r="KE73" s="80"/>
      <c r="KF73" s="80"/>
      <c r="KG73" s="80">
        <f t="shared" si="1226"/>
        <v>0</v>
      </c>
      <c r="KI73" s="80"/>
      <c r="KJ73" s="80"/>
      <c r="KK73" s="80">
        <f t="shared" si="1227"/>
        <v>0</v>
      </c>
      <c r="KM73" s="80"/>
      <c r="KN73" s="80"/>
      <c r="KO73" s="80">
        <f t="shared" si="1228"/>
        <v>0</v>
      </c>
    </row>
    <row r="74" ht="18.75" customHeight="1" spans="2:301" x14ac:dyDescent="0.25">
      <c r="B74" s="5" t="str">
        <f>A.IIOPEX!C74</f>
        <v>6f</v>
      </c>
      <c r="C74" s="27"/>
      <c r="D74" s="29">
        <f>A.IIOPEX!E74</f>
        <v>0</v>
      </c>
      <c r="E74" s="30"/>
      <c r="F74" s="51">
        <v>1</v>
      </c>
      <c r="G74" s="51"/>
      <c r="H74" s="51">
        <f>A.IIOPEX!I74</f>
        <v>0</v>
      </c>
      <c r="I74" s="54"/>
      <c r="J74" s="51">
        <f t="shared" si="1208"/>
        <v>1</v>
      </c>
      <c r="K74" s="51"/>
      <c r="L74" s="51">
        <f t="shared" si="1229"/>
        <v>0</v>
      </c>
      <c r="M74" s="54"/>
      <c r="N74" s="51">
        <f t="shared" si="1209"/>
        <v>1</v>
      </c>
      <c r="O74" s="51">
        <v>0</v>
      </c>
      <c r="P74" s="51">
        <f t="shared" si="1230"/>
        <v>0</v>
      </c>
      <c r="Q74" s="54"/>
      <c r="R74" s="51">
        <f t="shared" si="1210"/>
        <v>1</v>
      </c>
      <c r="S74" s="51">
        <v>0</v>
      </c>
      <c r="T74" s="51">
        <f t="shared" si="1336"/>
        <v>0</v>
      </c>
      <c r="U74" s="54"/>
      <c r="V74" s="51">
        <f t="shared" si="1211"/>
        <v>1</v>
      </c>
      <c r="W74" s="51">
        <v>0</v>
      </c>
      <c r="X74" s="51">
        <f t="shared" si="1337"/>
        <v>0</v>
      </c>
      <c r="Y74" s="54"/>
      <c r="Z74" s="51">
        <f t="shared" si="1212"/>
        <v>1</v>
      </c>
      <c r="AA74" s="51">
        <v>0</v>
      </c>
      <c r="AB74" s="51">
        <f t="shared" si="1338"/>
        <v>0</v>
      </c>
      <c r="AC74" s="54"/>
      <c r="AD74" s="51">
        <f t="shared" si="1339"/>
        <v>1</v>
      </c>
      <c r="AE74" s="51">
        <v>0</v>
      </c>
      <c r="AF74" s="51">
        <f t="shared" si="1340"/>
        <v>0</v>
      </c>
      <c r="AG74" s="54"/>
      <c r="AH74" s="51">
        <f t="shared" si="1232"/>
        <v>1</v>
      </c>
      <c r="AI74" s="51"/>
      <c r="AJ74" s="51">
        <f t="shared" si="1341"/>
        <v>0</v>
      </c>
      <c r="AK74" s="54"/>
      <c r="AL74" s="51">
        <f t="shared" si="1233"/>
        <v>1</v>
      </c>
      <c r="AM74" s="51"/>
      <c r="AN74" s="51">
        <f t="shared" si="1342"/>
        <v>0</v>
      </c>
      <c r="AO74" s="54"/>
      <c r="AP74" s="51">
        <f t="shared" si="1234"/>
        <v>1</v>
      </c>
      <c r="AQ74" s="51"/>
      <c r="AR74" s="51">
        <f t="shared" si="1343"/>
        <v>0</v>
      </c>
      <c r="AS74" s="54"/>
      <c r="AT74" s="51">
        <f t="shared" si="1235"/>
        <v>1</v>
      </c>
      <c r="AU74" s="51"/>
      <c r="AV74" s="51">
        <f t="shared" si="1344"/>
        <v>0</v>
      </c>
      <c r="AW74" s="54"/>
      <c r="AX74" s="51">
        <f t="shared" si="1236"/>
        <v>1</v>
      </c>
      <c r="AY74" s="51"/>
      <c r="AZ74" s="51">
        <f t="shared" si="1345"/>
        <v>0</v>
      </c>
      <c r="BA74" s="54"/>
      <c r="BB74" s="51">
        <f t="shared" si="1213"/>
        <v>1</v>
      </c>
      <c r="BC74" s="51"/>
      <c r="BD74" s="51">
        <f t="shared" si="1346"/>
        <v>0</v>
      </c>
      <c r="BE74" s="54"/>
      <c r="BF74" s="51">
        <f t="shared" si="1237"/>
        <v>1</v>
      </c>
      <c r="BG74" s="51"/>
      <c r="BH74" s="51">
        <f t="shared" si="1347"/>
        <v>0</v>
      </c>
      <c r="BI74" s="54"/>
      <c r="BJ74" s="51">
        <f t="shared" si="1238"/>
        <v>1</v>
      </c>
      <c r="BK74" s="51">
        <f t="shared" si="1239"/>
        <v>0</v>
      </c>
      <c r="BL74" s="51">
        <f t="shared" si="1348"/>
        <v>0</v>
      </c>
      <c r="BM74" s="54"/>
      <c r="BN74" s="51">
        <f t="shared" si="1240"/>
        <v>1</v>
      </c>
      <c r="BO74" s="51">
        <f t="shared" si="1241"/>
        <v>0</v>
      </c>
      <c r="BP74" s="51">
        <f t="shared" si="1349"/>
        <v>0</v>
      </c>
      <c r="BQ74" s="54"/>
      <c r="BR74" s="51">
        <f t="shared" si="1242"/>
        <v>1</v>
      </c>
      <c r="BS74" s="51">
        <f t="shared" si="1243"/>
        <v>0</v>
      </c>
      <c r="BT74" s="51">
        <f t="shared" si="1350"/>
        <v>0</v>
      </c>
      <c r="BU74" s="54"/>
      <c r="BV74" s="51">
        <f t="shared" si="1244"/>
        <v>1</v>
      </c>
      <c r="BW74" s="51">
        <f t="shared" si="1245"/>
        <v>0</v>
      </c>
      <c r="BX74" s="51">
        <f t="shared" si="1351"/>
        <v>0</v>
      </c>
      <c r="BY74" s="54"/>
      <c r="BZ74" s="51">
        <f t="shared" si="1246"/>
        <v>1</v>
      </c>
      <c r="CA74" s="51">
        <f t="shared" si="1247"/>
        <v>0</v>
      </c>
      <c r="CB74" s="51">
        <f t="shared" si="1352"/>
        <v>0</v>
      </c>
      <c r="CC74" s="54"/>
      <c r="CD74" s="51">
        <f t="shared" si="1248"/>
        <v>1</v>
      </c>
      <c r="CE74" s="51">
        <f t="shared" si="1249"/>
        <v>0</v>
      </c>
      <c r="CF74" s="51">
        <f t="shared" si="1353"/>
        <v>0</v>
      </c>
      <c r="CG74" s="54"/>
      <c r="CH74" s="51">
        <f t="shared" si="1250"/>
        <v>1</v>
      </c>
      <c r="CI74" s="51">
        <f t="shared" si="1251"/>
        <v>0</v>
      </c>
      <c r="CJ74" s="51">
        <f t="shared" si="1354"/>
        <v>0</v>
      </c>
      <c r="CK74" s="54"/>
      <c r="CL74" s="51">
        <f t="shared" si="1252"/>
        <v>1</v>
      </c>
      <c r="CM74" s="51">
        <f t="shared" si="1253"/>
        <v>0</v>
      </c>
      <c r="CN74" s="51">
        <f t="shared" si="1355"/>
        <v>0</v>
      </c>
      <c r="CO74" s="54"/>
      <c r="CP74" s="51">
        <f t="shared" si="1254"/>
        <v>1</v>
      </c>
      <c r="CQ74" s="51">
        <f t="shared" si="1255"/>
        <v>0</v>
      </c>
      <c r="CR74" s="51">
        <f t="shared" si="1356"/>
        <v>0</v>
      </c>
      <c r="CS74" s="54"/>
      <c r="CT74" s="51">
        <f t="shared" si="1256"/>
        <v>1</v>
      </c>
      <c r="CU74" s="51">
        <f t="shared" si="1257"/>
        <v>0</v>
      </c>
      <c r="CV74" s="51">
        <f t="shared" si="1357"/>
        <v>0</v>
      </c>
      <c r="CW74" s="54"/>
      <c r="CX74" s="51">
        <f t="shared" si="1214"/>
        <v>1</v>
      </c>
      <c r="CY74" s="51">
        <f t="shared" si="1215"/>
        <v>0</v>
      </c>
      <c r="CZ74" s="51">
        <f t="shared" si="1358"/>
        <v>0</v>
      </c>
      <c r="DA74" s="54"/>
      <c r="DB74" s="51">
        <f t="shared" si="1258"/>
        <v>1</v>
      </c>
      <c r="DC74" s="51">
        <f t="shared" si="1259"/>
        <v>0</v>
      </c>
      <c r="DD74" s="51">
        <f t="shared" si="1359"/>
        <v>0</v>
      </c>
      <c r="DE74" s="54"/>
      <c r="DF74" s="51">
        <f t="shared" si="1260"/>
        <v>1</v>
      </c>
      <c r="DG74" s="51">
        <f t="shared" si="1261"/>
        <v>0</v>
      </c>
      <c r="DH74" s="51">
        <f t="shared" si="1360"/>
        <v>0</v>
      </c>
      <c r="DI74" s="54"/>
      <c r="DJ74" s="51">
        <f t="shared" si="1262"/>
        <v>1</v>
      </c>
      <c r="DK74" s="51">
        <f t="shared" si="1263"/>
        <v>0</v>
      </c>
      <c r="DL74" s="51">
        <f t="shared" si="1361"/>
        <v>0</v>
      </c>
      <c r="DM74" s="54"/>
      <c r="DN74" s="51">
        <f t="shared" si="1264"/>
        <v>1</v>
      </c>
      <c r="DO74" s="51">
        <f t="shared" si="1265"/>
        <v>0</v>
      </c>
      <c r="DP74" s="51">
        <f t="shared" si="1362"/>
        <v>0</v>
      </c>
      <c r="DQ74" s="54"/>
      <c r="DR74" s="51">
        <f t="shared" si="1266"/>
        <v>1</v>
      </c>
      <c r="DS74" s="51">
        <f t="shared" si="1267"/>
        <v>0</v>
      </c>
      <c r="DT74" s="51">
        <f t="shared" si="1363"/>
        <v>0</v>
      </c>
      <c r="DU74" s="54"/>
      <c r="DV74" s="51">
        <f t="shared" si="1268"/>
        <v>1</v>
      </c>
      <c r="DW74" s="51">
        <f t="shared" si="1269"/>
        <v>0</v>
      </c>
      <c r="DX74" s="51">
        <f t="shared" si="1364"/>
        <v>0</v>
      </c>
      <c r="DY74" s="54"/>
      <c r="DZ74" s="51">
        <f t="shared" si="1270"/>
        <v>1</v>
      </c>
      <c r="EA74" s="51">
        <f t="shared" si="1271"/>
        <v>0</v>
      </c>
      <c r="EB74" s="51">
        <f t="shared" si="1365"/>
        <v>0</v>
      </c>
      <c r="EC74" s="54"/>
      <c r="ED74" s="51">
        <f t="shared" si="1272"/>
        <v>1</v>
      </c>
      <c r="EE74" s="51">
        <f t="shared" si="1273"/>
        <v>0</v>
      </c>
      <c r="EF74" s="51">
        <f t="shared" si="1366"/>
        <v>0</v>
      </c>
      <c r="EG74" s="54"/>
      <c r="EH74" s="51">
        <f t="shared" si="1274"/>
        <v>1</v>
      </c>
      <c r="EI74" s="51">
        <f t="shared" si="1275"/>
        <v>0</v>
      </c>
      <c r="EJ74" s="51">
        <f t="shared" si="1367"/>
        <v>0</v>
      </c>
      <c r="EK74" s="54"/>
      <c r="EL74" s="51">
        <f t="shared" si="1276"/>
        <v>1</v>
      </c>
      <c r="EM74" s="51">
        <f t="shared" si="1277"/>
        <v>0</v>
      </c>
      <c r="EN74" s="51">
        <f t="shared" si="1368"/>
        <v>0</v>
      </c>
      <c r="EO74" s="54"/>
      <c r="EP74" s="51">
        <f t="shared" si="1278"/>
        <v>1</v>
      </c>
      <c r="EQ74" s="51">
        <f t="shared" si="1279"/>
        <v>0</v>
      </c>
      <c r="ER74" s="51">
        <f t="shared" si="1369"/>
        <v>0</v>
      </c>
      <c r="ES74" s="54"/>
      <c r="ET74" s="51">
        <f t="shared" si="1216"/>
        <v>1</v>
      </c>
      <c r="EU74" s="51">
        <f t="shared" si="1217"/>
        <v>0</v>
      </c>
      <c r="EV74" s="51">
        <f t="shared" si="1370"/>
        <v>0</v>
      </c>
      <c r="EW74" s="54"/>
      <c r="EX74" s="51">
        <f t="shared" si="1280"/>
        <v>1</v>
      </c>
      <c r="EY74" s="51">
        <f t="shared" si="1281"/>
        <v>0</v>
      </c>
      <c r="EZ74" s="51">
        <f t="shared" si="1371"/>
        <v>0</v>
      </c>
      <c r="FA74" s="54"/>
      <c r="FB74" s="51">
        <f t="shared" si="1282"/>
        <v>1</v>
      </c>
      <c r="FC74" s="51">
        <f t="shared" si="1283"/>
        <v>0</v>
      </c>
      <c r="FD74" s="51">
        <f t="shared" si="1372"/>
        <v>0</v>
      </c>
      <c r="FE74" s="54"/>
      <c r="FF74" s="51">
        <f t="shared" si="1284"/>
        <v>1</v>
      </c>
      <c r="FG74" s="51">
        <f t="shared" si="1285"/>
        <v>0</v>
      </c>
      <c r="FH74" s="51">
        <f t="shared" si="1373"/>
        <v>0</v>
      </c>
      <c r="FI74" s="54"/>
      <c r="FJ74" s="51">
        <f t="shared" si="1286"/>
        <v>1</v>
      </c>
      <c r="FK74" s="51">
        <f t="shared" si="1287"/>
        <v>0</v>
      </c>
      <c r="FL74" s="51">
        <f t="shared" si="1374"/>
        <v>0</v>
      </c>
      <c r="FM74" s="54"/>
      <c r="FN74" s="51">
        <f t="shared" si="1288"/>
        <v>1</v>
      </c>
      <c r="FO74" s="51">
        <f t="shared" si="1289"/>
        <v>0</v>
      </c>
      <c r="FP74" s="51">
        <f t="shared" si="1375"/>
        <v>0</v>
      </c>
      <c r="FQ74" s="54"/>
      <c r="FR74" s="51">
        <f t="shared" si="1290"/>
        <v>1</v>
      </c>
      <c r="FS74" s="51">
        <f t="shared" si="1291"/>
        <v>0</v>
      </c>
      <c r="FT74" s="51">
        <f t="shared" si="1376"/>
        <v>0</v>
      </c>
      <c r="FU74" s="54"/>
      <c r="FV74" s="51">
        <f t="shared" si="1292"/>
        <v>1</v>
      </c>
      <c r="FW74" s="51">
        <f t="shared" si="1293"/>
        <v>0</v>
      </c>
      <c r="FX74" s="51">
        <f t="shared" si="1377"/>
        <v>0</v>
      </c>
      <c r="FY74" s="54"/>
      <c r="FZ74" s="51">
        <f t="shared" si="1294"/>
        <v>1</v>
      </c>
      <c r="GA74" s="51">
        <f t="shared" si="1295"/>
        <v>0</v>
      </c>
      <c r="GB74" s="51">
        <f t="shared" si="1378"/>
        <v>0</v>
      </c>
      <c r="GC74" s="54"/>
      <c r="GD74" s="51">
        <f t="shared" si="1296"/>
        <v>1</v>
      </c>
      <c r="GE74" s="51">
        <f t="shared" si="1297"/>
        <v>0</v>
      </c>
      <c r="GF74" s="51">
        <f t="shared" si="1379"/>
        <v>0</v>
      </c>
      <c r="GG74" s="54"/>
      <c r="GH74" s="51">
        <f t="shared" si="1298"/>
        <v>1</v>
      </c>
      <c r="GI74" s="51">
        <f t="shared" si="1299"/>
        <v>0</v>
      </c>
      <c r="GJ74" s="51">
        <f t="shared" si="1380"/>
        <v>0</v>
      </c>
      <c r="GK74" s="54"/>
      <c r="GL74" s="51">
        <f t="shared" si="1300"/>
        <v>1</v>
      </c>
      <c r="GM74" s="51">
        <f t="shared" si="1301"/>
        <v>0</v>
      </c>
      <c r="GN74" s="51">
        <f t="shared" si="1381"/>
        <v>0</v>
      </c>
      <c r="GP74" s="51">
        <f t="shared" si="1218"/>
        <v>1</v>
      </c>
      <c r="GQ74" s="51">
        <f t="shared" si="1219"/>
        <v>0</v>
      </c>
      <c r="GR74" s="51">
        <f t="shared" si="1382"/>
        <v>0</v>
      </c>
      <c r="GS74" s="54"/>
      <c r="GT74" s="51">
        <f t="shared" si="1302"/>
        <v>1</v>
      </c>
      <c r="GU74" s="51">
        <f t="shared" si="1303"/>
        <v>0</v>
      </c>
      <c r="GV74" s="51">
        <f t="shared" si="1383"/>
        <v>0</v>
      </c>
      <c r="GW74" s="54"/>
      <c r="GX74" s="51">
        <f t="shared" si="1304"/>
        <v>1</v>
      </c>
      <c r="GY74" s="51">
        <f t="shared" si="1305"/>
        <v>0</v>
      </c>
      <c r="GZ74" s="51">
        <f t="shared" si="1384"/>
        <v>0</v>
      </c>
      <c r="HA74" s="54"/>
      <c r="HB74" s="51">
        <f t="shared" si="1306"/>
        <v>1</v>
      </c>
      <c r="HC74" s="51">
        <f t="shared" si="1307"/>
        <v>0</v>
      </c>
      <c r="HD74" s="51">
        <f t="shared" si="1385"/>
        <v>0</v>
      </c>
      <c r="HE74" s="54"/>
      <c r="HF74" s="51">
        <f t="shared" si="1308"/>
        <v>1</v>
      </c>
      <c r="HG74" s="51">
        <f t="shared" si="1309"/>
        <v>0</v>
      </c>
      <c r="HH74" s="51">
        <f t="shared" si="1386"/>
        <v>0</v>
      </c>
      <c r="HI74" s="54"/>
      <c r="HJ74" s="51">
        <f t="shared" si="1310"/>
        <v>1</v>
      </c>
      <c r="HK74" s="51">
        <f t="shared" si="1311"/>
        <v>0</v>
      </c>
      <c r="HL74" s="51">
        <f t="shared" si="1387"/>
        <v>0</v>
      </c>
      <c r="HM74" s="54"/>
      <c r="HN74" s="51">
        <f t="shared" si="1312"/>
        <v>1</v>
      </c>
      <c r="HO74" s="51">
        <f t="shared" si="1313"/>
        <v>0</v>
      </c>
      <c r="HP74" s="51">
        <f t="shared" si="1388"/>
        <v>0</v>
      </c>
      <c r="HQ74" s="54"/>
      <c r="HR74" s="51">
        <f t="shared" si="1314"/>
        <v>1</v>
      </c>
      <c r="HS74" s="51">
        <f t="shared" si="1315"/>
        <v>0</v>
      </c>
      <c r="HT74" s="51">
        <f t="shared" si="1389"/>
        <v>0</v>
      </c>
      <c r="HU74" s="54"/>
      <c r="HV74" s="51">
        <f t="shared" si="1316"/>
        <v>1</v>
      </c>
      <c r="HW74" s="51">
        <f t="shared" si="1317"/>
        <v>0</v>
      </c>
      <c r="HX74" s="51">
        <f t="shared" si="1390"/>
        <v>0</v>
      </c>
      <c r="HY74" s="54"/>
      <c r="HZ74" s="51">
        <f t="shared" si="1318"/>
        <v>1</v>
      </c>
      <c r="IA74" s="51">
        <f t="shared" si="1319"/>
        <v>0</v>
      </c>
      <c r="IB74" s="51">
        <f t="shared" si="1391"/>
        <v>0</v>
      </c>
      <c r="IC74" s="54"/>
      <c r="ID74" s="51">
        <f t="shared" si="1320"/>
        <v>1</v>
      </c>
      <c r="IE74" s="51">
        <f t="shared" si="1321"/>
        <v>0</v>
      </c>
      <c r="IF74" s="51">
        <f t="shared" si="1392"/>
        <v>0</v>
      </c>
      <c r="IG74" s="54"/>
      <c r="IH74" s="51">
        <f t="shared" si="1322"/>
        <v>1</v>
      </c>
      <c r="II74" s="51">
        <f t="shared" si="1323"/>
        <v>0</v>
      </c>
      <c r="IJ74" s="51">
        <f t="shared" si="1393"/>
        <v>0</v>
      </c>
      <c r="IL74" s="51">
        <f t="shared" si="1220"/>
        <v>1</v>
      </c>
      <c r="IM74" s="51">
        <f t="shared" si="1221"/>
        <v>0</v>
      </c>
      <c r="IN74" s="51">
        <f t="shared" si="1394"/>
        <v>0</v>
      </c>
      <c r="IO74" s="54"/>
      <c r="IP74" s="51">
        <f t="shared" si="1324"/>
        <v>1</v>
      </c>
      <c r="IQ74" s="51">
        <f t="shared" si="1325"/>
        <v>0</v>
      </c>
      <c r="IR74" s="51">
        <f t="shared" si="1395"/>
        <v>0</v>
      </c>
      <c r="IS74" s="54"/>
      <c r="IT74" s="51">
        <f t="shared" si="1326"/>
        <v>1</v>
      </c>
      <c r="IU74" s="51">
        <f t="shared" si="1327"/>
        <v>0</v>
      </c>
      <c r="IV74" s="51">
        <f t="shared" si="1396"/>
        <v>0</v>
      </c>
      <c r="IW74" s="54"/>
      <c r="IX74" s="51">
        <f t="shared" si="1328"/>
        <v>1</v>
      </c>
      <c r="IY74" s="51">
        <f t="shared" si="1329"/>
        <v>0</v>
      </c>
      <c r="IZ74" s="51">
        <f t="shared" si="1397"/>
        <v>0</v>
      </c>
      <c r="JA74" s="54"/>
      <c r="JB74" s="51" t="e">
        <f t="shared" si="1330"/>
        <v>#REF!</v>
      </c>
      <c r="JC74" s="51">
        <f t="shared" si="1331"/>
        <v>0</v>
      </c>
      <c r="JD74" s="51">
        <f t="shared" si="1398"/>
        <v>0</v>
      </c>
      <c r="JE74" s="54"/>
      <c r="JF74" s="51" t="e">
        <f t="shared" si="1332"/>
        <v>#REF!</v>
      </c>
      <c r="JG74" s="51">
        <f t="shared" si="1333"/>
        <v>0</v>
      </c>
      <c r="JH74" s="51">
        <f t="shared" si="1399"/>
        <v>0</v>
      </c>
      <c r="JI74" s="54"/>
      <c r="JJ74" s="51" t="e">
        <f t="shared" si="1334"/>
        <v>#REF!</v>
      </c>
      <c r="JK74" s="51">
        <f t="shared" si="1335"/>
        <v>0</v>
      </c>
      <c r="JL74" s="51">
        <f t="shared" si="1400"/>
        <v>0</v>
      </c>
      <c r="JM74" s="54"/>
      <c r="JO74" s="80"/>
      <c r="JP74" s="80"/>
      <c r="JQ74" s="80">
        <f t="shared" si="1222"/>
        <v>0</v>
      </c>
      <c r="JS74" s="80"/>
      <c r="JT74" s="80"/>
      <c r="JU74" s="80">
        <f t="shared" si="1223"/>
        <v>0</v>
      </c>
      <c r="JW74" s="80"/>
      <c r="JX74" s="80"/>
      <c r="JY74" s="80">
        <f t="shared" si="1224"/>
        <v>0</v>
      </c>
      <c r="KA74" s="80"/>
      <c r="KB74" s="80"/>
      <c r="KC74" s="80">
        <f t="shared" si="1225"/>
        <v>0</v>
      </c>
      <c r="KE74" s="80"/>
      <c r="KF74" s="80"/>
      <c r="KG74" s="80">
        <f t="shared" si="1226"/>
        <v>0</v>
      </c>
      <c r="KI74" s="80"/>
      <c r="KJ74" s="80"/>
      <c r="KK74" s="80">
        <f t="shared" si="1227"/>
        <v>0</v>
      </c>
      <c r="KM74" s="80"/>
      <c r="KN74" s="80"/>
      <c r="KO74" s="80">
        <f t="shared" si="1228"/>
        <v>0</v>
      </c>
    </row>
    <row r="75" ht="18.75" customHeight="1" spans="2:301" x14ac:dyDescent="0.25">
      <c r="B75" s="5" t="str">
        <f>A.IIOPEX!C75</f>
        <v>6g</v>
      </c>
      <c r="C75" s="27"/>
      <c r="D75" s="29">
        <f>A.IIOPEX!E75</f>
        <v>0</v>
      </c>
      <c r="E75" s="30"/>
      <c r="F75" s="51">
        <v>1</v>
      </c>
      <c r="G75" s="51"/>
      <c r="H75" s="51">
        <f>A.IIOPEX!I75</f>
        <v>0</v>
      </c>
      <c r="I75" s="54"/>
      <c r="J75" s="51">
        <f t="shared" si="1208"/>
        <v>1</v>
      </c>
      <c r="K75" s="51"/>
      <c r="L75" s="51">
        <f t="shared" si="1229"/>
        <v>0</v>
      </c>
      <c r="M75" s="54"/>
      <c r="N75" s="51">
        <f t="shared" si="1209"/>
        <v>1</v>
      </c>
      <c r="O75" s="51">
        <v>0</v>
      </c>
      <c r="P75" s="51">
        <f t="shared" si="1230"/>
        <v>0</v>
      </c>
      <c r="Q75" s="54"/>
      <c r="R75" s="51">
        <f t="shared" si="1210"/>
        <v>1</v>
      </c>
      <c r="S75" s="51">
        <v>0</v>
      </c>
      <c r="T75" s="51">
        <f t="shared" si="1336"/>
        <v>0</v>
      </c>
      <c r="U75" s="54"/>
      <c r="V75" s="51">
        <f t="shared" si="1211"/>
        <v>1</v>
      </c>
      <c r="W75" s="51">
        <v>0</v>
      </c>
      <c r="X75" s="51">
        <f t="shared" si="1337"/>
        <v>0</v>
      </c>
      <c r="Y75" s="54"/>
      <c r="Z75" s="51">
        <f t="shared" si="1212"/>
        <v>1</v>
      </c>
      <c r="AA75" s="51">
        <v>0</v>
      </c>
      <c r="AB75" s="51">
        <f t="shared" si="1338"/>
        <v>0</v>
      </c>
      <c r="AC75" s="54"/>
      <c r="AD75" s="51">
        <f t="shared" si="1339"/>
        <v>1</v>
      </c>
      <c r="AE75" s="51">
        <v>0</v>
      </c>
      <c r="AF75" s="51">
        <f t="shared" si="1340"/>
        <v>0</v>
      </c>
      <c r="AG75" s="54"/>
      <c r="AH75" s="51">
        <f t="shared" si="1232"/>
        <v>1</v>
      </c>
      <c r="AI75" s="51"/>
      <c r="AJ75" s="51">
        <f t="shared" si="1341"/>
        <v>0</v>
      </c>
      <c r="AK75" s="54"/>
      <c r="AL75" s="51">
        <f t="shared" si="1233"/>
        <v>1</v>
      </c>
      <c r="AM75" s="51"/>
      <c r="AN75" s="51">
        <f t="shared" si="1342"/>
        <v>0</v>
      </c>
      <c r="AO75" s="54"/>
      <c r="AP75" s="51">
        <f t="shared" si="1234"/>
        <v>1</v>
      </c>
      <c r="AQ75" s="51"/>
      <c r="AR75" s="51">
        <f t="shared" si="1343"/>
        <v>0</v>
      </c>
      <c r="AS75" s="54"/>
      <c r="AT75" s="51">
        <f t="shared" si="1235"/>
        <v>1</v>
      </c>
      <c r="AU75" s="51"/>
      <c r="AV75" s="51">
        <f t="shared" si="1344"/>
        <v>0</v>
      </c>
      <c r="AW75" s="54"/>
      <c r="AX75" s="51">
        <f t="shared" si="1236"/>
        <v>1</v>
      </c>
      <c r="AY75" s="51"/>
      <c r="AZ75" s="51">
        <f t="shared" si="1345"/>
        <v>0</v>
      </c>
      <c r="BA75" s="54"/>
      <c r="BB75" s="51">
        <f t="shared" si="1213"/>
        <v>1</v>
      </c>
      <c r="BC75" s="51"/>
      <c r="BD75" s="51">
        <f t="shared" si="1346"/>
        <v>0</v>
      </c>
      <c r="BE75" s="54"/>
      <c r="BF75" s="51">
        <f t="shared" si="1237"/>
        <v>1</v>
      </c>
      <c r="BG75" s="51"/>
      <c r="BH75" s="51">
        <f t="shared" si="1347"/>
        <v>0</v>
      </c>
      <c r="BI75" s="54"/>
      <c r="BJ75" s="51">
        <f t="shared" si="1238"/>
        <v>1</v>
      </c>
      <c r="BK75" s="51">
        <f t="shared" si="1239"/>
        <v>0</v>
      </c>
      <c r="BL75" s="51">
        <f t="shared" si="1348"/>
        <v>0</v>
      </c>
      <c r="BM75" s="54"/>
      <c r="BN75" s="51">
        <f t="shared" si="1240"/>
        <v>1</v>
      </c>
      <c r="BO75" s="51">
        <f t="shared" si="1241"/>
        <v>0</v>
      </c>
      <c r="BP75" s="51">
        <f t="shared" si="1349"/>
        <v>0</v>
      </c>
      <c r="BQ75" s="54"/>
      <c r="BR75" s="51">
        <f t="shared" si="1242"/>
        <v>1</v>
      </c>
      <c r="BS75" s="51">
        <f t="shared" si="1243"/>
        <v>0</v>
      </c>
      <c r="BT75" s="51">
        <f t="shared" si="1350"/>
        <v>0</v>
      </c>
      <c r="BU75" s="54"/>
      <c r="BV75" s="51">
        <f t="shared" si="1244"/>
        <v>1</v>
      </c>
      <c r="BW75" s="51">
        <f t="shared" si="1245"/>
        <v>0</v>
      </c>
      <c r="BX75" s="51">
        <f t="shared" si="1351"/>
        <v>0</v>
      </c>
      <c r="BY75" s="54"/>
      <c r="BZ75" s="51">
        <f t="shared" si="1246"/>
        <v>1</v>
      </c>
      <c r="CA75" s="51">
        <f t="shared" si="1247"/>
        <v>0</v>
      </c>
      <c r="CB75" s="51">
        <f t="shared" si="1352"/>
        <v>0</v>
      </c>
      <c r="CC75" s="54"/>
      <c r="CD75" s="51">
        <f t="shared" si="1248"/>
        <v>1</v>
      </c>
      <c r="CE75" s="51">
        <f t="shared" si="1249"/>
        <v>0</v>
      </c>
      <c r="CF75" s="51">
        <f t="shared" si="1353"/>
        <v>0</v>
      </c>
      <c r="CG75" s="54"/>
      <c r="CH75" s="51">
        <f t="shared" si="1250"/>
        <v>1</v>
      </c>
      <c r="CI75" s="51">
        <f t="shared" si="1251"/>
        <v>0</v>
      </c>
      <c r="CJ75" s="51">
        <f t="shared" si="1354"/>
        <v>0</v>
      </c>
      <c r="CK75" s="54"/>
      <c r="CL75" s="51">
        <f t="shared" si="1252"/>
        <v>1</v>
      </c>
      <c r="CM75" s="51">
        <f t="shared" si="1253"/>
        <v>0</v>
      </c>
      <c r="CN75" s="51">
        <f t="shared" si="1355"/>
        <v>0</v>
      </c>
      <c r="CO75" s="54"/>
      <c r="CP75" s="51">
        <f t="shared" si="1254"/>
        <v>1</v>
      </c>
      <c r="CQ75" s="51">
        <f t="shared" si="1255"/>
        <v>0</v>
      </c>
      <c r="CR75" s="51">
        <f t="shared" si="1356"/>
        <v>0</v>
      </c>
      <c r="CS75" s="54"/>
      <c r="CT75" s="51">
        <f t="shared" si="1256"/>
        <v>1</v>
      </c>
      <c r="CU75" s="51">
        <f t="shared" si="1257"/>
        <v>0</v>
      </c>
      <c r="CV75" s="51">
        <f t="shared" si="1357"/>
        <v>0</v>
      </c>
      <c r="CW75" s="54"/>
      <c r="CX75" s="51">
        <f t="shared" si="1214"/>
        <v>1</v>
      </c>
      <c r="CY75" s="51">
        <f t="shared" si="1215"/>
        <v>0</v>
      </c>
      <c r="CZ75" s="51">
        <f t="shared" si="1358"/>
        <v>0</v>
      </c>
      <c r="DA75" s="54"/>
      <c r="DB75" s="51">
        <f t="shared" si="1258"/>
        <v>1</v>
      </c>
      <c r="DC75" s="51">
        <f t="shared" si="1259"/>
        <v>0</v>
      </c>
      <c r="DD75" s="51">
        <f t="shared" si="1359"/>
        <v>0</v>
      </c>
      <c r="DE75" s="54"/>
      <c r="DF75" s="51">
        <f t="shared" si="1260"/>
        <v>1</v>
      </c>
      <c r="DG75" s="51">
        <f t="shared" si="1261"/>
        <v>0</v>
      </c>
      <c r="DH75" s="51">
        <f t="shared" si="1360"/>
        <v>0</v>
      </c>
      <c r="DI75" s="54"/>
      <c r="DJ75" s="51">
        <f t="shared" si="1262"/>
        <v>1</v>
      </c>
      <c r="DK75" s="51">
        <f t="shared" si="1263"/>
        <v>0</v>
      </c>
      <c r="DL75" s="51">
        <f t="shared" si="1361"/>
        <v>0</v>
      </c>
      <c r="DM75" s="54"/>
      <c r="DN75" s="51">
        <f t="shared" si="1264"/>
        <v>1</v>
      </c>
      <c r="DO75" s="51">
        <f t="shared" si="1265"/>
        <v>0</v>
      </c>
      <c r="DP75" s="51">
        <f t="shared" si="1362"/>
        <v>0</v>
      </c>
      <c r="DQ75" s="54"/>
      <c r="DR75" s="51">
        <f t="shared" si="1266"/>
        <v>1</v>
      </c>
      <c r="DS75" s="51">
        <f t="shared" si="1267"/>
        <v>0</v>
      </c>
      <c r="DT75" s="51">
        <f t="shared" si="1363"/>
        <v>0</v>
      </c>
      <c r="DU75" s="54"/>
      <c r="DV75" s="51">
        <f t="shared" si="1268"/>
        <v>1</v>
      </c>
      <c r="DW75" s="51">
        <f t="shared" si="1269"/>
        <v>0</v>
      </c>
      <c r="DX75" s="51">
        <f t="shared" si="1364"/>
        <v>0</v>
      </c>
      <c r="DY75" s="54"/>
      <c r="DZ75" s="51">
        <f t="shared" si="1270"/>
        <v>1</v>
      </c>
      <c r="EA75" s="51">
        <f t="shared" si="1271"/>
        <v>0</v>
      </c>
      <c r="EB75" s="51">
        <f t="shared" si="1365"/>
        <v>0</v>
      </c>
      <c r="EC75" s="54"/>
      <c r="ED75" s="51">
        <f t="shared" si="1272"/>
        <v>1</v>
      </c>
      <c r="EE75" s="51">
        <f t="shared" si="1273"/>
        <v>0</v>
      </c>
      <c r="EF75" s="51">
        <f t="shared" si="1366"/>
        <v>0</v>
      </c>
      <c r="EG75" s="54"/>
      <c r="EH75" s="51">
        <f t="shared" si="1274"/>
        <v>1</v>
      </c>
      <c r="EI75" s="51">
        <f t="shared" si="1275"/>
        <v>0</v>
      </c>
      <c r="EJ75" s="51">
        <f t="shared" si="1367"/>
        <v>0</v>
      </c>
      <c r="EK75" s="54"/>
      <c r="EL75" s="51">
        <f t="shared" si="1276"/>
        <v>1</v>
      </c>
      <c r="EM75" s="51">
        <f t="shared" si="1277"/>
        <v>0</v>
      </c>
      <c r="EN75" s="51">
        <f t="shared" si="1368"/>
        <v>0</v>
      </c>
      <c r="EO75" s="54"/>
      <c r="EP75" s="51">
        <f t="shared" si="1278"/>
        <v>1</v>
      </c>
      <c r="EQ75" s="51">
        <f t="shared" si="1279"/>
        <v>0</v>
      </c>
      <c r="ER75" s="51">
        <f t="shared" si="1369"/>
        <v>0</v>
      </c>
      <c r="ES75" s="54"/>
      <c r="ET75" s="51">
        <f t="shared" si="1216"/>
        <v>1</v>
      </c>
      <c r="EU75" s="51">
        <f t="shared" si="1217"/>
        <v>0</v>
      </c>
      <c r="EV75" s="51">
        <f t="shared" si="1370"/>
        <v>0</v>
      </c>
      <c r="EW75" s="54"/>
      <c r="EX75" s="51">
        <f t="shared" si="1280"/>
        <v>1</v>
      </c>
      <c r="EY75" s="51">
        <f t="shared" si="1281"/>
        <v>0</v>
      </c>
      <c r="EZ75" s="51">
        <f t="shared" si="1371"/>
        <v>0</v>
      </c>
      <c r="FA75" s="54"/>
      <c r="FB75" s="51">
        <f t="shared" si="1282"/>
        <v>1</v>
      </c>
      <c r="FC75" s="51">
        <f t="shared" si="1283"/>
        <v>0</v>
      </c>
      <c r="FD75" s="51">
        <f t="shared" si="1372"/>
        <v>0</v>
      </c>
      <c r="FE75" s="54"/>
      <c r="FF75" s="51">
        <f t="shared" si="1284"/>
        <v>1</v>
      </c>
      <c r="FG75" s="51">
        <f t="shared" si="1285"/>
        <v>0</v>
      </c>
      <c r="FH75" s="51">
        <f t="shared" si="1373"/>
        <v>0</v>
      </c>
      <c r="FI75" s="54"/>
      <c r="FJ75" s="51">
        <f t="shared" si="1286"/>
        <v>1</v>
      </c>
      <c r="FK75" s="51">
        <f t="shared" si="1287"/>
        <v>0</v>
      </c>
      <c r="FL75" s="51">
        <f t="shared" si="1374"/>
        <v>0</v>
      </c>
      <c r="FM75" s="54"/>
      <c r="FN75" s="51">
        <f t="shared" si="1288"/>
        <v>1</v>
      </c>
      <c r="FO75" s="51">
        <f t="shared" si="1289"/>
        <v>0</v>
      </c>
      <c r="FP75" s="51">
        <f t="shared" si="1375"/>
        <v>0</v>
      </c>
      <c r="FQ75" s="54"/>
      <c r="FR75" s="51">
        <f t="shared" si="1290"/>
        <v>1</v>
      </c>
      <c r="FS75" s="51">
        <f t="shared" si="1291"/>
        <v>0</v>
      </c>
      <c r="FT75" s="51">
        <f t="shared" si="1376"/>
        <v>0</v>
      </c>
      <c r="FU75" s="54"/>
      <c r="FV75" s="51">
        <f t="shared" si="1292"/>
        <v>1</v>
      </c>
      <c r="FW75" s="51">
        <f t="shared" si="1293"/>
        <v>0</v>
      </c>
      <c r="FX75" s="51">
        <f t="shared" si="1377"/>
        <v>0</v>
      </c>
      <c r="FY75" s="54"/>
      <c r="FZ75" s="51">
        <f t="shared" si="1294"/>
        <v>1</v>
      </c>
      <c r="GA75" s="51">
        <f t="shared" si="1295"/>
        <v>0</v>
      </c>
      <c r="GB75" s="51">
        <f t="shared" si="1378"/>
        <v>0</v>
      </c>
      <c r="GC75" s="54"/>
      <c r="GD75" s="51">
        <f t="shared" si="1296"/>
        <v>1</v>
      </c>
      <c r="GE75" s="51">
        <f t="shared" si="1297"/>
        <v>0</v>
      </c>
      <c r="GF75" s="51">
        <f t="shared" si="1379"/>
        <v>0</v>
      </c>
      <c r="GG75" s="54"/>
      <c r="GH75" s="51">
        <f t="shared" si="1298"/>
        <v>1</v>
      </c>
      <c r="GI75" s="51">
        <f t="shared" si="1299"/>
        <v>0</v>
      </c>
      <c r="GJ75" s="51">
        <f t="shared" si="1380"/>
        <v>0</v>
      </c>
      <c r="GK75" s="54"/>
      <c r="GL75" s="51">
        <f t="shared" si="1300"/>
        <v>1</v>
      </c>
      <c r="GM75" s="51">
        <f t="shared" si="1301"/>
        <v>0</v>
      </c>
      <c r="GN75" s="51">
        <f t="shared" si="1381"/>
        <v>0</v>
      </c>
      <c r="GP75" s="51">
        <f t="shared" si="1218"/>
        <v>1</v>
      </c>
      <c r="GQ75" s="51">
        <f t="shared" si="1219"/>
        <v>0</v>
      </c>
      <c r="GR75" s="51">
        <f t="shared" si="1382"/>
        <v>0</v>
      </c>
      <c r="GS75" s="54"/>
      <c r="GT75" s="51">
        <f t="shared" si="1302"/>
        <v>1</v>
      </c>
      <c r="GU75" s="51">
        <f t="shared" si="1303"/>
        <v>0</v>
      </c>
      <c r="GV75" s="51">
        <f t="shared" si="1383"/>
        <v>0</v>
      </c>
      <c r="GW75" s="54"/>
      <c r="GX75" s="51">
        <f t="shared" si="1304"/>
        <v>1</v>
      </c>
      <c r="GY75" s="51">
        <f t="shared" si="1305"/>
        <v>0</v>
      </c>
      <c r="GZ75" s="51">
        <f t="shared" si="1384"/>
        <v>0</v>
      </c>
      <c r="HA75" s="54"/>
      <c r="HB75" s="51">
        <f t="shared" si="1306"/>
        <v>1</v>
      </c>
      <c r="HC75" s="51">
        <f t="shared" si="1307"/>
        <v>0</v>
      </c>
      <c r="HD75" s="51">
        <f t="shared" si="1385"/>
        <v>0</v>
      </c>
      <c r="HE75" s="54"/>
      <c r="HF75" s="51">
        <f t="shared" si="1308"/>
        <v>1</v>
      </c>
      <c r="HG75" s="51">
        <f t="shared" si="1309"/>
        <v>0</v>
      </c>
      <c r="HH75" s="51">
        <f t="shared" si="1386"/>
        <v>0</v>
      </c>
      <c r="HI75" s="54"/>
      <c r="HJ75" s="51">
        <f t="shared" si="1310"/>
        <v>1</v>
      </c>
      <c r="HK75" s="51">
        <f t="shared" si="1311"/>
        <v>0</v>
      </c>
      <c r="HL75" s="51">
        <f t="shared" si="1387"/>
        <v>0</v>
      </c>
      <c r="HM75" s="54"/>
      <c r="HN75" s="51">
        <f t="shared" si="1312"/>
        <v>1</v>
      </c>
      <c r="HO75" s="51">
        <f t="shared" si="1313"/>
        <v>0</v>
      </c>
      <c r="HP75" s="51">
        <f t="shared" si="1388"/>
        <v>0</v>
      </c>
      <c r="HQ75" s="54"/>
      <c r="HR75" s="51">
        <f t="shared" si="1314"/>
        <v>1</v>
      </c>
      <c r="HS75" s="51">
        <f t="shared" si="1315"/>
        <v>0</v>
      </c>
      <c r="HT75" s="51">
        <f t="shared" si="1389"/>
        <v>0</v>
      </c>
      <c r="HU75" s="54"/>
      <c r="HV75" s="51">
        <f t="shared" si="1316"/>
        <v>1</v>
      </c>
      <c r="HW75" s="51">
        <f t="shared" si="1317"/>
        <v>0</v>
      </c>
      <c r="HX75" s="51">
        <f t="shared" si="1390"/>
        <v>0</v>
      </c>
      <c r="HY75" s="54"/>
      <c r="HZ75" s="51">
        <f t="shared" si="1318"/>
        <v>1</v>
      </c>
      <c r="IA75" s="51">
        <f t="shared" si="1319"/>
        <v>0</v>
      </c>
      <c r="IB75" s="51">
        <f t="shared" si="1391"/>
        <v>0</v>
      </c>
      <c r="IC75" s="54"/>
      <c r="ID75" s="51">
        <f t="shared" si="1320"/>
        <v>1</v>
      </c>
      <c r="IE75" s="51">
        <f t="shared" si="1321"/>
        <v>0</v>
      </c>
      <c r="IF75" s="51">
        <f t="shared" si="1392"/>
        <v>0</v>
      </c>
      <c r="IG75" s="54"/>
      <c r="IH75" s="51">
        <f t="shared" si="1322"/>
        <v>1</v>
      </c>
      <c r="II75" s="51">
        <f t="shared" si="1323"/>
        <v>0</v>
      </c>
      <c r="IJ75" s="51">
        <f t="shared" si="1393"/>
        <v>0</v>
      </c>
      <c r="IL75" s="51">
        <f t="shared" si="1220"/>
        <v>1</v>
      </c>
      <c r="IM75" s="51">
        <f t="shared" si="1221"/>
        <v>0</v>
      </c>
      <c r="IN75" s="51">
        <f t="shared" si="1394"/>
        <v>0</v>
      </c>
      <c r="IO75" s="54"/>
      <c r="IP75" s="51">
        <f t="shared" si="1324"/>
        <v>1</v>
      </c>
      <c r="IQ75" s="51">
        <f t="shared" si="1325"/>
        <v>0</v>
      </c>
      <c r="IR75" s="51">
        <f t="shared" si="1395"/>
        <v>0</v>
      </c>
      <c r="IS75" s="54"/>
      <c r="IT75" s="51">
        <f t="shared" si="1326"/>
        <v>1</v>
      </c>
      <c r="IU75" s="51">
        <f t="shared" si="1327"/>
        <v>0</v>
      </c>
      <c r="IV75" s="51">
        <f t="shared" si="1396"/>
        <v>0</v>
      </c>
      <c r="IW75" s="54"/>
      <c r="IX75" s="51">
        <f t="shared" si="1328"/>
        <v>1</v>
      </c>
      <c r="IY75" s="51">
        <f t="shared" si="1329"/>
        <v>0</v>
      </c>
      <c r="IZ75" s="51">
        <f t="shared" si="1397"/>
        <v>0</v>
      </c>
      <c r="JA75" s="54"/>
      <c r="JB75" s="51" t="e">
        <f t="shared" si="1330"/>
        <v>#REF!</v>
      </c>
      <c r="JC75" s="51">
        <f t="shared" si="1331"/>
        <v>0</v>
      </c>
      <c r="JD75" s="51">
        <f t="shared" si="1398"/>
        <v>0</v>
      </c>
      <c r="JE75" s="54"/>
      <c r="JF75" s="51" t="e">
        <f t="shared" si="1332"/>
        <v>#REF!</v>
      </c>
      <c r="JG75" s="51">
        <f t="shared" si="1333"/>
        <v>0</v>
      </c>
      <c r="JH75" s="51">
        <f t="shared" si="1399"/>
        <v>0</v>
      </c>
      <c r="JI75" s="54"/>
      <c r="JJ75" s="51" t="e">
        <f t="shared" si="1334"/>
        <v>#REF!</v>
      </c>
      <c r="JK75" s="51">
        <f t="shared" si="1335"/>
        <v>0</v>
      </c>
      <c r="JL75" s="51">
        <f t="shared" si="1400"/>
        <v>0</v>
      </c>
      <c r="JM75" s="54"/>
      <c r="JO75" s="80"/>
      <c r="JP75" s="80"/>
      <c r="JQ75" s="80">
        <f t="shared" si="1222"/>
        <v>0</v>
      </c>
      <c r="JS75" s="80"/>
      <c r="JT75" s="80"/>
      <c r="JU75" s="80">
        <f t="shared" si="1223"/>
        <v>0</v>
      </c>
      <c r="JW75" s="80"/>
      <c r="JX75" s="80"/>
      <c r="JY75" s="80">
        <f t="shared" si="1224"/>
        <v>0</v>
      </c>
      <c r="KA75" s="80"/>
      <c r="KB75" s="80"/>
      <c r="KC75" s="80">
        <f t="shared" si="1225"/>
        <v>0</v>
      </c>
      <c r="KE75" s="80"/>
      <c r="KF75" s="80"/>
      <c r="KG75" s="80">
        <f t="shared" si="1226"/>
        <v>0</v>
      </c>
      <c r="KI75" s="80"/>
      <c r="KJ75" s="80"/>
      <c r="KK75" s="80">
        <f t="shared" si="1227"/>
        <v>0</v>
      </c>
      <c r="KM75" s="80"/>
      <c r="KN75" s="80"/>
      <c r="KO75" s="80">
        <f t="shared" si="1228"/>
        <v>0</v>
      </c>
    </row>
    <row r="76" ht="18.75" customHeight="1" spans="2:301" x14ac:dyDescent="0.25">
      <c r="B76" s="5" t="str">
        <f>A.IIOPEX!C76</f>
        <v>6h</v>
      </c>
      <c r="C76" s="27"/>
      <c r="D76" s="29">
        <f>A.IIOPEX!E76</f>
        <v>0</v>
      </c>
      <c r="E76" s="30"/>
      <c r="F76" s="51">
        <v>1</v>
      </c>
      <c r="G76" s="51"/>
      <c r="H76" s="51">
        <f>A.IIOPEX!I76</f>
        <v>0</v>
      </c>
      <c r="I76" s="54"/>
      <c r="J76" s="51">
        <f t="shared" si="1208"/>
        <v>1</v>
      </c>
      <c r="K76" s="51"/>
      <c r="L76" s="51">
        <f t="shared" si="1229"/>
        <v>0</v>
      </c>
      <c r="M76" s="54"/>
      <c r="N76" s="51">
        <f t="shared" si="1209"/>
        <v>1</v>
      </c>
      <c r="O76" s="51">
        <v>0</v>
      </c>
      <c r="P76" s="51">
        <f t="shared" si="1230"/>
        <v>0</v>
      </c>
      <c r="Q76" s="54"/>
      <c r="R76" s="51">
        <f t="shared" si="1210"/>
        <v>1</v>
      </c>
      <c r="S76" s="51">
        <v>0</v>
      </c>
      <c r="T76" s="51">
        <f t="shared" si="1336"/>
        <v>0</v>
      </c>
      <c r="U76" s="54"/>
      <c r="V76" s="51">
        <f t="shared" si="1211"/>
        <v>1</v>
      </c>
      <c r="W76" s="51">
        <v>0</v>
      </c>
      <c r="X76" s="51">
        <f t="shared" si="1337"/>
        <v>0</v>
      </c>
      <c r="Y76" s="54"/>
      <c r="Z76" s="51">
        <f t="shared" si="1212"/>
        <v>1</v>
      </c>
      <c r="AA76" s="51">
        <v>0</v>
      </c>
      <c r="AB76" s="51">
        <f t="shared" si="1338"/>
        <v>0</v>
      </c>
      <c r="AC76" s="54"/>
      <c r="AD76" s="51">
        <f t="shared" si="1339"/>
        <v>1</v>
      </c>
      <c r="AE76" s="51">
        <v>0</v>
      </c>
      <c r="AF76" s="51">
        <f t="shared" si="1340"/>
        <v>0</v>
      </c>
      <c r="AG76" s="54"/>
      <c r="AH76" s="51">
        <f t="shared" si="1232"/>
        <v>1</v>
      </c>
      <c r="AI76" s="51"/>
      <c r="AJ76" s="51">
        <f t="shared" si="1341"/>
        <v>0</v>
      </c>
      <c r="AK76" s="54"/>
      <c r="AL76" s="51">
        <f t="shared" si="1233"/>
        <v>1</v>
      </c>
      <c r="AM76" s="51"/>
      <c r="AN76" s="51">
        <f t="shared" si="1342"/>
        <v>0</v>
      </c>
      <c r="AO76" s="54"/>
      <c r="AP76" s="51">
        <f t="shared" si="1234"/>
        <v>1</v>
      </c>
      <c r="AQ76" s="51"/>
      <c r="AR76" s="51">
        <f t="shared" si="1343"/>
        <v>0</v>
      </c>
      <c r="AS76" s="54"/>
      <c r="AT76" s="51">
        <f t="shared" si="1235"/>
        <v>1</v>
      </c>
      <c r="AU76" s="51"/>
      <c r="AV76" s="51">
        <f t="shared" si="1344"/>
        <v>0</v>
      </c>
      <c r="AW76" s="54"/>
      <c r="AX76" s="51">
        <f t="shared" si="1236"/>
        <v>1</v>
      </c>
      <c r="AY76" s="51"/>
      <c r="AZ76" s="51">
        <f t="shared" si="1345"/>
        <v>0</v>
      </c>
      <c r="BA76" s="54"/>
      <c r="BB76" s="51">
        <f t="shared" si="1213"/>
        <v>1</v>
      </c>
      <c r="BC76" s="51"/>
      <c r="BD76" s="51">
        <f t="shared" si="1346"/>
        <v>0</v>
      </c>
      <c r="BE76" s="54"/>
      <c r="BF76" s="51">
        <f t="shared" si="1237"/>
        <v>1</v>
      </c>
      <c r="BG76" s="51"/>
      <c r="BH76" s="51">
        <f t="shared" si="1347"/>
        <v>0</v>
      </c>
      <c r="BI76" s="54"/>
      <c r="BJ76" s="51">
        <f t="shared" si="1238"/>
        <v>1</v>
      </c>
      <c r="BK76" s="51">
        <f t="shared" si="1239"/>
        <v>0</v>
      </c>
      <c r="BL76" s="51">
        <f t="shared" si="1348"/>
        <v>0</v>
      </c>
      <c r="BM76" s="54"/>
      <c r="BN76" s="51">
        <f t="shared" si="1240"/>
        <v>1</v>
      </c>
      <c r="BO76" s="51">
        <f t="shared" si="1241"/>
        <v>0</v>
      </c>
      <c r="BP76" s="51">
        <f t="shared" si="1349"/>
        <v>0</v>
      </c>
      <c r="BQ76" s="54"/>
      <c r="BR76" s="51">
        <f t="shared" si="1242"/>
        <v>1</v>
      </c>
      <c r="BS76" s="51">
        <f t="shared" si="1243"/>
        <v>0</v>
      </c>
      <c r="BT76" s="51">
        <f t="shared" si="1350"/>
        <v>0</v>
      </c>
      <c r="BU76" s="54"/>
      <c r="BV76" s="51">
        <f t="shared" si="1244"/>
        <v>1</v>
      </c>
      <c r="BW76" s="51">
        <f t="shared" si="1245"/>
        <v>0</v>
      </c>
      <c r="BX76" s="51">
        <f t="shared" si="1351"/>
        <v>0</v>
      </c>
      <c r="BY76" s="54"/>
      <c r="BZ76" s="51">
        <f t="shared" si="1246"/>
        <v>1</v>
      </c>
      <c r="CA76" s="51">
        <f t="shared" si="1247"/>
        <v>0</v>
      </c>
      <c r="CB76" s="51">
        <f t="shared" si="1352"/>
        <v>0</v>
      </c>
      <c r="CC76" s="54"/>
      <c r="CD76" s="51">
        <f t="shared" si="1248"/>
        <v>1</v>
      </c>
      <c r="CE76" s="51">
        <f t="shared" si="1249"/>
        <v>0</v>
      </c>
      <c r="CF76" s="51">
        <f t="shared" si="1353"/>
        <v>0</v>
      </c>
      <c r="CG76" s="54"/>
      <c r="CH76" s="51">
        <f t="shared" si="1250"/>
        <v>1</v>
      </c>
      <c r="CI76" s="51">
        <f t="shared" si="1251"/>
        <v>0</v>
      </c>
      <c r="CJ76" s="51">
        <f t="shared" si="1354"/>
        <v>0</v>
      </c>
      <c r="CK76" s="54"/>
      <c r="CL76" s="51">
        <f t="shared" si="1252"/>
        <v>1</v>
      </c>
      <c r="CM76" s="51">
        <f t="shared" si="1253"/>
        <v>0</v>
      </c>
      <c r="CN76" s="51">
        <f t="shared" si="1355"/>
        <v>0</v>
      </c>
      <c r="CO76" s="54"/>
      <c r="CP76" s="51">
        <f t="shared" si="1254"/>
        <v>1</v>
      </c>
      <c r="CQ76" s="51">
        <f t="shared" si="1255"/>
        <v>0</v>
      </c>
      <c r="CR76" s="51">
        <f t="shared" si="1356"/>
        <v>0</v>
      </c>
      <c r="CS76" s="54"/>
      <c r="CT76" s="51">
        <f t="shared" si="1256"/>
        <v>1</v>
      </c>
      <c r="CU76" s="51">
        <f t="shared" si="1257"/>
        <v>0</v>
      </c>
      <c r="CV76" s="51">
        <f t="shared" si="1357"/>
        <v>0</v>
      </c>
      <c r="CW76" s="54"/>
      <c r="CX76" s="51">
        <f t="shared" si="1214"/>
        <v>1</v>
      </c>
      <c r="CY76" s="51">
        <f t="shared" si="1215"/>
        <v>0</v>
      </c>
      <c r="CZ76" s="51">
        <f t="shared" si="1358"/>
        <v>0</v>
      </c>
      <c r="DA76" s="54"/>
      <c r="DB76" s="51">
        <f t="shared" si="1258"/>
        <v>1</v>
      </c>
      <c r="DC76" s="51">
        <f t="shared" si="1259"/>
        <v>0</v>
      </c>
      <c r="DD76" s="51">
        <f t="shared" si="1359"/>
        <v>0</v>
      </c>
      <c r="DE76" s="54"/>
      <c r="DF76" s="51">
        <f t="shared" si="1260"/>
        <v>1</v>
      </c>
      <c r="DG76" s="51">
        <f t="shared" si="1261"/>
        <v>0</v>
      </c>
      <c r="DH76" s="51">
        <f t="shared" si="1360"/>
        <v>0</v>
      </c>
      <c r="DI76" s="54"/>
      <c r="DJ76" s="51">
        <f t="shared" si="1262"/>
        <v>1</v>
      </c>
      <c r="DK76" s="51">
        <f t="shared" si="1263"/>
        <v>0</v>
      </c>
      <c r="DL76" s="51">
        <f t="shared" si="1361"/>
        <v>0</v>
      </c>
      <c r="DM76" s="54"/>
      <c r="DN76" s="51">
        <f t="shared" si="1264"/>
        <v>1</v>
      </c>
      <c r="DO76" s="51">
        <f t="shared" si="1265"/>
        <v>0</v>
      </c>
      <c r="DP76" s="51">
        <f t="shared" si="1362"/>
        <v>0</v>
      </c>
      <c r="DQ76" s="54"/>
      <c r="DR76" s="51">
        <f t="shared" si="1266"/>
        <v>1</v>
      </c>
      <c r="DS76" s="51">
        <f t="shared" si="1267"/>
        <v>0</v>
      </c>
      <c r="DT76" s="51">
        <f t="shared" si="1363"/>
        <v>0</v>
      </c>
      <c r="DU76" s="54"/>
      <c r="DV76" s="51">
        <f t="shared" si="1268"/>
        <v>1</v>
      </c>
      <c r="DW76" s="51">
        <f t="shared" si="1269"/>
        <v>0</v>
      </c>
      <c r="DX76" s="51">
        <f t="shared" si="1364"/>
        <v>0</v>
      </c>
      <c r="DY76" s="54"/>
      <c r="DZ76" s="51">
        <f t="shared" si="1270"/>
        <v>1</v>
      </c>
      <c r="EA76" s="51">
        <f t="shared" si="1271"/>
        <v>0</v>
      </c>
      <c r="EB76" s="51">
        <f t="shared" si="1365"/>
        <v>0</v>
      </c>
      <c r="EC76" s="54"/>
      <c r="ED76" s="51">
        <f t="shared" si="1272"/>
        <v>1</v>
      </c>
      <c r="EE76" s="51">
        <f t="shared" si="1273"/>
        <v>0</v>
      </c>
      <c r="EF76" s="51">
        <f t="shared" si="1366"/>
        <v>0</v>
      </c>
      <c r="EG76" s="54"/>
      <c r="EH76" s="51">
        <f t="shared" si="1274"/>
        <v>1</v>
      </c>
      <c r="EI76" s="51">
        <f t="shared" si="1275"/>
        <v>0</v>
      </c>
      <c r="EJ76" s="51">
        <f t="shared" si="1367"/>
        <v>0</v>
      </c>
      <c r="EK76" s="54"/>
      <c r="EL76" s="51">
        <f t="shared" si="1276"/>
        <v>1</v>
      </c>
      <c r="EM76" s="51">
        <f t="shared" si="1277"/>
        <v>0</v>
      </c>
      <c r="EN76" s="51">
        <f t="shared" si="1368"/>
        <v>0</v>
      </c>
      <c r="EO76" s="54"/>
      <c r="EP76" s="51">
        <f t="shared" si="1278"/>
        <v>1</v>
      </c>
      <c r="EQ76" s="51">
        <f t="shared" si="1279"/>
        <v>0</v>
      </c>
      <c r="ER76" s="51">
        <f t="shared" si="1369"/>
        <v>0</v>
      </c>
      <c r="ES76" s="54"/>
      <c r="ET76" s="51">
        <f t="shared" si="1216"/>
        <v>1</v>
      </c>
      <c r="EU76" s="51">
        <f t="shared" si="1217"/>
        <v>0</v>
      </c>
      <c r="EV76" s="51">
        <f t="shared" si="1370"/>
        <v>0</v>
      </c>
      <c r="EW76" s="54"/>
      <c r="EX76" s="51">
        <f t="shared" si="1280"/>
        <v>1</v>
      </c>
      <c r="EY76" s="51">
        <f t="shared" si="1281"/>
        <v>0</v>
      </c>
      <c r="EZ76" s="51">
        <f t="shared" si="1371"/>
        <v>0</v>
      </c>
      <c r="FA76" s="54"/>
      <c r="FB76" s="51">
        <f t="shared" si="1282"/>
        <v>1</v>
      </c>
      <c r="FC76" s="51">
        <f t="shared" si="1283"/>
        <v>0</v>
      </c>
      <c r="FD76" s="51">
        <f t="shared" si="1372"/>
        <v>0</v>
      </c>
      <c r="FE76" s="54"/>
      <c r="FF76" s="51">
        <f t="shared" si="1284"/>
        <v>1</v>
      </c>
      <c r="FG76" s="51">
        <f t="shared" si="1285"/>
        <v>0</v>
      </c>
      <c r="FH76" s="51">
        <f t="shared" si="1373"/>
        <v>0</v>
      </c>
      <c r="FI76" s="54"/>
      <c r="FJ76" s="51">
        <f t="shared" si="1286"/>
        <v>1</v>
      </c>
      <c r="FK76" s="51">
        <f t="shared" si="1287"/>
        <v>0</v>
      </c>
      <c r="FL76" s="51">
        <f t="shared" si="1374"/>
        <v>0</v>
      </c>
      <c r="FM76" s="54"/>
      <c r="FN76" s="51">
        <f t="shared" si="1288"/>
        <v>1</v>
      </c>
      <c r="FO76" s="51">
        <f t="shared" si="1289"/>
        <v>0</v>
      </c>
      <c r="FP76" s="51">
        <f t="shared" si="1375"/>
        <v>0</v>
      </c>
      <c r="FQ76" s="54"/>
      <c r="FR76" s="51">
        <f t="shared" si="1290"/>
        <v>1</v>
      </c>
      <c r="FS76" s="51">
        <f t="shared" si="1291"/>
        <v>0</v>
      </c>
      <c r="FT76" s="51">
        <f t="shared" si="1376"/>
        <v>0</v>
      </c>
      <c r="FU76" s="54"/>
      <c r="FV76" s="51">
        <f t="shared" si="1292"/>
        <v>1</v>
      </c>
      <c r="FW76" s="51">
        <f t="shared" si="1293"/>
        <v>0</v>
      </c>
      <c r="FX76" s="51">
        <f t="shared" si="1377"/>
        <v>0</v>
      </c>
      <c r="FY76" s="54"/>
      <c r="FZ76" s="51">
        <f t="shared" si="1294"/>
        <v>1</v>
      </c>
      <c r="GA76" s="51">
        <f t="shared" si="1295"/>
        <v>0</v>
      </c>
      <c r="GB76" s="51">
        <f t="shared" si="1378"/>
        <v>0</v>
      </c>
      <c r="GC76" s="54"/>
      <c r="GD76" s="51">
        <f t="shared" si="1296"/>
        <v>1</v>
      </c>
      <c r="GE76" s="51">
        <f t="shared" si="1297"/>
        <v>0</v>
      </c>
      <c r="GF76" s="51">
        <f t="shared" si="1379"/>
        <v>0</v>
      </c>
      <c r="GG76" s="54"/>
      <c r="GH76" s="51">
        <f t="shared" si="1298"/>
        <v>1</v>
      </c>
      <c r="GI76" s="51">
        <f t="shared" si="1299"/>
        <v>0</v>
      </c>
      <c r="GJ76" s="51">
        <f t="shared" si="1380"/>
        <v>0</v>
      </c>
      <c r="GK76" s="54"/>
      <c r="GL76" s="51">
        <f t="shared" si="1300"/>
        <v>1</v>
      </c>
      <c r="GM76" s="51">
        <f t="shared" si="1301"/>
        <v>0</v>
      </c>
      <c r="GN76" s="51">
        <f t="shared" si="1381"/>
        <v>0</v>
      </c>
      <c r="GP76" s="51">
        <f t="shared" si="1218"/>
        <v>1</v>
      </c>
      <c r="GQ76" s="51">
        <f t="shared" si="1219"/>
        <v>0</v>
      </c>
      <c r="GR76" s="51">
        <f t="shared" si="1382"/>
        <v>0</v>
      </c>
      <c r="GS76" s="54"/>
      <c r="GT76" s="51">
        <f t="shared" si="1302"/>
        <v>1</v>
      </c>
      <c r="GU76" s="51">
        <f t="shared" si="1303"/>
        <v>0</v>
      </c>
      <c r="GV76" s="51">
        <f t="shared" si="1383"/>
        <v>0</v>
      </c>
      <c r="GW76" s="54"/>
      <c r="GX76" s="51">
        <f t="shared" si="1304"/>
        <v>1</v>
      </c>
      <c r="GY76" s="51">
        <f t="shared" si="1305"/>
        <v>0</v>
      </c>
      <c r="GZ76" s="51">
        <f t="shared" si="1384"/>
        <v>0</v>
      </c>
      <c r="HA76" s="54"/>
      <c r="HB76" s="51">
        <f t="shared" si="1306"/>
        <v>1</v>
      </c>
      <c r="HC76" s="51">
        <f t="shared" si="1307"/>
        <v>0</v>
      </c>
      <c r="HD76" s="51">
        <f t="shared" si="1385"/>
        <v>0</v>
      </c>
      <c r="HE76" s="54"/>
      <c r="HF76" s="51">
        <f t="shared" si="1308"/>
        <v>1</v>
      </c>
      <c r="HG76" s="51">
        <f t="shared" si="1309"/>
        <v>0</v>
      </c>
      <c r="HH76" s="51">
        <f t="shared" si="1386"/>
        <v>0</v>
      </c>
      <c r="HI76" s="54"/>
      <c r="HJ76" s="51">
        <f t="shared" si="1310"/>
        <v>1</v>
      </c>
      <c r="HK76" s="51">
        <f t="shared" si="1311"/>
        <v>0</v>
      </c>
      <c r="HL76" s="51">
        <f t="shared" si="1387"/>
        <v>0</v>
      </c>
      <c r="HM76" s="54"/>
      <c r="HN76" s="51">
        <f t="shared" si="1312"/>
        <v>1</v>
      </c>
      <c r="HO76" s="51">
        <f t="shared" si="1313"/>
        <v>0</v>
      </c>
      <c r="HP76" s="51">
        <f t="shared" si="1388"/>
        <v>0</v>
      </c>
      <c r="HQ76" s="54"/>
      <c r="HR76" s="51">
        <f t="shared" si="1314"/>
        <v>1</v>
      </c>
      <c r="HS76" s="51">
        <f t="shared" si="1315"/>
        <v>0</v>
      </c>
      <c r="HT76" s="51">
        <f t="shared" si="1389"/>
        <v>0</v>
      </c>
      <c r="HU76" s="54"/>
      <c r="HV76" s="51">
        <f t="shared" si="1316"/>
        <v>1</v>
      </c>
      <c r="HW76" s="51">
        <f t="shared" si="1317"/>
        <v>0</v>
      </c>
      <c r="HX76" s="51">
        <f t="shared" si="1390"/>
        <v>0</v>
      </c>
      <c r="HY76" s="54"/>
      <c r="HZ76" s="51">
        <f t="shared" si="1318"/>
        <v>1</v>
      </c>
      <c r="IA76" s="51">
        <f t="shared" si="1319"/>
        <v>0</v>
      </c>
      <c r="IB76" s="51">
        <f t="shared" si="1391"/>
        <v>0</v>
      </c>
      <c r="IC76" s="54"/>
      <c r="ID76" s="51">
        <f t="shared" si="1320"/>
        <v>1</v>
      </c>
      <c r="IE76" s="51">
        <f t="shared" si="1321"/>
        <v>0</v>
      </c>
      <c r="IF76" s="51">
        <f t="shared" si="1392"/>
        <v>0</v>
      </c>
      <c r="IG76" s="54"/>
      <c r="IH76" s="51">
        <f t="shared" si="1322"/>
        <v>1</v>
      </c>
      <c r="II76" s="51">
        <f t="shared" si="1323"/>
        <v>0</v>
      </c>
      <c r="IJ76" s="51">
        <f t="shared" si="1393"/>
        <v>0</v>
      </c>
      <c r="IL76" s="51">
        <f t="shared" si="1220"/>
        <v>1</v>
      </c>
      <c r="IM76" s="51">
        <f t="shared" si="1221"/>
        <v>0</v>
      </c>
      <c r="IN76" s="51">
        <f t="shared" si="1394"/>
        <v>0</v>
      </c>
      <c r="IO76" s="54"/>
      <c r="IP76" s="51">
        <f t="shared" si="1324"/>
        <v>1</v>
      </c>
      <c r="IQ76" s="51">
        <f t="shared" si="1325"/>
        <v>0</v>
      </c>
      <c r="IR76" s="51">
        <f t="shared" si="1395"/>
        <v>0</v>
      </c>
      <c r="IS76" s="54"/>
      <c r="IT76" s="51">
        <f t="shared" si="1326"/>
        <v>1</v>
      </c>
      <c r="IU76" s="51">
        <f t="shared" si="1327"/>
        <v>0</v>
      </c>
      <c r="IV76" s="51">
        <f t="shared" si="1396"/>
        <v>0</v>
      </c>
      <c r="IW76" s="54"/>
      <c r="IX76" s="51">
        <f t="shared" si="1328"/>
        <v>1</v>
      </c>
      <c r="IY76" s="51">
        <f t="shared" si="1329"/>
        <v>0</v>
      </c>
      <c r="IZ76" s="51">
        <f t="shared" si="1397"/>
        <v>0</v>
      </c>
      <c r="JA76" s="54"/>
      <c r="JB76" s="51" t="e">
        <f t="shared" si="1330"/>
        <v>#REF!</v>
      </c>
      <c r="JC76" s="51">
        <f t="shared" si="1331"/>
        <v>0</v>
      </c>
      <c r="JD76" s="51">
        <f t="shared" si="1398"/>
        <v>0</v>
      </c>
      <c r="JE76" s="54"/>
      <c r="JF76" s="51" t="e">
        <f t="shared" si="1332"/>
        <v>#REF!</v>
      </c>
      <c r="JG76" s="51">
        <f t="shared" si="1333"/>
        <v>0</v>
      </c>
      <c r="JH76" s="51">
        <f t="shared" si="1399"/>
        <v>0</v>
      </c>
      <c r="JI76" s="54"/>
      <c r="JJ76" s="51" t="e">
        <f t="shared" si="1334"/>
        <v>#REF!</v>
      </c>
      <c r="JK76" s="51">
        <f t="shared" si="1335"/>
        <v>0</v>
      </c>
      <c r="JL76" s="51">
        <f t="shared" si="1400"/>
        <v>0</v>
      </c>
      <c r="JM76" s="54"/>
      <c r="JO76" s="80"/>
      <c r="JP76" s="80"/>
      <c r="JQ76" s="80">
        <f t="shared" si="1222"/>
        <v>0</v>
      </c>
      <c r="JS76" s="80"/>
      <c r="JT76" s="80"/>
      <c r="JU76" s="80">
        <f t="shared" si="1223"/>
        <v>0</v>
      </c>
      <c r="JW76" s="80"/>
      <c r="JX76" s="80"/>
      <c r="JY76" s="80">
        <f t="shared" si="1224"/>
        <v>0</v>
      </c>
      <c r="KA76" s="80"/>
      <c r="KB76" s="80"/>
      <c r="KC76" s="80">
        <f t="shared" si="1225"/>
        <v>0</v>
      </c>
      <c r="KE76" s="80"/>
      <c r="KF76" s="80"/>
      <c r="KG76" s="80">
        <f t="shared" si="1226"/>
        <v>0</v>
      </c>
      <c r="KI76" s="80"/>
      <c r="KJ76" s="80"/>
      <c r="KK76" s="80">
        <f t="shared" si="1227"/>
        <v>0</v>
      </c>
      <c r="KM76" s="80"/>
      <c r="KN76" s="80"/>
      <c r="KO76" s="80">
        <f t="shared" si="1228"/>
        <v>0</v>
      </c>
    </row>
    <row r="77" ht="18.75" customHeight="1" spans="2:301" x14ac:dyDescent="0.25">
      <c r="B77" s="5" t="str">
        <f>A.IIOPEX!C77</f>
        <v>6i</v>
      </c>
      <c r="C77" s="27"/>
      <c r="D77" s="29">
        <f>A.IIOPEX!E77</f>
        <v>0</v>
      </c>
      <c r="E77" s="30"/>
      <c r="F77" s="51">
        <v>1</v>
      </c>
      <c r="G77" s="51"/>
      <c r="H77" s="51">
        <f>A.IIOPEX!I77</f>
        <v>0</v>
      </c>
      <c r="I77" s="54"/>
      <c r="J77" s="51">
        <f t="shared" si="1208"/>
        <v>1</v>
      </c>
      <c r="K77" s="51"/>
      <c r="L77" s="51">
        <f t="shared" si="1229"/>
        <v>0</v>
      </c>
      <c r="M77" s="54"/>
      <c r="N77" s="51">
        <f t="shared" si="1209"/>
        <v>1</v>
      </c>
      <c r="O77" s="51">
        <v>0</v>
      </c>
      <c r="P77" s="51">
        <f t="shared" si="1230"/>
        <v>0</v>
      </c>
      <c r="Q77" s="54"/>
      <c r="R77" s="51">
        <f t="shared" si="1210"/>
        <v>1</v>
      </c>
      <c r="S77" s="51">
        <v>0</v>
      </c>
      <c r="T77" s="51">
        <f t="shared" si="1336"/>
        <v>0</v>
      </c>
      <c r="U77" s="54"/>
      <c r="V77" s="51">
        <f t="shared" si="1211"/>
        <v>1</v>
      </c>
      <c r="W77" s="51">
        <v>0</v>
      </c>
      <c r="X77" s="51">
        <f t="shared" si="1337"/>
        <v>0</v>
      </c>
      <c r="Y77" s="54"/>
      <c r="Z77" s="51">
        <f t="shared" si="1212"/>
        <v>1</v>
      </c>
      <c r="AA77" s="51">
        <v>0</v>
      </c>
      <c r="AB77" s="51">
        <f t="shared" si="1338"/>
        <v>0</v>
      </c>
      <c r="AC77" s="54"/>
      <c r="AD77" s="51">
        <f t="shared" si="1339"/>
        <v>1</v>
      </c>
      <c r="AE77" s="51">
        <v>0</v>
      </c>
      <c r="AF77" s="51">
        <f t="shared" si="1340"/>
        <v>0</v>
      </c>
      <c r="AG77" s="54"/>
      <c r="AH77" s="51">
        <f t="shared" si="1232"/>
        <v>1</v>
      </c>
      <c r="AI77" s="51"/>
      <c r="AJ77" s="51">
        <f t="shared" si="1341"/>
        <v>0</v>
      </c>
      <c r="AK77" s="54"/>
      <c r="AL77" s="51">
        <f t="shared" si="1233"/>
        <v>1</v>
      </c>
      <c r="AM77" s="51"/>
      <c r="AN77" s="51">
        <f t="shared" si="1342"/>
        <v>0</v>
      </c>
      <c r="AO77" s="54"/>
      <c r="AP77" s="51">
        <f t="shared" si="1234"/>
        <v>1</v>
      </c>
      <c r="AQ77" s="51"/>
      <c r="AR77" s="51">
        <f t="shared" si="1343"/>
        <v>0</v>
      </c>
      <c r="AS77" s="54"/>
      <c r="AT77" s="51">
        <f t="shared" si="1235"/>
        <v>1</v>
      </c>
      <c r="AU77" s="51"/>
      <c r="AV77" s="51">
        <f t="shared" si="1344"/>
        <v>0</v>
      </c>
      <c r="AW77" s="54"/>
      <c r="AX77" s="51">
        <f t="shared" si="1236"/>
        <v>1</v>
      </c>
      <c r="AY77" s="51"/>
      <c r="AZ77" s="51">
        <f t="shared" si="1345"/>
        <v>0</v>
      </c>
      <c r="BA77" s="54"/>
      <c r="BB77" s="51">
        <f t="shared" si="1213"/>
        <v>1</v>
      </c>
      <c r="BC77" s="51"/>
      <c r="BD77" s="51">
        <f t="shared" si="1346"/>
        <v>0</v>
      </c>
      <c r="BE77" s="54"/>
      <c r="BF77" s="51">
        <f t="shared" si="1237"/>
        <v>1</v>
      </c>
      <c r="BG77" s="51"/>
      <c r="BH77" s="51">
        <f t="shared" si="1347"/>
        <v>0</v>
      </c>
      <c r="BI77" s="54"/>
      <c r="BJ77" s="51">
        <f t="shared" si="1238"/>
        <v>1</v>
      </c>
      <c r="BK77" s="51">
        <f t="shared" si="1239"/>
        <v>0</v>
      </c>
      <c r="BL77" s="51">
        <f t="shared" si="1348"/>
        <v>0</v>
      </c>
      <c r="BM77" s="54"/>
      <c r="BN77" s="51">
        <f t="shared" si="1240"/>
        <v>1</v>
      </c>
      <c r="BO77" s="51">
        <f t="shared" si="1241"/>
        <v>0</v>
      </c>
      <c r="BP77" s="51">
        <f t="shared" si="1349"/>
        <v>0</v>
      </c>
      <c r="BQ77" s="54"/>
      <c r="BR77" s="51">
        <f t="shared" si="1242"/>
        <v>1</v>
      </c>
      <c r="BS77" s="51">
        <f t="shared" si="1243"/>
        <v>0</v>
      </c>
      <c r="BT77" s="51">
        <f t="shared" si="1350"/>
        <v>0</v>
      </c>
      <c r="BU77" s="54"/>
      <c r="BV77" s="51">
        <f t="shared" si="1244"/>
        <v>1</v>
      </c>
      <c r="BW77" s="51">
        <f t="shared" si="1245"/>
        <v>0</v>
      </c>
      <c r="BX77" s="51">
        <f t="shared" si="1351"/>
        <v>0</v>
      </c>
      <c r="BY77" s="54"/>
      <c r="BZ77" s="51">
        <f t="shared" si="1246"/>
        <v>1</v>
      </c>
      <c r="CA77" s="51">
        <f t="shared" si="1247"/>
        <v>0</v>
      </c>
      <c r="CB77" s="51">
        <f t="shared" si="1352"/>
        <v>0</v>
      </c>
      <c r="CC77" s="54"/>
      <c r="CD77" s="51">
        <f t="shared" si="1248"/>
        <v>1</v>
      </c>
      <c r="CE77" s="51">
        <f t="shared" si="1249"/>
        <v>0</v>
      </c>
      <c r="CF77" s="51">
        <f t="shared" si="1353"/>
        <v>0</v>
      </c>
      <c r="CG77" s="54"/>
      <c r="CH77" s="51">
        <f t="shared" si="1250"/>
        <v>1</v>
      </c>
      <c r="CI77" s="51">
        <f t="shared" si="1251"/>
        <v>0</v>
      </c>
      <c r="CJ77" s="51">
        <f t="shared" si="1354"/>
        <v>0</v>
      </c>
      <c r="CK77" s="54"/>
      <c r="CL77" s="51">
        <f t="shared" si="1252"/>
        <v>1</v>
      </c>
      <c r="CM77" s="51">
        <f t="shared" si="1253"/>
        <v>0</v>
      </c>
      <c r="CN77" s="51">
        <f t="shared" si="1355"/>
        <v>0</v>
      </c>
      <c r="CO77" s="54"/>
      <c r="CP77" s="51">
        <f t="shared" si="1254"/>
        <v>1</v>
      </c>
      <c r="CQ77" s="51">
        <f t="shared" si="1255"/>
        <v>0</v>
      </c>
      <c r="CR77" s="51">
        <f t="shared" si="1356"/>
        <v>0</v>
      </c>
      <c r="CS77" s="54"/>
      <c r="CT77" s="51">
        <f t="shared" si="1256"/>
        <v>1</v>
      </c>
      <c r="CU77" s="51">
        <f t="shared" si="1257"/>
        <v>0</v>
      </c>
      <c r="CV77" s="51">
        <f t="shared" si="1357"/>
        <v>0</v>
      </c>
      <c r="CW77" s="54"/>
      <c r="CX77" s="51">
        <f t="shared" si="1214"/>
        <v>1</v>
      </c>
      <c r="CY77" s="51">
        <f t="shared" si="1215"/>
        <v>0</v>
      </c>
      <c r="CZ77" s="51">
        <f t="shared" si="1358"/>
        <v>0</v>
      </c>
      <c r="DA77" s="54"/>
      <c r="DB77" s="51">
        <f t="shared" si="1258"/>
        <v>1</v>
      </c>
      <c r="DC77" s="51">
        <f t="shared" si="1259"/>
        <v>0</v>
      </c>
      <c r="DD77" s="51">
        <f t="shared" si="1359"/>
        <v>0</v>
      </c>
      <c r="DE77" s="54"/>
      <c r="DF77" s="51">
        <f t="shared" si="1260"/>
        <v>1</v>
      </c>
      <c r="DG77" s="51">
        <f t="shared" si="1261"/>
        <v>0</v>
      </c>
      <c r="DH77" s="51">
        <f t="shared" si="1360"/>
        <v>0</v>
      </c>
      <c r="DI77" s="54"/>
      <c r="DJ77" s="51">
        <f t="shared" si="1262"/>
        <v>1</v>
      </c>
      <c r="DK77" s="51">
        <f t="shared" si="1263"/>
        <v>0</v>
      </c>
      <c r="DL77" s="51">
        <f t="shared" si="1361"/>
        <v>0</v>
      </c>
      <c r="DM77" s="54"/>
      <c r="DN77" s="51">
        <f t="shared" si="1264"/>
        <v>1</v>
      </c>
      <c r="DO77" s="51">
        <f t="shared" si="1265"/>
        <v>0</v>
      </c>
      <c r="DP77" s="51">
        <f t="shared" si="1362"/>
        <v>0</v>
      </c>
      <c r="DQ77" s="54"/>
      <c r="DR77" s="51">
        <f t="shared" si="1266"/>
        <v>1</v>
      </c>
      <c r="DS77" s="51">
        <f t="shared" si="1267"/>
        <v>0</v>
      </c>
      <c r="DT77" s="51">
        <f t="shared" si="1363"/>
        <v>0</v>
      </c>
      <c r="DU77" s="54"/>
      <c r="DV77" s="51">
        <f t="shared" si="1268"/>
        <v>1</v>
      </c>
      <c r="DW77" s="51">
        <f t="shared" si="1269"/>
        <v>0</v>
      </c>
      <c r="DX77" s="51">
        <f t="shared" si="1364"/>
        <v>0</v>
      </c>
      <c r="DY77" s="54"/>
      <c r="DZ77" s="51">
        <f t="shared" si="1270"/>
        <v>1</v>
      </c>
      <c r="EA77" s="51">
        <f t="shared" si="1271"/>
        <v>0</v>
      </c>
      <c r="EB77" s="51">
        <f t="shared" si="1365"/>
        <v>0</v>
      </c>
      <c r="EC77" s="54"/>
      <c r="ED77" s="51">
        <f t="shared" si="1272"/>
        <v>1</v>
      </c>
      <c r="EE77" s="51">
        <f t="shared" si="1273"/>
        <v>0</v>
      </c>
      <c r="EF77" s="51">
        <f t="shared" si="1366"/>
        <v>0</v>
      </c>
      <c r="EG77" s="54"/>
      <c r="EH77" s="51">
        <f t="shared" si="1274"/>
        <v>1</v>
      </c>
      <c r="EI77" s="51">
        <f t="shared" si="1275"/>
        <v>0</v>
      </c>
      <c r="EJ77" s="51">
        <f t="shared" si="1367"/>
        <v>0</v>
      </c>
      <c r="EK77" s="54"/>
      <c r="EL77" s="51">
        <f t="shared" si="1276"/>
        <v>1</v>
      </c>
      <c r="EM77" s="51">
        <f t="shared" si="1277"/>
        <v>0</v>
      </c>
      <c r="EN77" s="51">
        <f t="shared" si="1368"/>
        <v>0</v>
      </c>
      <c r="EO77" s="54"/>
      <c r="EP77" s="51">
        <f t="shared" si="1278"/>
        <v>1</v>
      </c>
      <c r="EQ77" s="51">
        <f t="shared" si="1279"/>
        <v>0</v>
      </c>
      <c r="ER77" s="51">
        <f t="shared" si="1369"/>
        <v>0</v>
      </c>
      <c r="ES77" s="54"/>
      <c r="ET77" s="51">
        <f t="shared" si="1216"/>
        <v>1</v>
      </c>
      <c r="EU77" s="51">
        <f t="shared" si="1217"/>
        <v>0</v>
      </c>
      <c r="EV77" s="51">
        <f t="shared" si="1370"/>
        <v>0</v>
      </c>
      <c r="EW77" s="54"/>
      <c r="EX77" s="51">
        <f t="shared" si="1280"/>
        <v>1</v>
      </c>
      <c r="EY77" s="51">
        <f t="shared" si="1281"/>
        <v>0</v>
      </c>
      <c r="EZ77" s="51">
        <f t="shared" si="1371"/>
        <v>0</v>
      </c>
      <c r="FA77" s="54"/>
      <c r="FB77" s="51">
        <f t="shared" si="1282"/>
        <v>1</v>
      </c>
      <c r="FC77" s="51">
        <f t="shared" si="1283"/>
        <v>0</v>
      </c>
      <c r="FD77" s="51">
        <f t="shared" si="1372"/>
        <v>0</v>
      </c>
      <c r="FE77" s="54"/>
      <c r="FF77" s="51">
        <f t="shared" si="1284"/>
        <v>1</v>
      </c>
      <c r="FG77" s="51">
        <f t="shared" si="1285"/>
        <v>0</v>
      </c>
      <c r="FH77" s="51">
        <f t="shared" si="1373"/>
        <v>0</v>
      </c>
      <c r="FI77" s="54"/>
      <c r="FJ77" s="51">
        <f t="shared" si="1286"/>
        <v>1</v>
      </c>
      <c r="FK77" s="51">
        <f t="shared" si="1287"/>
        <v>0</v>
      </c>
      <c r="FL77" s="51">
        <f t="shared" si="1374"/>
        <v>0</v>
      </c>
      <c r="FM77" s="54"/>
      <c r="FN77" s="51">
        <f t="shared" si="1288"/>
        <v>1</v>
      </c>
      <c r="FO77" s="51">
        <f t="shared" si="1289"/>
        <v>0</v>
      </c>
      <c r="FP77" s="51">
        <f t="shared" si="1375"/>
        <v>0</v>
      </c>
      <c r="FQ77" s="54"/>
      <c r="FR77" s="51">
        <f t="shared" si="1290"/>
        <v>1</v>
      </c>
      <c r="FS77" s="51">
        <f t="shared" si="1291"/>
        <v>0</v>
      </c>
      <c r="FT77" s="51">
        <f t="shared" si="1376"/>
        <v>0</v>
      </c>
      <c r="FU77" s="54"/>
      <c r="FV77" s="51">
        <f t="shared" si="1292"/>
        <v>1</v>
      </c>
      <c r="FW77" s="51">
        <f t="shared" si="1293"/>
        <v>0</v>
      </c>
      <c r="FX77" s="51">
        <f t="shared" si="1377"/>
        <v>0</v>
      </c>
      <c r="FY77" s="54"/>
      <c r="FZ77" s="51">
        <f t="shared" si="1294"/>
        <v>1</v>
      </c>
      <c r="GA77" s="51">
        <f t="shared" si="1295"/>
        <v>0</v>
      </c>
      <c r="GB77" s="51">
        <f t="shared" si="1378"/>
        <v>0</v>
      </c>
      <c r="GC77" s="54"/>
      <c r="GD77" s="51">
        <f t="shared" si="1296"/>
        <v>1</v>
      </c>
      <c r="GE77" s="51">
        <f t="shared" si="1297"/>
        <v>0</v>
      </c>
      <c r="GF77" s="51">
        <f t="shared" si="1379"/>
        <v>0</v>
      </c>
      <c r="GG77" s="54"/>
      <c r="GH77" s="51">
        <f t="shared" si="1298"/>
        <v>1</v>
      </c>
      <c r="GI77" s="51">
        <f t="shared" si="1299"/>
        <v>0</v>
      </c>
      <c r="GJ77" s="51">
        <f t="shared" si="1380"/>
        <v>0</v>
      </c>
      <c r="GK77" s="54"/>
      <c r="GL77" s="51">
        <f t="shared" si="1300"/>
        <v>1</v>
      </c>
      <c r="GM77" s="51">
        <f t="shared" si="1301"/>
        <v>0</v>
      </c>
      <c r="GN77" s="51">
        <f t="shared" si="1381"/>
        <v>0</v>
      </c>
      <c r="GP77" s="51">
        <f t="shared" si="1218"/>
        <v>1</v>
      </c>
      <c r="GQ77" s="51">
        <f t="shared" si="1219"/>
        <v>0</v>
      </c>
      <c r="GR77" s="51">
        <f t="shared" si="1382"/>
        <v>0</v>
      </c>
      <c r="GS77" s="54"/>
      <c r="GT77" s="51">
        <f t="shared" si="1302"/>
        <v>1</v>
      </c>
      <c r="GU77" s="51">
        <f t="shared" si="1303"/>
        <v>0</v>
      </c>
      <c r="GV77" s="51">
        <f t="shared" si="1383"/>
        <v>0</v>
      </c>
      <c r="GW77" s="54"/>
      <c r="GX77" s="51">
        <f t="shared" si="1304"/>
        <v>1</v>
      </c>
      <c r="GY77" s="51">
        <f t="shared" si="1305"/>
        <v>0</v>
      </c>
      <c r="GZ77" s="51">
        <f t="shared" si="1384"/>
        <v>0</v>
      </c>
      <c r="HA77" s="54"/>
      <c r="HB77" s="51">
        <f t="shared" si="1306"/>
        <v>1</v>
      </c>
      <c r="HC77" s="51">
        <f t="shared" si="1307"/>
        <v>0</v>
      </c>
      <c r="HD77" s="51">
        <f t="shared" si="1385"/>
        <v>0</v>
      </c>
      <c r="HE77" s="54"/>
      <c r="HF77" s="51">
        <f t="shared" si="1308"/>
        <v>1</v>
      </c>
      <c r="HG77" s="51">
        <f t="shared" si="1309"/>
        <v>0</v>
      </c>
      <c r="HH77" s="51">
        <f t="shared" si="1386"/>
        <v>0</v>
      </c>
      <c r="HI77" s="54"/>
      <c r="HJ77" s="51">
        <f t="shared" si="1310"/>
        <v>1</v>
      </c>
      <c r="HK77" s="51">
        <f t="shared" si="1311"/>
        <v>0</v>
      </c>
      <c r="HL77" s="51">
        <f t="shared" si="1387"/>
        <v>0</v>
      </c>
      <c r="HM77" s="54"/>
      <c r="HN77" s="51">
        <f t="shared" si="1312"/>
        <v>1</v>
      </c>
      <c r="HO77" s="51">
        <f t="shared" si="1313"/>
        <v>0</v>
      </c>
      <c r="HP77" s="51">
        <f t="shared" si="1388"/>
        <v>0</v>
      </c>
      <c r="HQ77" s="54"/>
      <c r="HR77" s="51">
        <f t="shared" si="1314"/>
        <v>1</v>
      </c>
      <c r="HS77" s="51">
        <f t="shared" si="1315"/>
        <v>0</v>
      </c>
      <c r="HT77" s="51">
        <f t="shared" si="1389"/>
        <v>0</v>
      </c>
      <c r="HU77" s="54"/>
      <c r="HV77" s="51">
        <f t="shared" si="1316"/>
        <v>1</v>
      </c>
      <c r="HW77" s="51">
        <f t="shared" si="1317"/>
        <v>0</v>
      </c>
      <c r="HX77" s="51">
        <f t="shared" si="1390"/>
        <v>0</v>
      </c>
      <c r="HY77" s="54"/>
      <c r="HZ77" s="51">
        <f t="shared" si="1318"/>
        <v>1</v>
      </c>
      <c r="IA77" s="51">
        <f t="shared" si="1319"/>
        <v>0</v>
      </c>
      <c r="IB77" s="51">
        <f t="shared" si="1391"/>
        <v>0</v>
      </c>
      <c r="IC77" s="54"/>
      <c r="ID77" s="51">
        <f t="shared" si="1320"/>
        <v>1</v>
      </c>
      <c r="IE77" s="51">
        <f t="shared" si="1321"/>
        <v>0</v>
      </c>
      <c r="IF77" s="51">
        <f t="shared" si="1392"/>
        <v>0</v>
      </c>
      <c r="IG77" s="54"/>
      <c r="IH77" s="51">
        <f t="shared" si="1322"/>
        <v>1</v>
      </c>
      <c r="II77" s="51">
        <f t="shared" si="1323"/>
        <v>0</v>
      </c>
      <c r="IJ77" s="51">
        <f t="shared" si="1393"/>
        <v>0</v>
      </c>
      <c r="IL77" s="51">
        <f t="shared" si="1220"/>
        <v>1</v>
      </c>
      <c r="IM77" s="51">
        <f t="shared" si="1221"/>
        <v>0</v>
      </c>
      <c r="IN77" s="51">
        <f t="shared" si="1394"/>
        <v>0</v>
      </c>
      <c r="IO77" s="54"/>
      <c r="IP77" s="51">
        <f t="shared" si="1324"/>
        <v>1</v>
      </c>
      <c r="IQ77" s="51">
        <f t="shared" si="1325"/>
        <v>0</v>
      </c>
      <c r="IR77" s="51">
        <f t="shared" si="1395"/>
        <v>0</v>
      </c>
      <c r="IS77" s="54"/>
      <c r="IT77" s="51">
        <f t="shared" si="1326"/>
        <v>1</v>
      </c>
      <c r="IU77" s="51">
        <f t="shared" si="1327"/>
        <v>0</v>
      </c>
      <c r="IV77" s="51">
        <f t="shared" si="1396"/>
        <v>0</v>
      </c>
      <c r="IW77" s="54"/>
      <c r="IX77" s="51">
        <f t="shared" si="1328"/>
        <v>1</v>
      </c>
      <c r="IY77" s="51">
        <f t="shared" si="1329"/>
        <v>0</v>
      </c>
      <c r="IZ77" s="51">
        <f t="shared" si="1397"/>
        <v>0</v>
      </c>
      <c r="JA77" s="54"/>
      <c r="JB77" s="51" t="e">
        <f t="shared" si="1330"/>
        <v>#REF!</v>
      </c>
      <c r="JC77" s="51">
        <f t="shared" si="1331"/>
        <v>0</v>
      </c>
      <c r="JD77" s="51">
        <f t="shared" si="1398"/>
        <v>0</v>
      </c>
      <c r="JE77" s="54"/>
      <c r="JF77" s="51" t="e">
        <f t="shared" si="1332"/>
        <v>#REF!</v>
      </c>
      <c r="JG77" s="51">
        <f t="shared" si="1333"/>
        <v>0</v>
      </c>
      <c r="JH77" s="51">
        <f t="shared" si="1399"/>
        <v>0</v>
      </c>
      <c r="JI77" s="54"/>
      <c r="JJ77" s="51" t="e">
        <f t="shared" si="1334"/>
        <v>#REF!</v>
      </c>
      <c r="JK77" s="51">
        <f t="shared" si="1335"/>
        <v>0</v>
      </c>
      <c r="JL77" s="51">
        <f t="shared" si="1400"/>
        <v>0</v>
      </c>
      <c r="JM77" s="54"/>
      <c r="JO77" s="80"/>
      <c r="JP77" s="80"/>
      <c r="JQ77" s="80">
        <f t="shared" si="1222"/>
        <v>0</v>
      </c>
      <c r="JS77" s="80"/>
      <c r="JT77" s="80"/>
      <c r="JU77" s="80">
        <f t="shared" si="1223"/>
        <v>0</v>
      </c>
      <c r="JW77" s="80"/>
      <c r="JX77" s="80"/>
      <c r="JY77" s="80">
        <f t="shared" si="1224"/>
        <v>0</v>
      </c>
      <c r="KA77" s="80"/>
      <c r="KB77" s="80"/>
      <c r="KC77" s="80">
        <f t="shared" si="1225"/>
        <v>0</v>
      </c>
      <c r="KE77" s="80"/>
      <c r="KF77" s="80"/>
      <c r="KG77" s="80">
        <f t="shared" si="1226"/>
        <v>0</v>
      </c>
      <c r="KI77" s="80"/>
      <c r="KJ77" s="80"/>
      <c r="KK77" s="80">
        <f t="shared" si="1227"/>
        <v>0</v>
      </c>
      <c r="KM77" s="80"/>
      <c r="KN77" s="80"/>
      <c r="KO77" s="80">
        <f t="shared" si="1228"/>
        <v>0</v>
      </c>
    </row>
    <row r="78" ht="18.75" customHeight="1" spans="2:301" x14ac:dyDescent="0.25">
      <c r="B78" s="5" t="str">
        <f>A.IIOPEX!C78</f>
        <v>6j</v>
      </c>
      <c r="C78" s="27"/>
      <c r="D78" s="29">
        <f>A.IIOPEX!E78</f>
        <v>0</v>
      </c>
      <c r="E78" s="30"/>
      <c r="F78" s="51">
        <v>1</v>
      </c>
      <c r="G78" s="51"/>
      <c r="H78" s="51">
        <f>A.IIOPEX!I78</f>
        <v>0</v>
      </c>
      <c r="I78" s="54"/>
      <c r="J78" s="51">
        <f t="shared" si="1208"/>
        <v>1</v>
      </c>
      <c r="K78" s="51"/>
      <c r="L78" s="51">
        <f t="shared" si="1229"/>
        <v>0</v>
      </c>
      <c r="M78" s="54"/>
      <c r="N78" s="51">
        <f t="shared" si="1209"/>
        <v>1</v>
      </c>
      <c r="O78" s="51">
        <v>0</v>
      </c>
      <c r="P78" s="51">
        <f t="shared" si="1230"/>
        <v>0</v>
      </c>
      <c r="Q78" s="54"/>
      <c r="R78" s="51">
        <f t="shared" si="1210"/>
        <v>1</v>
      </c>
      <c r="S78" s="51">
        <v>0</v>
      </c>
      <c r="T78" s="51">
        <f t="shared" si="1336"/>
        <v>0</v>
      </c>
      <c r="U78" s="54"/>
      <c r="V78" s="51">
        <f t="shared" si="1211"/>
        <v>1</v>
      </c>
      <c r="W78" s="51">
        <v>0</v>
      </c>
      <c r="X78" s="51">
        <f t="shared" si="1337"/>
        <v>0</v>
      </c>
      <c r="Y78" s="54"/>
      <c r="Z78" s="51">
        <f t="shared" si="1212"/>
        <v>1</v>
      </c>
      <c r="AA78" s="51">
        <v>0</v>
      </c>
      <c r="AB78" s="51">
        <f t="shared" si="1338"/>
        <v>0</v>
      </c>
      <c r="AC78" s="54"/>
      <c r="AD78" s="51">
        <f t="shared" si="1339"/>
        <v>1</v>
      </c>
      <c r="AE78" s="51">
        <v>0</v>
      </c>
      <c r="AF78" s="51">
        <f t="shared" si="1340"/>
        <v>0</v>
      </c>
      <c r="AG78" s="54"/>
      <c r="AH78" s="51">
        <f t="shared" si="1232"/>
        <v>1</v>
      </c>
      <c r="AI78" s="51"/>
      <c r="AJ78" s="51">
        <f t="shared" si="1341"/>
        <v>0</v>
      </c>
      <c r="AK78" s="54"/>
      <c r="AL78" s="51">
        <f t="shared" si="1233"/>
        <v>1</v>
      </c>
      <c r="AM78" s="51"/>
      <c r="AN78" s="51">
        <f t="shared" si="1342"/>
        <v>0</v>
      </c>
      <c r="AO78" s="54"/>
      <c r="AP78" s="51">
        <f t="shared" si="1234"/>
        <v>1</v>
      </c>
      <c r="AQ78" s="51"/>
      <c r="AR78" s="51">
        <f t="shared" si="1343"/>
        <v>0</v>
      </c>
      <c r="AS78" s="54"/>
      <c r="AT78" s="51">
        <f t="shared" si="1235"/>
        <v>1</v>
      </c>
      <c r="AU78" s="51"/>
      <c r="AV78" s="51">
        <f t="shared" si="1344"/>
        <v>0</v>
      </c>
      <c r="AW78" s="54"/>
      <c r="AX78" s="51">
        <f t="shared" si="1236"/>
        <v>1</v>
      </c>
      <c r="AY78" s="51"/>
      <c r="AZ78" s="51">
        <f t="shared" si="1345"/>
        <v>0</v>
      </c>
      <c r="BA78" s="54"/>
      <c r="BB78" s="51">
        <f t="shared" si="1213"/>
        <v>1</v>
      </c>
      <c r="BC78" s="51"/>
      <c r="BD78" s="51">
        <f t="shared" si="1346"/>
        <v>0</v>
      </c>
      <c r="BE78" s="54"/>
      <c r="BF78" s="51">
        <f t="shared" si="1237"/>
        <v>1</v>
      </c>
      <c r="BG78" s="51"/>
      <c r="BH78" s="51">
        <f t="shared" si="1347"/>
        <v>0</v>
      </c>
      <c r="BI78" s="54"/>
      <c r="BJ78" s="51">
        <f t="shared" si="1238"/>
        <v>1</v>
      </c>
      <c r="BK78" s="51">
        <f t="shared" si="1239"/>
        <v>0</v>
      </c>
      <c r="BL78" s="51">
        <f t="shared" si="1348"/>
        <v>0</v>
      </c>
      <c r="BM78" s="54"/>
      <c r="BN78" s="51">
        <f t="shared" si="1240"/>
        <v>1</v>
      </c>
      <c r="BO78" s="51">
        <f t="shared" si="1241"/>
        <v>0</v>
      </c>
      <c r="BP78" s="51">
        <f t="shared" si="1349"/>
        <v>0</v>
      </c>
      <c r="BQ78" s="54"/>
      <c r="BR78" s="51">
        <f t="shared" si="1242"/>
        <v>1</v>
      </c>
      <c r="BS78" s="51">
        <f t="shared" si="1243"/>
        <v>0</v>
      </c>
      <c r="BT78" s="51">
        <f t="shared" si="1350"/>
        <v>0</v>
      </c>
      <c r="BU78" s="54"/>
      <c r="BV78" s="51">
        <f t="shared" si="1244"/>
        <v>1</v>
      </c>
      <c r="BW78" s="51">
        <f t="shared" si="1245"/>
        <v>0</v>
      </c>
      <c r="BX78" s="51">
        <f t="shared" si="1351"/>
        <v>0</v>
      </c>
      <c r="BY78" s="54"/>
      <c r="BZ78" s="51">
        <f t="shared" si="1246"/>
        <v>1</v>
      </c>
      <c r="CA78" s="51">
        <f t="shared" si="1247"/>
        <v>0</v>
      </c>
      <c r="CB78" s="51">
        <f t="shared" si="1352"/>
        <v>0</v>
      </c>
      <c r="CC78" s="54"/>
      <c r="CD78" s="51">
        <f t="shared" si="1248"/>
        <v>1</v>
      </c>
      <c r="CE78" s="51">
        <f t="shared" si="1249"/>
        <v>0</v>
      </c>
      <c r="CF78" s="51">
        <f t="shared" si="1353"/>
        <v>0</v>
      </c>
      <c r="CG78" s="54"/>
      <c r="CH78" s="51">
        <f t="shared" si="1250"/>
        <v>1</v>
      </c>
      <c r="CI78" s="51">
        <f t="shared" si="1251"/>
        <v>0</v>
      </c>
      <c r="CJ78" s="51">
        <f t="shared" si="1354"/>
        <v>0</v>
      </c>
      <c r="CK78" s="54"/>
      <c r="CL78" s="51">
        <f t="shared" si="1252"/>
        <v>1</v>
      </c>
      <c r="CM78" s="51">
        <f t="shared" si="1253"/>
        <v>0</v>
      </c>
      <c r="CN78" s="51">
        <f t="shared" si="1355"/>
        <v>0</v>
      </c>
      <c r="CO78" s="54"/>
      <c r="CP78" s="51">
        <f t="shared" si="1254"/>
        <v>1</v>
      </c>
      <c r="CQ78" s="51">
        <f t="shared" si="1255"/>
        <v>0</v>
      </c>
      <c r="CR78" s="51">
        <f t="shared" si="1356"/>
        <v>0</v>
      </c>
      <c r="CS78" s="54"/>
      <c r="CT78" s="51">
        <f t="shared" si="1256"/>
        <v>1</v>
      </c>
      <c r="CU78" s="51">
        <f t="shared" si="1257"/>
        <v>0</v>
      </c>
      <c r="CV78" s="51">
        <f t="shared" si="1357"/>
        <v>0</v>
      </c>
      <c r="CW78" s="54"/>
      <c r="CX78" s="51">
        <f t="shared" si="1214"/>
        <v>1</v>
      </c>
      <c r="CY78" s="51">
        <f t="shared" si="1215"/>
        <v>0</v>
      </c>
      <c r="CZ78" s="51">
        <f t="shared" si="1358"/>
        <v>0</v>
      </c>
      <c r="DA78" s="54"/>
      <c r="DB78" s="51">
        <f t="shared" si="1258"/>
        <v>1</v>
      </c>
      <c r="DC78" s="51">
        <f t="shared" si="1259"/>
        <v>0</v>
      </c>
      <c r="DD78" s="51">
        <f t="shared" si="1359"/>
        <v>0</v>
      </c>
      <c r="DE78" s="54"/>
      <c r="DF78" s="51">
        <f t="shared" si="1260"/>
        <v>1</v>
      </c>
      <c r="DG78" s="51">
        <f t="shared" si="1261"/>
        <v>0</v>
      </c>
      <c r="DH78" s="51">
        <f t="shared" si="1360"/>
        <v>0</v>
      </c>
      <c r="DI78" s="54"/>
      <c r="DJ78" s="51">
        <f t="shared" si="1262"/>
        <v>1</v>
      </c>
      <c r="DK78" s="51">
        <f t="shared" si="1263"/>
        <v>0</v>
      </c>
      <c r="DL78" s="51">
        <f t="shared" si="1361"/>
        <v>0</v>
      </c>
      <c r="DM78" s="54"/>
      <c r="DN78" s="51">
        <f t="shared" si="1264"/>
        <v>1</v>
      </c>
      <c r="DO78" s="51">
        <f t="shared" si="1265"/>
        <v>0</v>
      </c>
      <c r="DP78" s="51">
        <f t="shared" si="1362"/>
        <v>0</v>
      </c>
      <c r="DQ78" s="54"/>
      <c r="DR78" s="51">
        <f t="shared" si="1266"/>
        <v>1</v>
      </c>
      <c r="DS78" s="51">
        <f t="shared" si="1267"/>
        <v>0</v>
      </c>
      <c r="DT78" s="51">
        <f t="shared" si="1363"/>
        <v>0</v>
      </c>
      <c r="DU78" s="54"/>
      <c r="DV78" s="51">
        <f t="shared" si="1268"/>
        <v>1</v>
      </c>
      <c r="DW78" s="51">
        <f t="shared" si="1269"/>
        <v>0</v>
      </c>
      <c r="DX78" s="51">
        <f t="shared" si="1364"/>
        <v>0</v>
      </c>
      <c r="DY78" s="54"/>
      <c r="DZ78" s="51">
        <f t="shared" si="1270"/>
        <v>1</v>
      </c>
      <c r="EA78" s="51">
        <f t="shared" si="1271"/>
        <v>0</v>
      </c>
      <c r="EB78" s="51">
        <f t="shared" si="1365"/>
        <v>0</v>
      </c>
      <c r="EC78" s="54"/>
      <c r="ED78" s="51">
        <f t="shared" si="1272"/>
        <v>1</v>
      </c>
      <c r="EE78" s="51">
        <f t="shared" si="1273"/>
        <v>0</v>
      </c>
      <c r="EF78" s="51">
        <f t="shared" si="1366"/>
        <v>0</v>
      </c>
      <c r="EG78" s="54"/>
      <c r="EH78" s="51">
        <f t="shared" si="1274"/>
        <v>1</v>
      </c>
      <c r="EI78" s="51">
        <f t="shared" si="1275"/>
        <v>0</v>
      </c>
      <c r="EJ78" s="51">
        <f t="shared" si="1367"/>
        <v>0</v>
      </c>
      <c r="EK78" s="54"/>
      <c r="EL78" s="51">
        <f t="shared" si="1276"/>
        <v>1</v>
      </c>
      <c r="EM78" s="51">
        <f t="shared" si="1277"/>
        <v>0</v>
      </c>
      <c r="EN78" s="51">
        <f t="shared" si="1368"/>
        <v>0</v>
      </c>
      <c r="EO78" s="54"/>
      <c r="EP78" s="51">
        <f t="shared" si="1278"/>
        <v>1</v>
      </c>
      <c r="EQ78" s="51">
        <f t="shared" si="1279"/>
        <v>0</v>
      </c>
      <c r="ER78" s="51">
        <f t="shared" si="1369"/>
        <v>0</v>
      </c>
      <c r="ES78" s="54"/>
      <c r="ET78" s="51">
        <f t="shared" si="1216"/>
        <v>1</v>
      </c>
      <c r="EU78" s="51">
        <f t="shared" si="1217"/>
        <v>0</v>
      </c>
      <c r="EV78" s="51">
        <f t="shared" si="1370"/>
        <v>0</v>
      </c>
      <c r="EW78" s="54"/>
      <c r="EX78" s="51">
        <f t="shared" si="1280"/>
        <v>1</v>
      </c>
      <c r="EY78" s="51">
        <f t="shared" si="1281"/>
        <v>0</v>
      </c>
      <c r="EZ78" s="51">
        <f t="shared" si="1371"/>
        <v>0</v>
      </c>
      <c r="FA78" s="54"/>
      <c r="FB78" s="51">
        <f t="shared" si="1282"/>
        <v>1</v>
      </c>
      <c r="FC78" s="51">
        <f t="shared" si="1283"/>
        <v>0</v>
      </c>
      <c r="FD78" s="51">
        <f t="shared" si="1372"/>
        <v>0</v>
      </c>
      <c r="FE78" s="54"/>
      <c r="FF78" s="51">
        <f t="shared" si="1284"/>
        <v>1</v>
      </c>
      <c r="FG78" s="51">
        <f t="shared" si="1285"/>
        <v>0</v>
      </c>
      <c r="FH78" s="51">
        <f t="shared" si="1373"/>
        <v>0</v>
      </c>
      <c r="FI78" s="54"/>
      <c r="FJ78" s="51">
        <f t="shared" si="1286"/>
        <v>1</v>
      </c>
      <c r="FK78" s="51">
        <f t="shared" si="1287"/>
        <v>0</v>
      </c>
      <c r="FL78" s="51">
        <f t="shared" si="1374"/>
        <v>0</v>
      </c>
      <c r="FM78" s="54"/>
      <c r="FN78" s="51">
        <f t="shared" si="1288"/>
        <v>1</v>
      </c>
      <c r="FO78" s="51">
        <f t="shared" si="1289"/>
        <v>0</v>
      </c>
      <c r="FP78" s="51">
        <f t="shared" si="1375"/>
        <v>0</v>
      </c>
      <c r="FQ78" s="54"/>
      <c r="FR78" s="51">
        <f t="shared" si="1290"/>
        <v>1</v>
      </c>
      <c r="FS78" s="51">
        <f t="shared" si="1291"/>
        <v>0</v>
      </c>
      <c r="FT78" s="51">
        <f t="shared" si="1376"/>
        <v>0</v>
      </c>
      <c r="FU78" s="54"/>
      <c r="FV78" s="51">
        <f t="shared" si="1292"/>
        <v>1</v>
      </c>
      <c r="FW78" s="51">
        <f t="shared" si="1293"/>
        <v>0</v>
      </c>
      <c r="FX78" s="51">
        <f t="shared" si="1377"/>
        <v>0</v>
      </c>
      <c r="FY78" s="54"/>
      <c r="FZ78" s="51">
        <f t="shared" si="1294"/>
        <v>1</v>
      </c>
      <c r="GA78" s="51">
        <f t="shared" si="1295"/>
        <v>0</v>
      </c>
      <c r="GB78" s="51">
        <f t="shared" si="1378"/>
        <v>0</v>
      </c>
      <c r="GC78" s="54"/>
      <c r="GD78" s="51">
        <f t="shared" si="1296"/>
        <v>1</v>
      </c>
      <c r="GE78" s="51">
        <f t="shared" si="1297"/>
        <v>0</v>
      </c>
      <c r="GF78" s="51">
        <f t="shared" si="1379"/>
        <v>0</v>
      </c>
      <c r="GG78" s="54"/>
      <c r="GH78" s="51">
        <f t="shared" si="1298"/>
        <v>1</v>
      </c>
      <c r="GI78" s="51">
        <f t="shared" si="1299"/>
        <v>0</v>
      </c>
      <c r="GJ78" s="51">
        <f t="shared" si="1380"/>
        <v>0</v>
      </c>
      <c r="GK78" s="54"/>
      <c r="GL78" s="51">
        <f t="shared" si="1300"/>
        <v>1</v>
      </c>
      <c r="GM78" s="51">
        <f t="shared" si="1301"/>
        <v>0</v>
      </c>
      <c r="GN78" s="51">
        <f t="shared" si="1381"/>
        <v>0</v>
      </c>
      <c r="GP78" s="51">
        <f t="shared" si="1218"/>
        <v>1</v>
      </c>
      <c r="GQ78" s="51">
        <f t="shared" si="1219"/>
        <v>0</v>
      </c>
      <c r="GR78" s="51">
        <f t="shared" si="1382"/>
        <v>0</v>
      </c>
      <c r="GS78" s="54"/>
      <c r="GT78" s="51">
        <f t="shared" si="1302"/>
        <v>1</v>
      </c>
      <c r="GU78" s="51">
        <f t="shared" si="1303"/>
        <v>0</v>
      </c>
      <c r="GV78" s="51">
        <f t="shared" si="1383"/>
        <v>0</v>
      </c>
      <c r="GW78" s="54"/>
      <c r="GX78" s="51">
        <f t="shared" si="1304"/>
        <v>1</v>
      </c>
      <c r="GY78" s="51">
        <f t="shared" si="1305"/>
        <v>0</v>
      </c>
      <c r="GZ78" s="51">
        <f t="shared" si="1384"/>
        <v>0</v>
      </c>
      <c r="HA78" s="54"/>
      <c r="HB78" s="51">
        <f t="shared" si="1306"/>
        <v>1</v>
      </c>
      <c r="HC78" s="51">
        <f t="shared" si="1307"/>
        <v>0</v>
      </c>
      <c r="HD78" s="51">
        <f t="shared" si="1385"/>
        <v>0</v>
      </c>
      <c r="HE78" s="54"/>
      <c r="HF78" s="51">
        <f t="shared" si="1308"/>
        <v>1</v>
      </c>
      <c r="HG78" s="51">
        <f t="shared" si="1309"/>
        <v>0</v>
      </c>
      <c r="HH78" s="51">
        <f t="shared" si="1386"/>
        <v>0</v>
      </c>
      <c r="HI78" s="54"/>
      <c r="HJ78" s="51">
        <f t="shared" si="1310"/>
        <v>1</v>
      </c>
      <c r="HK78" s="51">
        <f t="shared" si="1311"/>
        <v>0</v>
      </c>
      <c r="HL78" s="51">
        <f t="shared" si="1387"/>
        <v>0</v>
      </c>
      <c r="HM78" s="54"/>
      <c r="HN78" s="51">
        <f t="shared" si="1312"/>
        <v>1</v>
      </c>
      <c r="HO78" s="51">
        <f t="shared" si="1313"/>
        <v>0</v>
      </c>
      <c r="HP78" s="51">
        <f t="shared" si="1388"/>
        <v>0</v>
      </c>
      <c r="HQ78" s="54"/>
      <c r="HR78" s="51">
        <f t="shared" si="1314"/>
        <v>1</v>
      </c>
      <c r="HS78" s="51">
        <f t="shared" si="1315"/>
        <v>0</v>
      </c>
      <c r="HT78" s="51">
        <f t="shared" si="1389"/>
        <v>0</v>
      </c>
      <c r="HU78" s="54"/>
      <c r="HV78" s="51">
        <f t="shared" si="1316"/>
        <v>1</v>
      </c>
      <c r="HW78" s="51">
        <f t="shared" si="1317"/>
        <v>0</v>
      </c>
      <c r="HX78" s="51">
        <f t="shared" si="1390"/>
        <v>0</v>
      </c>
      <c r="HY78" s="54"/>
      <c r="HZ78" s="51">
        <f t="shared" si="1318"/>
        <v>1</v>
      </c>
      <c r="IA78" s="51">
        <f t="shared" si="1319"/>
        <v>0</v>
      </c>
      <c r="IB78" s="51">
        <f t="shared" si="1391"/>
        <v>0</v>
      </c>
      <c r="IC78" s="54"/>
      <c r="ID78" s="51">
        <f t="shared" si="1320"/>
        <v>1</v>
      </c>
      <c r="IE78" s="51">
        <f t="shared" si="1321"/>
        <v>0</v>
      </c>
      <c r="IF78" s="51">
        <f t="shared" si="1392"/>
        <v>0</v>
      </c>
      <c r="IG78" s="54"/>
      <c r="IH78" s="51">
        <f t="shared" si="1322"/>
        <v>1</v>
      </c>
      <c r="II78" s="51">
        <f t="shared" si="1323"/>
        <v>0</v>
      </c>
      <c r="IJ78" s="51">
        <f t="shared" si="1393"/>
        <v>0</v>
      </c>
      <c r="IL78" s="51">
        <f t="shared" si="1220"/>
        <v>1</v>
      </c>
      <c r="IM78" s="51">
        <f t="shared" si="1221"/>
        <v>0</v>
      </c>
      <c r="IN78" s="51">
        <f t="shared" si="1394"/>
        <v>0</v>
      </c>
      <c r="IO78" s="54"/>
      <c r="IP78" s="51">
        <f t="shared" si="1324"/>
        <v>1</v>
      </c>
      <c r="IQ78" s="51">
        <f t="shared" si="1325"/>
        <v>0</v>
      </c>
      <c r="IR78" s="51">
        <f t="shared" si="1395"/>
        <v>0</v>
      </c>
      <c r="IS78" s="54"/>
      <c r="IT78" s="51">
        <f t="shared" si="1326"/>
        <v>1</v>
      </c>
      <c r="IU78" s="51">
        <f t="shared" si="1327"/>
        <v>0</v>
      </c>
      <c r="IV78" s="51">
        <f t="shared" si="1396"/>
        <v>0</v>
      </c>
      <c r="IW78" s="54"/>
      <c r="IX78" s="51">
        <f t="shared" si="1328"/>
        <v>1</v>
      </c>
      <c r="IY78" s="51">
        <f t="shared" si="1329"/>
        <v>0</v>
      </c>
      <c r="IZ78" s="51">
        <f t="shared" si="1397"/>
        <v>0</v>
      </c>
      <c r="JA78" s="54"/>
      <c r="JB78" s="51" t="e">
        <f t="shared" si="1330"/>
        <v>#REF!</v>
      </c>
      <c r="JC78" s="51">
        <f t="shared" si="1331"/>
        <v>0</v>
      </c>
      <c r="JD78" s="51">
        <f t="shared" si="1398"/>
        <v>0</v>
      </c>
      <c r="JE78" s="54"/>
      <c r="JF78" s="51" t="e">
        <f t="shared" si="1332"/>
        <v>#REF!</v>
      </c>
      <c r="JG78" s="51">
        <f t="shared" si="1333"/>
        <v>0</v>
      </c>
      <c r="JH78" s="51">
        <f t="shared" si="1399"/>
        <v>0</v>
      </c>
      <c r="JI78" s="54"/>
      <c r="JJ78" s="51" t="e">
        <f t="shared" si="1334"/>
        <v>#REF!</v>
      </c>
      <c r="JK78" s="51">
        <f t="shared" si="1335"/>
        <v>0</v>
      </c>
      <c r="JL78" s="51">
        <f t="shared" si="1400"/>
        <v>0</v>
      </c>
      <c r="JM78" s="54"/>
      <c r="JO78" s="80"/>
      <c r="JP78" s="80"/>
      <c r="JQ78" s="80">
        <f t="shared" si="1222"/>
        <v>0</v>
      </c>
      <c r="JS78" s="80"/>
      <c r="JT78" s="80"/>
      <c r="JU78" s="80">
        <f t="shared" si="1223"/>
        <v>0</v>
      </c>
      <c r="JW78" s="80"/>
      <c r="JX78" s="80"/>
      <c r="JY78" s="80">
        <f t="shared" si="1224"/>
        <v>0</v>
      </c>
      <c r="KA78" s="80"/>
      <c r="KB78" s="80"/>
      <c r="KC78" s="80">
        <f t="shared" si="1225"/>
        <v>0</v>
      </c>
      <c r="KE78" s="80"/>
      <c r="KF78" s="80"/>
      <c r="KG78" s="80">
        <f t="shared" si="1226"/>
        <v>0</v>
      </c>
      <c r="KI78" s="80"/>
      <c r="KJ78" s="80"/>
      <c r="KK78" s="80">
        <f t="shared" si="1227"/>
        <v>0</v>
      </c>
      <c r="KM78" s="80"/>
      <c r="KN78" s="80"/>
      <c r="KO78" s="80">
        <f t="shared" si="1228"/>
        <v>0</v>
      </c>
    </row>
    <row r="79" ht="18.75" customHeight="1" spans="2:301" x14ac:dyDescent="0.25">
      <c r="B79" s="5" t="str">
        <f>A.IIOPEX!C79</f>
        <v>6k</v>
      </c>
      <c r="C79" s="27"/>
      <c r="D79" s="29">
        <f>A.IIOPEX!E79</f>
        <v>0</v>
      </c>
      <c r="E79" s="30"/>
      <c r="F79" s="51">
        <v>1</v>
      </c>
      <c r="G79" s="51"/>
      <c r="H79" s="51">
        <f>A.IIOPEX!I79</f>
        <v>0</v>
      </c>
      <c r="I79" s="54"/>
      <c r="J79" s="51">
        <f t="shared" si="1208"/>
        <v>1</v>
      </c>
      <c r="K79" s="51"/>
      <c r="L79" s="51">
        <f t="shared" si="1229"/>
        <v>0</v>
      </c>
      <c r="M79" s="54"/>
      <c r="N79" s="51">
        <f t="shared" si="1209"/>
        <v>1</v>
      </c>
      <c r="O79" s="51">
        <v>0</v>
      </c>
      <c r="P79" s="51">
        <f t="shared" si="1230"/>
        <v>0</v>
      </c>
      <c r="Q79" s="54"/>
      <c r="R79" s="51">
        <f t="shared" si="1210"/>
        <v>1</v>
      </c>
      <c r="S79" s="51">
        <v>0</v>
      </c>
      <c r="T79" s="51">
        <f t="shared" si="1336"/>
        <v>0</v>
      </c>
      <c r="U79" s="54"/>
      <c r="V79" s="51">
        <f t="shared" si="1211"/>
        <v>1</v>
      </c>
      <c r="W79" s="51">
        <v>0</v>
      </c>
      <c r="X79" s="51">
        <f t="shared" si="1337"/>
        <v>0</v>
      </c>
      <c r="Y79" s="54"/>
      <c r="Z79" s="51">
        <f t="shared" si="1212"/>
        <v>1</v>
      </c>
      <c r="AA79" s="51">
        <v>0</v>
      </c>
      <c r="AB79" s="51">
        <f t="shared" si="1338"/>
        <v>0</v>
      </c>
      <c r="AC79" s="54"/>
      <c r="AD79" s="51">
        <f t="shared" si="1339"/>
        <v>1</v>
      </c>
      <c r="AE79" s="51">
        <v>0</v>
      </c>
      <c r="AF79" s="51">
        <f t="shared" si="1340"/>
        <v>0</v>
      </c>
      <c r="AG79" s="54"/>
      <c r="AH79" s="51">
        <f t="shared" si="1232"/>
        <v>1</v>
      </c>
      <c r="AI79" s="51"/>
      <c r="AJ79" s="51">
        <f t="shared" si="1341"/>
        <v>0</v>
      </c>
      <c r="AK79" s="54"/>
      <c r="AL79" s="51">
        <f t="shared" si="1233"/>
        <v>1</v>
      </c>
      <c r="AM79" s="51"/>
      <c r="AN79" s="51">
        <f t="shared" si="1342"/>
        <v>0</v>
      </c>
      <c r="AO79" s="54"/>
      <c r="AP79" s="51">
        <f t="shared" si="1234"/>
        <v>1</v>
      </c>
      <c r="AQ79" s="51"/>
      <c r="AR79" s="51">
        <f t="shared" si="1343"/>
        <v>0</v>
      </c>
      <c r="AS79" s="54"/>
      <c r="AT79" s="51">
        <f t="shared" si="1235"/>
        <v>1</v>
      </c>
      <c r="AU79" s="51"/>
      <c r="AV79" s="51">
        <f t="shared" si="1344"/>
        <v>0</v>
      </c>
      <c r="AW79" s="54"/>
      <c r="AX79" s="51">
        <f t="shared" si="1236"/>
        <v>1</v>
      </c>
      <c r="AY79" s="51"/>
      <c r="AZ79" s="51">
        <f t="shared" si="1345"/>
        <v>0</v>
      </c>
      <c r="BA79" s="54"/>
      <c r="BB79" s="51">
        <f t="shared" si="1213"/>
        <v>1</v>
      </c>
      <c r="BC79" s="51"/>
      <c r="BD79" s="51">
        <f t="shared" si="1346"/>
        <v>0</v>
      </c>
      <c r="BE79" s="54"/>
      <c r="BF79" s="51">
        <f t="shared" si="1237"/>
        <v>1</v>
      </c>
      <c r="BG79" s="51"/>
      <c r="BH79" s="51">
        <f t="shared" si="1347"/>
        <v>0</v>
      </c>
      <c r="BI79" s="54"/>
      <c r="BJ79" s="51">
        <f t="shared" si="1238"/>
        <v>1</v>
      </c>
      <c r="BK79" s="51">
        <f t="shared" si="1239"/>
        <v>0</v>
      </c>
      <c r="BL79" s="51">
        <f t="shared" si="1348"/>
        <v>0</v>
      </c>
      <c r="BM79" s="54"/>
      <c r="BN79" s="51">
        <f t="shared" si="1240"/>
        <v>1</v>
      </c>
      <c r="BO79" s="51">
        <f t="shared" si="1241"/>
        <v>0</v>
      </c>
      <c r="BP79" s="51">
        <f t="shared" si="1349"/>
        <v>0</v>
      </c>
      <c r="BQ79" s="54"/>
      <c r="BR79" s="51">
        <f t="shared" si="1242"/>
        <v>1</v>
      </c>
      <c r="BS79" s="51">
        <f t="shared" si="1243"/>
        <v>0</v>
      </c>
      <c r="BT79" s="51">
        <f t="shared" si="1350"/>
        <v>0</v>
      </c>
      <c r="BU79" s="54"/>
      <c r="BV79" s="51">
        <f t="shared" si="1244"/>
        <v>1</v>
      </c>
      <c r="BW79" s="51">
        <f t="shared" si="1245"/>
        <v>0</v>
      </c>
      <c r="BX79" s="51">
        <f t="shared" si="1351"/>
        <v>0</v>
      </c>
      <c r="BY79" s="54"/>
      <c r="BZ79" s="51">
        <f t="shared" si="1246"/>
        <v>1</v>
      </c>
      <c r="CA79" s="51">
        <f t="shared" si="1247"/>
        <v>0</v>
      </c>
      <c r="CB79" s="51">
        <f t="shared" si="1352"/>
        <v>0</v>
      </c>
      <c r="CC79" s="54"/>
      <c r="CD79" s="51">
        <f t="shared" si="1248"/>
        <v>1</v>
      </c>
      <c r="CE79" s="51">
        <f t="shared" si="1249"/>
        <v>0</v>
      </c>
      <c r="CF79" s="51">
        <f t="shared" si="1353"/>
        <v>0</v>
      </c>
      <c r="CG79" s="54"/>
      <c r="CH79" s="51">
        <f t="shared" si="1250"/>
        <v>1</v>
      </c>
      <c r="CI79" s="51">
        <f t="shared" si="1251"/>
        <v>0</v>
      </c>
      <c r="CJ79" s="51">
        <f t="shared" si="1354"/>
        <v>0</v>
      </c>
      <c r="CK79" s="54"/>
      <c r="CL79" s="51">
        <f t="shared" si="1252"/>
        <v>1</v>
      </c>
      <c r="CM79" s="51">
        <f t="shared" si="1253"/>
        <v>0</v>
      </c>
      <c r="CN79" s="51">
        <f t="shared" si="1355"/>
        <v>0</v>
      </c>
      <c r="CO79" s="54"/>
      <c r="CP79" s="51">
        <f t="shared" si="1254"/>
        <v>1</v>
      </c>
      <c r="CQ79" s="51">
        <f t="shared" si="1255"/>
        <v>0</v>
      </c>
      <c r="CR79" s="51">
        <f t="shared" si="1356"/>
        <v>0</v>
      </c>
      <c r="CS79" s="54"/>
      <c r="CT79" s="51">
        <f t="shared" si="1256"/>
        <v>1</v>
      </c>
      <c r="CU79" s="51">
        <f t="shared" si="1257"/>
        <v>0</v>
      </c>
      <c r="CV79" s="51">
        <f t="shared" si="1357"/>
        <v>0</v>
      </c>
      <c r="CW79" s="54"/>
      <c r="CX79" s="51">
        <f t="shared" si="1214"/>
        <v>1</v>
      </c>
      <c r="CY79" s="51">
        <f t="shared" si="1215"/>
        <v>0</v>
      </c>
      <c r="CZ79" s="51">
        <f t="shared" si="1358"/>
        <v>0</v>
      </c>
      <c r="DA79" s="54"/>
      <c r="DB79" s="51">
        <f t="shared" si="1258"/>
        <v>1</v>
      </c>
      <c r="DC79" s="51">
        <f t="shared" si="1259"/>
        <v>0</v>
      </c>
      <c r="DD79" s="51">
        <f t="shared" si="1359"/>
        <v>0</v>
      </c>
      <c r="DE79" s="54"/>
      <c r="DF79" s="51">
        <f t="shared" si="1260"/>
        <v>1</v>
      </c>
      <c r="DG79" s="51">
        <f t="shared" si="1261"/>
        <v>0</v>
      </c>
      <c r="DH79" s="51">
        <f t="shared" si="1360"/>
        <v>0</v>
      </c>
      <c r="DI79" s="54"/>
      <c r="DJ79" s="51">
        <f t="shared" si="1262"/>
        <v>1</v>
      </c>
      <c r="DK79" s="51">
        <f t="shared" si="1263"/>
        <v>0</v>
      </c>
      <c r="DL79" s="51">
        <f t="shared" si="1361"/>
        <v>0</v>
      </c>
      <c r="DM79" s="54"/>
      <c r="DN79" s="51">
        <f t="shared" si="1264"/>
        <v>1</v>
      </c>
      <c r="DO79" s="51">
        <f t="shared" si="1265"/>
        <v>0</v>
      </c>
      <c r="DP79" s="51">
        <f t="shared" si="1362"/>
        <v>0</v>
      </c>
      <c r="DQ79" s="54"/>
      <c r="DR79" s="51">
        <f t="shared" si="1266"/>
        <v>1</v>
      </c>
      <c r="DS79" s="51">
        <f t="shared" si="1267"/>
        <v>0</v>
      </c>
      <c r="DT79" s="51">
        <f t="shared" si="1363"/>
        <v>0</v>
      </c>
      <c r="DU79" s="54"/>
      <c r="DV79" s="51">
        <f t="shared" si="1268"/>
        <v>1</v>
      </c>
      <c r="DW79" s="51">
        <f t="shared" si="1269"/>
        <v>0</v>
      </c>
      <c r="DX79" s="51">
        <f t="shared" si="1364"/>
        <v>0</v>
      </c>
      <c r="DY79" s="54"/>
      <c r="DZ79" s="51">
        <f t="shared" si="1270"/>
        <v>1</v>
      </c>
      <c r="EA79" s="51">
        <f t="shared" si="1271"/>
        <v>0</v>
      </c>
      <c r="EB79" s="51">
        <f t="shared" si="1365"/>
        <v>0</v>
      </c>
      <c r="EC79" s="54"/>
      <c r="ED79" s="51">
        <f t="shared" si="1272"/>
        <v>1</v>
      </c>
      <c r="EE79" s="51">
        <f t="shared" si="1273"/>
        <v>0</v>
      </c>
      <c r="EF79" s="51">
        <f t="shared" si="1366"/>
        <v>0</v>
      </c>
      <c r="EG79" s="54"/>
      <c r="EH79" s="51">
        <f t="shared" si="1274"/>
        <v>1</v>
      </c>
      <c r="EI79" s="51">
        <f t="shared" si="1275"/>
        <v>0</v>
      </c>
      <c r="EJ79" s="51">
        <f t="shared" si="1367"/>
        <v>0</v>
      </c>
      <c r="EK79" s="54"/>
      <c r="EL79" s="51">
        <f t="shared" si="1276"/>
        <v>1</v>
      </c>
      <c r="EM79" s="51">
        <f t="shared" si="1277"/>
        <v>0</v>
      </c>
      <c r="EN79" s="51">
        <f t="shared" si="1368"/>
        <v>0</v>
      </c>
      <c r="EO79" s="54"/>
      <c r="EP79" s="51">
        <f t="shared" si="1278"/>
        <v>1</v>
      </c>
      <c r="EQ79" s="51">
        <f t="shared" si="1279"/>
        <v>0</v>
      </c>
      <c r="ER79" s="51">
        <f t="shared" si="1369"/>
        <v>0</v>
      </c>
      <c r="ES79" s="54"/>
      <c r="ET79" s="51">
        <f t="shared" si="1216"/>
        <v>1</v>
      </c>
      <c r="EU79" s="51">
        <f t="shared" si="1217"/>
        <v>0</v>
      </c>
      <c r="EV79" s="51">
        <f t="shared" si="1370"/>
        <v>0</v>
      </c>
      <c r="EW79" s="54"/>
      <c r="EX79" s="51">
        <f t="shared" si="1280"/>
        <v>1</v>
      </c>
      <c r="EY79" s="51">
        <f t="shared" si="1281"/>
        <v>0</v>
      </c>
      <c r="EZ79" s="51">
        <f t="shared" si="1371"/>
        <v>0</v>
      </c>
      <c r="FA79" s="54"/>
      <c r="FB79" s="51">
        <f t="shared" si="1282"/>
        <v>1</v>
      </c>
      <c r="FC79" s="51">
        <f t="shared" si="1283"/>
        <v>0</v>
      </c>
      <c r="FD79" s="51">
        <f t="shared" si="1372"/>
        <v>0</v>
      </c>
      <c r="FE79" s="54"/>
      <c r="FF79" s="51">
        <f t="shared" si="1284"/>
        <v>1</v>
      </c>
      <c r="FG79" s="51">
        <f t="shared" si="1285"/>
        <v>0</v>
      </c>
      <c r="FH79" s="51">
        <f t="shared" si="1373"/>
        <v>0</v>
      </c>
      <c r="FI79" s="54"/>
      <c r="FJ79" s="51">
        <f t="shared" si="1286"/>
        <v>1</v>
      </c>
      <c r="FK79" s="51">
        <f t="shared" si="1287"/>
        <v>0</v>
      </c>
      <c r="FL79" s="51">
        <f t="shared" si="1374"/>
        <v>0</v>
      </c>
      <c r="FM79" s="54"/>
      <c r="FN79" s="51">
        <f t="shared" si="1288"/>
        <v>1</v>
      </c>
      <c r="FO79" s="51">
        <f t="shared" si="1289"/>
        <v>0</v>
      </c>
      <c r="FP79" s="51">
        <f t="shared" si="1375"/>
        <v>0</v>
      </c>
      <c r="FQ79" s="54"/>
      <c r="FR79" s="51">
        <f t="shared" si="1290"/>
        <v>1</v>
      </c>
      <c r="FS79" s="51">
        <f t="shared" si="1291"/>
        <v>0</v>
      </c>
      <c r="FT79" s="51">
        <f t="shared" si="1376"/>
        <v>0</v>
      </c>
      <c r="FU79" s="54"/>
      <c r="FV79" s="51">
        <f t="shared" si="1292"/>
        <v>1</v>
      </c>
      <c r="FW79" s="51">
        <f t="shared" si="1293"/>
        <v>0</v>
      </c>
      <c r="FX79" s="51">
        <f t="shared" si="1377"/>
        <v>0</v>
      </c>
      <c r="FY79" s="54"/>
      <c r="FZ79" s="51">
        <f t="shared" si="1294"/>
        <v>1</v>
      </c>
      <c r="GA79" s="51">
        <f t="shared" si="1295"/>
        <v>0</v>
      </c>
      <c r="GB79" s="51">
        <f t="shared" si="1378"/>
        <v>0</v>
      </c>
      <c r="GC79" s="54"/>
      <c r="GD79" s="51">
        <f t="shared" si="1296"/>
        <v>1</v>
      </c>
      <c r="GE79" s="51">
        <f t="shared" si="1297"/>
        <v>0</v>
      </c>
      <c r="GF79" s="51">
        <f t="shared" si="1379"/>
        <v>0</v>
      </c>
      <c r="GG79" s="54"/>
      <c r="GH79" s="51">
        <f t="shared" si="1298"/>
        <v>1</v>
      </c>
      <c r="GI79" s="51">
        <f t="shared" si="1299"/>
        <v>0</v>
      </c>
      <c r="GJ79" s="51">
        <f t="shared" si="1380"/>
        <v>0</v>
      </c>
      <c r="GK79" s="54"/>
      <c r="GL79" s="51">
        <f t="shared" si="1300"/>
        <v>1</v>
      </c>
      <c r="GM79" s="51">
        <f t="shared" si="1301"/>
        <v>0</v>
      </c>
      <c r="GN79" s="51">
        <f t="shared" si="1381"/>
        <v>0</v>
      </c>
      <c r="GP79" s="51">
        <f t="shared" si="1218"/>
        <v>1</v>
      </c>
      <c r="GQ79" s="51">
        <f t="shared" si="1219"/>
        <v>0</v>
      </c>
      <c r="GR79" s="51">
        <f t="shared" si="1382"/>
        <v>0</v>
      </c>
      <c r="GS79" s="54"/>
      <c r="GT79" s="51">
        <f t="shared" si="1302"/>
        <v>1</v>
      </c>
      <c r="GU79" s="51">
        <f t="shared" si="1303"/>
        <v>0</v>
      </c>
      <c r="GV79" s="51">
        <f t="shared" si="1383"/>
        <v>0</v>
      </c>
      <c r="GW79" s="54"/>
      <c r="GX79" s="51">
        <f t="shared" si="1304"/>
        <v>1</v>
      </c>
      <c r="GY79" s="51">
        <f t="shared" si="1305"/>
        <v>0</v>
      </c>
      <c r="GZ79" s="51">
        <f t="shared" si="1384"/>
        <v>0</v>
      </c>
      <c r="HA79" s="54"/>
      <c r="HB79" s="51">
        <f t="shared" si="1306"/>
        <v>1</v>
      </c>
      <c r="HC79" s="51">
        <f t="shared" si="1307"/>
        <v>0</v>
      </c>
      <c r="HD79" s="51">
        <f t="shared" si="1385"/>
        <v>0</v>
      </c>
      <c r="HE79" s="54"/>
      <c r="HF79" s="51">
        <f t="shared" si="1308"/>
        <v>1</v>
      </c>
      <c r="HG79" s="51">
        <f t="shared" si="1309"/>
        <v>0</v>
      </c>
      <c r="HH79" s="51">
        <f t="shared" si="1386"/>
        <v>0</v>
      </c>
      <c r="HI79" s="54"/>
      <c r="HJ79" s="51">
        <f t="shared" si="1310"/>
        <v>1</v>
      </c>
      <c r="HK79" s="51">
        <f t="shared" si="1311"/>
        <v>0</v>
      </c>
      <c r="HL79" s="51">
        <f t="shared" si="1387"/>
        <v>0</v>
      </c>
      <c r="HM79" s="54"/>
      <c r="HN79" s="51">
        <f t="shared" si="1312"/>
        <v>1</v>
      </c>
      <c r="HO79" s="51">
        <f t="shared" si="1313"/>
        <v>0</v>
      </c>
      <c r="HP79" s="51">
        <f t="shared" si="1388"/>
        <v>0</v>
      </c>
      <c r="HQ79" s="54"/>
      <c r="HR79" s="51">
        <f t="shared" si="1314"/>
        <v>1</v>
      </c>
      <c r="HS79" s="51">
        <f t="shared" si="1315"/>
        <v>0</v>
      </c>
      <c r="HT79" s="51">
        <f t="shared" si="1389"/>
        <v>0</v>
      </c>
      <c r="HU79" s="54"/>
      <c r="HV79" s="51">
        <f t="shared" si="1316"/>
        <v>1</v>
      </c>
      <c r="HW79" s="51">
        <f t="shared" si="1317"/>
        <v>0</v>
      </c>
      <c r="HX79" s="51">
        <f t="shared" si="1390"/>
        <v>0</v>
      </c>
      <c r="HY79" s="54"/>
      <c r="HZ79" s="51">
        <f t="shared" si="1318"/>
        <v>1</v>
      </c>
      <c r="IA79" s="51">
        <f t="shared" si="1319"/>
        <v>0</v>
      </c>
      <c r="IB79" s="51">
        <f t="shared" si="1391"/>
        <v>0</v>
      </c>
      <c r="IC79" s="54"/>
      <c r="ID79" s="51">
        <f t="shared" si="1320"/>
        <v>1</v>
      </c>
      <c r="IE79" s="51">
        <f t="shared" si="1321"/>
        <v>0</v>
      </c>
      <c r="IF79" s="51">
        <f t="shared" si="1392"/>
        <v>0</v>
      </c>
      <c r="IG79" s="54"/>
      <c r="IH79" s="51">
        <f t="shared" si="1322"/>
        <v>1</v>
      </c>
      <c r="II79" s="51">
        <f t="shared" si="1323"/>
        <v>0</v>
      </c>
      <c r="IJ79" s="51">
        <f t="shared" si="1393"/>
        <v>0</v>
      </c>
      <c r="IL79" s="51">
        <f t="shared" si="1220"/>
        <v>1</v>
      </c>
      <c r="IM79" s="51">
        <f t="shared" si="1221"/>
        <v>0</v>
      </c>
      <c r="IN79" s="51">
        <f t="shared" si="1394"/>
        <v>0</v>
      </c>
      <c r="IO79" s="54"/>
      <c r="IP79" s="51">
        <f t="shared" si="1324"/>
        <v>1</v>
      </c>
      <c r="IQ79" s="51">
        <f t="shared" si="1325"/>
        <v>0</v>
      </c>
      <c r="IR79" s="51">
        <f t="shared" si="1395"/>
        <v>0</v>
      </c>
      <c r="IS79" s="54"/>
      <c r="IT79" s="51">
        <f t="shared" si="1326"/>
        <v>1</v>
      </c>
      <c r="IU79" s="51">
        <f t="shared" si="1327"/>
        <v>0</v>
      </c>
      <c r="IV79" s="51">
        <f t="shared" si="1396"/>
        <v>0</v>
      </c>
      <c r="IW79" s="54"/>
      <c r="IX79" s="51">
        <f t="shared" si="1328"/>
        <v>1</v>
      </c>
      <c r="IY79" s="51">
        <f t="shared" si="1329"/>
        <v>0</v>
      </c>
      <c r="IZ79" s="51">
        <f t="shared" si="1397"/>
        <v>0</v>
      </c>
      <c r="JA79" s="54"/>
      <c r="JB79" s="51" t="e">
        <f t="shared" si="1330"/>
        <v>#REF!</v>
      </c>
      <c r="JC79" s="51">
        <f t="shared" si="1331"/>
        <v>0</v>
      </c>
      <c r="JD79" s="51">
        <f t="shared" si="1398"/>
        <v>0</v>
      </c>
      <c r="JE79" s="54"/>
      <c r="JF79" s="51" t="e">
        <f t="shared" si="1332"/>
        <v>#REF!</v>
      </c>
      <c r="JG79" s="51">
        <f t="shared" si="1333"/>
        <v>0</v>
      </c>
      <c r="JH79" s="51">
        <f t="shared" si="1399"/>
        <v>0</v>
      </c>
      <c r="JI79" s="54"/>
      <c r="JJ79" s="51" t="e">
        <f t="shared" si="1334"/>
        <v>#REF!</v>
      </c>
      <c r="JK79" s="51">
        <f t="shared" si="1335"/>
        <v>0</v>
      </c>
      <c r="JL79" s="51">
        <f t="shared" si="1400"/>
        <v>0</v>
      </c>
      <c r="JM79" s="54"/>
      <c r="JO79" s="80"/>
      <c r="JP79" s="80"/>
      <c r="JQ79" s="80">
        <f t="shared" si="1222"/>
        <v>0</v>
      </c>
      <c r="JS79" s="80"/>
      <c r="JT79" s="80"/>
      <c r="JU79" s="80">
        <f t="shared" si="1223"/>
        <v>0</v>
      </c>
      <c r="JW79" s="80"/>
      <c r="JX79" s="80"/>
      <c r="JY79" s="80">
        <f t="shared" si="1224"/>
        <v>0</v>
      </c>
      <c r="KA79" s="80"/>
      <c r="KB79" s="80"/>
      <c r="KC79" s="80">
        <f t="shared" si="1225"/>
        <v>0</v>
      </c>
      <c r="KE79" s="80"/>
      <c r="KF79" s="80"/>
      <c r="KG79" s="80">
        <f t="shared" si="1226"/>
        <v>0</v>
      </c>
      <c r="KI79" s="80"/>
      <c r="KJ79" s="80"/>
      <c r="KK79" s="80">
        <f t="shared" si="1227"/>
        <v>0</v>
      </c>
      <c r="KM79" s="80"/>
      <c r="KN79" s="80"/>
      <c r="KO79" s="80">
        <f t="shared" si="1228"/>
        <v>0</v>
      </c>
    </row>
    <row r="80" ht="18.75" customHeight="1" spans="2:301" x14ac:dyDescent="0.25">
      <c r="B80" s="5" t="str">
        <f>A.IIOPEX!C80</f>
        <v>6l</v>
      </c>
      <c r="C80" s="27"/>
      <c r="D80" s="29">
        <f>A.IIOPEX!E80</f>
        <v>0</v>
      </c>
      <c r="E80" s="30"/>
      <c r="F80" s="51">
        <v>1</v>
      </c>
      <c r="G80" s="51"/>
      <c r="H80" s="51">
        <f>A.IIOPEX!I80</f>
        <v>0</v>
      </c>
      <c r="I80" s="54"/>
      <c r="J80" s="51">
        <f t="shared" si="1208"/>
        <v>1</v>
      </c>
      <c r="K80" s="51"/>
      <c r="L80" s="51">
        <f t="shared" si="1229"/>
        <v>0</v>
      </c>
      <c r="M80" s="54"/>
      <c r="N80" s="51">
        <f t="shared" si="1209"/>
        <v>1</v>
      </c>
      <c r="O80" s="51">
        <v>0</v>
      </c>
      <c r="P80" s="51">
        <f t="shared" si="1230"/>
        <v>0</v>
      </c>
      <c r="Q80" s="54"/>
      <c r="R80" s="51">
        <f t="shared" si="1210"/>
        <v>1</v>
      </c>
      <c r="S80" s="51">
        <v>0</v>
      </c>
      <c r="T80" s="51">
        <f t="shared" si="1336"/>
        <v>0</v>
      </c>
      <c r="U80" s="54"/>
      <c r="V80" s="51">
        <f t="shared" si="1211"/>
        <v>1</v>
      </c>
      <c r="W80" s="51">
        <v>0</v>
      </c>
      <c r="X80" s="51">
        <f t="shared" si="1337"/>
        <v>0</v>
      </c>
      <c r="Y80" s="54"/>
      <c r="Z80" s="51">
        <f t="shared" si="1212"/>
        <v>1</v>
      </c>
      <c r="AA80" s="51">
        <v>0</v>
      </c>
      <c r="AB80" s="51">
        <f t="shared" si="1338"/>
        <v>0</v>
      </c>
      <c r="AC80" s="54"/>
      <c r="AD80" s="51">
        <f t="shared" si="1339"/>
        <v>1</v>
      </c>
      <c r="AE80" s="51">
        <v>0</v>
      </c>
      <c r="AF80" s="51">
        <f t="shared" si="1340"/>
        <v>0</v>
      </c>
      <c r="AG80" s="54"/>
      <c r="AH80" s="51">
        <f t="shared" si="1232"/>
        <v>1</v>
      </c>
      <c r="AI80" s="51"/>
      <c r="AJ80" s="51">
        <f t="shared" si="1341"/>
        <v>0</v>
      </c>
      <c r="AK80" s="54"/>
      <c r="AL80" s="51">
        <f t="shared" si="1233"/>
        <v>1</v>
      </c>
      <c r="AM80" s="51"/>
      <c r="AN80" s="51">
        <f t="shared" si="1342"/>
        <v>0</v>
      </c>
      <c r="AO80" s="54"/>
      <c r="AP80" s="51">
        <f t="shared" si="1234"/>
        <v>1</v>
      </c>
      <c r="AQ80" s="51"/>
      <c r="AR80" s="51">
        <f t="shared" si="1343"/>
        <v>0</v>
      </c>
      <c r="AS80" s="54"/>
      <c r="AT80" s="51">
        <f t="shared" si="1235"/>
        <v>1</v>
      </c>
      <c r="AU80" s="51"/>
      <c r="AV80" s="51">
        <f t="shared" si="1344"/>
        <v>0</v>
      </c>
      <c r="AW80" s="54"/>
      <c r="AX80" s="51">
        <f t="shared" si="1236"/>
        <v>1</v>
      </c>
      <c r="AY80" s="51"/>
      <c r="AZ80" s="51">
        <f t="shared" si="1345"/>
        <v>0</v>
      </c>
      <c r="BA80" s="54"/>
      <c r="BB80" s="51">
        <f t="shared" si="1213"/>
        <v>1</v>
      </c>
      <c r="BC80" s="51"/>
      <c r="BD80" s="51">
        <f t="shared" si="1346"/>
        <v>0</v>
      </c>
      <c r="BE80" s="54"/>
      <c r="BF80" s="51">
        <f t="shared" si="1237"/>
        <v>1</v>
      </c>
      <c r="BG80" s="51"/>
      <c r="BH80" s="51">
        <f t="shared" si="1347"/>
        <v>0</v>
      </c>
      <c r="BI80" s="54"/>
      <c r="BJ80" s="51">
        <f t="shared" si="1238"/>
        <v>1</v>
      </c>
      <c r="BK80" s="51">
        <f t="shared" si="1239"/>
        <v>0</v>
      </c>
      <c r="BL80" s="51">
        <f t="shared" si="1348"/>
        <v>0</v>
      </c>
      <c r="BM80" s="54"/>
      <c r="BN80" s="51">
        <f t="shared" si="1240"/>
        <v>1</v>
      </c>
      <c r="BO80" s="51">
        <f t="shared" si="1241"/>
        <v>0</v>
      </c>
      <c r="BP80" s="51">
        <f t="shared" si="1349"/>
        <v>0</v>
      </c>
      <c r="BQ80" s="54"/>
      <c r="BR80" s="51">
        <f t="shared" si="1242"/>
        <v>1</v>
      </c>
      <c r="BS80" s="51">
        <f t="shared" si="1243"/>
        <v>0</v>
      </c>
      <c r="BT80" s="51">
        <f t="shared" si="1350"/>
        <v>0</v>
      </c>
      <c r="BU80" s="54"/>
      <c r="BV80" s="51">
        <f t="shared" si="1244"/>
        <v>1</v>
      </c>
      <c r="BW80" s="51">
        <f t="shared" si="1245"/>
        <v>0</v>
      </c>
      <c r="BX80" s="51">
        <f t="shared" si="1351"/>
        <v>0</v>
      </c>
      <c r="BY80" s="54"/>
      <c r="BZ80" s="51">
        <f t="shared" si="1246"/>
        <v>1</v>
      </c>
      <c r="CA80" s="51">
        <f t="shared" si="1247"/>
        <v>0</v>
      </c>
      <c r="CB80" s="51">
        <f t="shared" si="1352"/>
        <v>0</v>
      </c>
      <c r="CC80" s="54"/>
      <c r="CD80" s="51">
        <f t="shared" si="1248"/>
        <v>1</v>
      </c>
      <c r="CE80" s="51">
        <f t="shared" si="1249"/>
        <v>0</v>
      </c>
      <c r="CF80" s="51">
        <f t="shared" si="1353"/>
        <v>0</v>
      </c>
      <c r="CG80" s="54"/>
      <c r="CH80" s="51">
        <f t="shared" si="1250"/>
        <v>1</v>
      </c>
      <c r="CI80" s="51">
        <f t="shared" si="1251"/>
        <v>0</v>
      </c>
      <c r="CJ80" s="51">
        <f t="shared" si="1354"/>
        <v>0</v>
      </c>
      <c r="CK80" s="54"/>
      <c r="CL80" s="51">
        <f t="shared" si="1252"/>
        <v>1</v>
      </c>
      <c r="CM80" s="51">
        <f t="shared" si="1253"/>
        <v>0</v>
      </c>
      <c r="CN80" s="51">
        <f t="shared" si="1355"/>
        <v>0</v>
      </c>
      <c r="CO80" s="54"/>
      <c r="CP80" s="51">
        <f t="shared" si="1254"/>
        <v>1</v>
      </c>
      <c r="CQ80" s="51">
        <f t="shared" si="1255"/>
        <v>0</v>
      </c>
      <c r="CR80" s="51">
        <f t="shared" si="1356"/>
        <v>0</v>
      </c>
      <c r="CS80" s="54"/>
      <c r="CT80" s="51">
        <f t="shared" si="1256"/>
        <v>1</v>
      </c>
      <c r="CU80" s="51">
        <f t="shared" si="1257"/>
        <v>0</v>
      </c>
      <c r="CV80" s="51">
        <f t="shared" si="1357"/>
        <v>0</v>
      </c>
      <c r="CW80" s="54"/>
      <c r="CX80" s="51">
        <f t="shared" si="1214"/>
        <v>1</v>
      </c>
      <c r="CY80" s="51">
        <f t="shared" si="1215"/>
        <v>0</v>
      </c>
      <c r="CZ80" s="51">
        <f t="shared" si="1358"/>
        <v>0</v>
      </c>
      <c r="DA80" s="54"/>
      <c r="DB80" s="51">
        <f t="shared" si="1258"/>
        <v>1</v>
      </c>
      <c r="DC80" s="51">
        <f t="shared" si="1259"/>
        <v>0</v>
      </c>
      <c r="DD80" s="51">
        <f t="shared" si="1359"/>
        <v>0</v>
      </c>
      <c r="DE80" s="54"/>
      <c r="DF80" s="51">
        <f t="shared" si="1260"/>
        <v>1</v>
      </c>
      <c r="DG80" s="51">
        <f t="shared" si="1261"/>
        <v>0</v>
      </c>
      <c r="DH80" s="51">
        <f t="shared" si="1360"/>
        <v>0</v>
      </c>
      <c r="DI80" s="54"/>
      <c r="DJ80" s="51">
        <f t="shared" si="1262"/>
        <v>1</v>
      </c>
      <c r="DK80" s="51">
        <f t="shared" si="1263"/>
        <v>0</v>
      </c>
      <c r="DL80" s="51">
        <f t="shared" si="1361"/>
        <v>0</v>
      </c>
      <c r="DM80" s="54"/>
      <c r="DN80" s="51">
        <f t="shared" si="1264"/>
        <v>1</v>
      </c>
      <c r="DO80" s="51">
        <f t="shared" si="1265"/>
        <v>0</v>
      </c>
      <c r="DP80" s="51">
        <f t="shared" si="1362"/>
        <v>0</v>
      </c>
      <c r="DQ80" s="54"/>
      <c r="DR80" s="51">
        <f t="shared" si="1266"/>
        <v>1</v>
      </c>
      <c r="DS80" s="51">
        <f t="shared" si="1267"/>
        <v>0</v>
      </c>
      <c r="DT80" s="51">
        <f t="shared" si="1363"/>
        <v>0</v>
      </c>
      <c r="DU80" s="54"/>
      <c r="DV80" s="51">
        <f t="shared" si="1268"/>
        <v>1</v>
      </c>
      <c r="DW80" s="51">
        <f t="shared" si="1269"/>
        <v>0</v>
      </c>
      <c r="DX80" s="51">
        <f t="shared" si="1364"/>
        <v>0</v>
      </c>
      <c r="DY80" s="54"/>
      <c r="DZ80" s="51">
        <f t="shared" si="1270"/>
        <v>1</v>
      </c>
      <c r="EA80" s="51">
        <f t="shared" si="1271"/>
        <v>0</v>
      </c>
      <c r="EB80" s="51">
        <f t="shared" si="1365"/>
        <v>0</v>
      </c>
      <c r="EC80" s="54"/>
      <c r="ED80" s="51">
        <f t="shared" si="1272"/>
        <v>1</v>
      </c>
      <c r="EE80" s="51">
        <f t="shared" si="1273"/>
        <v>0</v>
      </c>
      <c r="EF80" s="51">
        <f t="shared" si="1366"/>
        <v>0</v>
      </c>
      <c r="EG80" s="54"/>
      <c r="EH80" s="51">
        <f t="shared" si="1274"/>
        <v>1</v>
      </c>
      <c r="EI80" s="51">
        <f t="shared" si="1275"/>
        <v>0</v>
      </c>
      <c r="EJ80" s="51">
        <f t="shared" si="1367"/>
        <v>0</v>
      </c>
      <c r="EK80" s="54"/>
      <c r="EL80" s="51">
        <f t="shared" si="1276"/>
        <v>1</v>
      </c>
      <c r="EM80" s="51">
        <f t="shared" si="1277"/>
        <v>0</v>
      </c>
      <c r="EN80" s="51">
        <f t="shared" si="1368"/>
        <v>0</v>
      </c>
      <c r="EO80" s="54"/>
      <c r="EP80" s="51">
        <f t="shared" si="1278"/>
        <v>1</v>
      </c>
      <c r="EQ80" s="51">
        <f t="shared" si="1279"/>
        <v>0</v>
      </c>
      <c r="ER80" s="51">
        <f t="shared" si="1369"/>
        <v>0</v>
      </c>
      <c r="ES80" s="54"/>
      <c r="ET80" s="51">
        <f t="shared" si="1216"/>
        <v>1</v>
      </c>
      <c r="EU80" s="51">
        <f t="shared" si="1217"/>
        <v>0</v>
      </c>
      <c r="EV80" s="51">
        <f t="shared" si="1370"/>
        <v>0</v>
      </c>
      <c r="EW80" s="54"/>
      <c r="EX80" s="51">
        <f t="shared" si="1280"/>
        <v>1</v>
      </c>
      <c r="EY80" s="51">
        <f t="shared" si="1281"/>
        <v>0</v>
      </c>
      <c r="EZ80" s="51">
        <f t="shared" si="1371"/>
        <v>0</v>
      </c>
      <c r="FA80" s="54"/>
      <c r="FB80" s="51">
        <f t="shared" si="1282"/>
        <v>1</v>
      </c>
      <c r="FC80" s="51">
        <f t="shared" si="1283"/>
        <v>0</v>
      </c>
      <c r="FD80" s="51">
        <f t="shared" si="1372"/>
        <v>0</v>
      </c>
      <c r="FE80" s="54"/>
      <c r="FF80" s="51">
        <f t="shared" si="1284"/>
        <v>1</v>
      </c>
      <c r="FG80" s="51">
        <f t="shared" si="1285"/>
        <v>0</v>
      </c>
      <c r="FH80" s="51">
        <f t="shared" si="1373"/>
        <v>0</v>
      </c>
      <c r="FI80" s="54"/>
      <c r="FJ80" s="51">
        <f t="shared" si="1286"/>
        <v>1</v>
      </c>
      <c r="FK80" s="51">
        <f t="shared" si="1287"/>
        <v>0</v>
      </c>
      <c r="FL80" s="51">
        <f t="shared" si="1374"/>
        <v>0</v>
      </c>
      <c r="FM80" s="54"/>
      <c r="FN80" s="51">
        <f t="shared" si="1288"/>
        <v>1</v>
      </c>
      <c r="FO80" s="51">
        <f t="shared" si="1289"/>
        <v>0</v>
      </c>
      <c r="FP80" s="51">
        <f t="shared" si="1375"/>
        <v>0</v>
      </c>
      <c r="FQ80" s="54"/>
      <c r="FR80" s="51">
        <f t="shared" si="1290"/>
        <v>1</v>
      </c>
      <c r="FS80" s="51">
        <f t="shared" si="1291"/>
        <v>0</v>
      </c>
      <c r="FT80" s="51">
        <f t="shared" si="1376"/>
        <v>0</v>
      </c>
      <c r="FU80" s="54"/>
      <c r="FV80" s="51">
        <f t="shared" si="1292"/>
        <v>1</v>
      </c>
      <c r="FW80" s="51">
        <f t="shared" si="1293"/>
        <v>0</v>
      </c>
      <c r="FX80" s="51">
        <f t="shared" si="1377"/>
        <v>0</v>
      </c>
      <c r="FY80" s="54"/>
      <c r="FZ80" s="51">
        <f t="shared" si="1294"/>
        <v>1</v>
      </c>
      <c r="GA80" s="51">
        <f t="shared" si="1295"/>
        <v>0</v>
      </c>
      <c r="GB80" s="51">
        <f t="shared" si="1378"/>
        <v>0</v>
      </c>
      <c r="GC80" s="54"/>
      <c r="GD80" s="51">
        <f t="shared" si="1296"/>
        <v>1</v>
      </c>
      <c r="GE80" s="51">
        <f t="shared" si="1297"/>
        <v>0</v>
      </c>
      <c r="GF80" s="51">
        <f t="shared" si="1379"/>
        <v>0</v>
      </c>
      <c r="GG80" s="54"/>
      <c r="GH80" s="51">
        <f t="shared" si="1298"/>
        <v>1</v>
      </c>
      <c r="GI80" s="51">
        <f t="shared" si="1299"/>
        <v>0</v>
      </c>
      <c r="GJ80" s="51">
        <f t="shared" si="1380"/>
        <v>0</v>
      </c>
      <c r="GK80" s="54"/>
      <c r="GL80" s="51">
        <f t="shared" si="1300"/>
        <v>1</v>
      </c>
      <c r="GM80" s="51">
        <f t="shared" si="1301"/>
        <v>0</v>
      </c>
      <c r="GN80" s="51">
        <f t="shared" si="1381"/>
        <v>0</v>
      </c>
      <c r="GP80" s="51">
        <f t="shared" si="1218"/>
        <v>1</v>
      </c>
      <c r="GQ80" s="51">
        <f t="shared" si="1219"/>
        <v>0</v>
      </c>
      <c r="GR80" s="51">
        <f t="shared" si="1382"/>
        <v>0</v>
      </c>
      <c r="GS80" s="54"/>
      <c r="GT80" s="51">
        <f t="shared" si="1302"/>
        <v>1</v>
      </c>
      <c r="GU80" s="51">
        <f t="shared" si="1303"/>
        <v>0</v>
      </c>
      <c r="GV80" s="51">
        <f t="shared" si="1383"/>
        <v>0</v>
      </c>
      <c r="GW80" s="54"/>
      <c r="GX80" s="51">
        <f t="shared" si="1304"/>
        <v>1</v>
      </c>
      <c r="GY80" s="51">
        <f t="shared" si="1305"/>
        <v>0</v>
      </c>
      <c r="GZ80" s="51">
        <f t="shared" si="1384"/>
        <v>0</v>
      </c>
      <c r="HA80" s="54"/>
      <c r="HB80" s="51">
        <f t="shared" si="1306"/>
        <v>1</v>
      </c>
      <c r="HC80" s="51">
        <f t="shared" si="1307"/>
        <v>0</v>
      </c>
      <c r="HD80" s="51">
        <f t="shared" si="1385"/>
        <v>0</v>
      </c>
      <c r="HE80" s="54"/>
      <c r="HF80" s="51">
        <f t="shared" si="1308"/>
        <v>1</v>
      </c>
      <c r="HG80" s="51">
        <f t="shared" si="1309"/>
        <v>0</v>
      </c>
      <c r="HH80" s="51">
        <f t="shared" si="1386"/>
        <v>0</v>
      </c>
      <c r="HI80" s="54"/>
      <c r="HJ80" s="51">
        <f t="shared" si="1310"/>
        <v>1</v>
      </c>
      <c r="HK80" s="51">
        <f t="shared" si="1311"/>
        <v>0</v>
      </c>
      <c r="HL80" s="51">
        <f t="shared" si="1387"/>
        <v>0</v>
      </c>
      <c r="HM80" s="54"/>
      <c r="HN80" s="51">
        <f t="shared" si="1312"/>
        <v>1</v>
      </c>
      <c r="HO80" s="51">
        <f t="shared" si="1313"/>
        <v>0</v>
      </c>
      <c r="HP80" s="51">
        <f t="shared" si="1388"/>
        <v>0</v>
      </c>
      <c r="HQ80" s="54"/>
      <c r="HR80" s="51">
        <f t="shared" si="1314"/>
        <v>1</v>
      </c>
      <c r="HS80" s="51">
        <f t="shared" si="1315"/>
        <v>0</v>
      </c>
      <c r="HT80" s="51">
        <f t="shared" si="1389"/>
        <v>0</v>
      </c>
      <c r="HU80" s="54"/>
      <c r="HV80" s="51">
        <f t="shared" si="1316"/>
        <v>1</v>
      </c>
      <c r="HW80" s="51">
        <f t="shared" si="1317"/>
        <v>0</v>
      </c>
      <c r="HX80" s="51">
        <f t="shared" si="1390"/>
        <v>0</v>
      </c>
      <c r="HY80" s="54"/>
      <c r="HZ80" s="51">
        <f t="shared" si="1318"/>
        <v>1</v>
      </c>
      <c r="IA80" s="51">
        <f t="shared" si="1319"/>
        <v>0</v>
      </c>
      <c r="IB80" s="51">
        <f t="shared" si="1391"/>
        <v>0</v>
      </c>
      <c r="IC80" s="54"/>
      <c r="ID80" s="51">
        <f t="shared" si="1320"/>
        <v>1</v>
      </c>
      <c r="IE80" s="51">
        <f t="shared" si="1321"/>
        <v>0</v>
      </c>
      <c r="IF80" s="51">
        <f t="shared" si="1392"/>
        <v>0</v>
      </c>
      <c r="IG80" s="54"/>
      <c r="IH80" s="51">
        <f t="shared" si="1322"/>
        <v>1</v>
      </c>
      <c r="II80" s="51">
        <f t="shared" si="1323"/>
        <v>0</v>
      </c>
      <c r="IJ80" s="51">
        <f t="shared" si="1393"/>
        <v>0</v>
      </c>
      <c r="IL80" s="51">
        <f t="shared" si="1220"/>
        <v>1</v>
      </c>
      <c r="IM80" s="51">
        <f t="shared" si="1221"/>
        <v>0</v>
      </c>
      <c r="IN80" s="51">
        <f t="shared" si="1394"/>
        <v>0</v>
      </c>
      <c r="IO80" s="54"/>
      <c r="IP80" s="51">
        <f t="shared" si="1324"/>
        <v>1</v>
      </c>
      <c r="IQ80" s="51">
        <f t="shared" si="1325"/>
        <v>0</v>
      </c>
      <c r="IR80" s="51">
        <f t="shared" si="1395"/>
        <v>0</v>
      </c>
      <c r="IS80" s="54"/>
      <c r="IT80" s="51">
        <f t="shared" si="1326"/>
        <v>1</v>
      </c>
      <c r="IU80" s="51">
        <f t="shared" si="1327"/>
        <v>0</v>
      </c>
      <c r="IV80" s="51">
        <f t="shared" si="1396"/>
        <v>0</v>
      </c>
      <c r="IW80" s="54"/>
      <c r="IX80" s="51">
        <f t="shared" si="1328"/>
        <v>1</v>
      </c>
      <c r="IY80" s="51">
        <f t="shared" si="1329"/>
        <v>0</v>
      </c>
      <c r="IZ80" s="51">
        <f t="shared" si="1397"/>
        <v>0</v>
      </c>
      <c r="JA80" s="54"/>
      <c r="JB80" s="51" t="e">
        <f t="shared" si="1330"/>
        <v>#REF!</v>
      </c>
      <c r="JC80" s="51">
        <f t="shared" si="1331"/>
        <v>0</v>
      </c>
      <c r="JD80" s="51">
        <f t="shared" si="1398"/>
        <v>0</v>
      </c>
      <c r="JE80" s="54"/>
      <c r="JF80" s="51" t="e">
        <f t="shared" si="1332"/>
        <v>#REF!</v>
      </c>
      <c r="JG80" s="51">
        <f t="shared" si="1333"/>
        <v>0</v>
      </c>
      <c r="JH80" s="51">
        <f t="shared" si="1399"/>
        <v>0</v>
      </c>
      <c r="JI80" s="54"/>
      <c r="JJ80" s="51" t="e">
        <f t="shared" si="1334"/>
        <v>#REF!</v>
      </c>
      <c r="JK80" s="51">
        <f t="shared" si="1335"/>
        <v>0</v>
      </c>
      <c r="JL80" s="51">
        <f t="shared" si="1400"/>
        <v>0</v>
      </c>
      <c r="JM80" s="54"/>
      <c r="JO80" s="80"/>
      <c r="JP80" s="80"/>
      <c r="JQ80" s="80">
        <f t="shared" si="1222"/>
        <v>0</v>
      </c>
      <c r="JS80" s="80"/>
      <c r="JT80" s="80"/>
      <c r="JU80" s="80">
        <f t="shared" si="1223"/>
        <v>0</v>
      </c>
      <c r="JW80" s="80"/>
      <c r="JX80" s="80"/>
      <c r="JY80" s="80">
        <f t="shared" si="1224"/>
        <v>0</v>
      </c>
      <c r="KA80" s="80"/>
      <c r="KB80" s="80"/>
      <c r="KC80" s="80">
        <f t="shared" si="1225"/>
        <v>0</v>
      </c>
      <c r="KE80" s="80"/>
      <c r="KF80" s="80"/>
      <c r="KG80" s="80">
        <f t="shared" si="1226"/>
        <v>0</v>
      </c>
      <c r="KI80" s="80"/>
      <c r="KJ80" s="80"/>
      <c r="KK80" s="80">
        <f t="shared" si="1227"/>
        <v>0</v>
      </c>
      <c r="KM80" s="80"/>
      <c r="KN80" s="80"/>
      <c r="KO80" s="80">
        <f t="shared" si="1228"/>
        <v>0</v>
      </c>
    </row>
    <row r="81" ht="18.75" customHeight="1" spans="2:301" x14ac:dyDescent="0.25">
      <c r="B81" s="5" t="str">
        <f>A.IIOPEX!C81</f>
        <v>6m</v>
      </c>
      <c r="C81" s="27"/>
      <c r="D81" s="29">
        <f>A.IIOPEX!E81</f>
        <v>0</v>
      </c>
      <c r="E81" s="30"/>
      <c r="F81" s="51">
        <v>1</v>
      </c>
      <c r="G81" s="51"/>
      <c r="H81" s="51">
        <f>A.IIOPEX!I81</f>
        <v>0</v>
      </c>
      <c r="I81" s="54"/>
      <c r="J81" s="51">
        <f t="shared" si="1208"/>
        <v>1</v>
      </c>
      <c r="K81" s="51"/>
      <c r="L81" s="51">
        <f t="shared" si="1229"/>
        <v>0</v>
      </c>
      <c r="M81" s="54"/>
      <c r="N81" s="51">
        <f t="shared" si="1209"/>
        <v>1</v>
      </c>
      <c r="O81" s="51">
        <v>0</v>
      </c>
      <c r="P81" s="51">
        <f t="shared" si="1230"/>
        <v>0</v>
      </c>
      <c r="Q81" s="54"/>
      <c r="R81" s="51">
        <f t="shared" si="1210"/>
        <v>1</v>
      </c>
      <c r="S81" s="51">
        <v>0</v>
      </c>
      <c r="T81" s="51">
        <f t="shared" si="1336"/>
        <v>0</v>
      </c>
      <c r="U81" s="54"/>
      <c r="V81" s="51">
        <f t="shared" si="1211"/>
        <v>1</v>
      </c>
      <c r="W81" s="51">
        <v>0</v>
      </c>
      <c r="X81" s="51">
        <f t="shared" si="1337"/>
        <v>0</v>
      </c>
      <c r="Y81" s="54"/>
      <c r="Z81" s="51">
        <f t="shared" si="1212"/>
        <v>1</v>
      </c>
      <c r="AA81" s="51">
        <v>0</v>
      </c>
      <c r="AB81" s="51">
        <f t="shared" si="1338"/>
        <v>0</v>
      </c>
      <c r="AC81" s="54"/>
      <c r="AD81" s="51">
        <f t="shared" si="1339"/>
        <v>1</v>
      </c>
      <c r="AE81" s="51">
        <v>0</v>
      </c>
      <c r="AF81" s="51">
        <f t="shared" si="1340"/>
        <v>0</v>
      </c>
      <c r="AG81" s="54"/>
      <c r="AH81" s="51">
        <f t="shared" si="1232"/>
        <v>1</v>
      </c>
      <c r="AI81" s="51"/>
      <c r="AJ81" s="51">
        <f t="shared" si="1341"/>
        <v>0</v>
      </c>
      <c r="AK81" s="54"/>
      <c r="AL81" s="51">
        <f t="shared" si="1233"/>
        <v>1</v>
      </c>
      <c r="AM81" s="51"/>
      <c r="AN81" s="51">
        <f t="shared" si="1342"/>
        <v>0</v>
      </c>
      <c r="AO81" s="54"/>
      <c r="AP81" s="51">
        <f t="shared" si="1234"/>
        <v>1</v>
      </c>
      <c r="AQ81" s="51"/>
      <c r="AR81" s="51">
        <f t="shared" si="1343"/>
        <v>0</v>
      </c>
      <c r="AS81" s="54"/>
      <c r="AT81" s="51">
        <f t="shared" si="1235"/>
        <v>1</v>
      </c>
      <c r="AU81" s="51"/>
      <c r="AV81" s="51">
        <f t="shared" si="1344"/>
        <v>0</v>
      </c>
      <c r="AW81" s="54"/>
      <c r="AX81" s="51">
        <f t="shared" si="1236"/>
        <v>1</v>
      </c>
      <c r="AY81" s="51"/>
      <c r="AZ81" s="51">
        <f t="shared" si="1345"/>
        <v>0</v>
      </c>
      <c r="BA81" s="54"/>
      <c r="BB81" s="51">
        <f t="shared" si="1213"/>
        <v>1</v>
      </c>
      <c r="BC81" s="51"/>
      <c r="BD81" s="51">
        <f t="shared" si="1346"/>
        <v>0</v>
      </c>
      <c r="BE81" s="54"/>
      <c r="BF81" s="51">
        <f t="shared" si="1237"/>
        <v>1</v>
      </c>
      <c r="BG81" s="51"/>
      <c r="BH81" s="51">
        <f t="shared" si="1347"/>
        <v>0</v>
      </c>
      <c r="BI81" s="54"/>
      <c r="BJ81" s="51">
        <f t="shared" si="1238"/>
        <v>1</v>
      </c>
      <c r="BK81" s="51">
        <f t="shared" si="1239"/>
        <v>0</v>
      </c>
      <c r="BL81" s="51">
        <f t="shared" si="1348"/>
        <v>0</v>
      </c>
      <c r="BM81" s="54"/>
      <c r="BN81" s="51">
        <f t="shared" si="1240"/>
        <v>1</v>
      </c>
      <c r="BO81" s="51">
        <f t="shared" si="1241"/>
        <v>0</v>
      </c>
      <c r="BP81" s="51">
        <f t="shared" si="1349"/>
        <v>0</v>
      </c>
      <c r="BQ81" s="54"/>
      <c r="BR81" s="51">
        <f t="shared" si="1242"/>
        <v>1</v>
      </c>
      <c r="BS81" s="51">
        <f t="shared" si="1243"/>
        <v>0</v>
      </c>
      <c r="BT81" s="51">
        <f t="shared" si="1350"/>
        <v>0</v>
      </c>
      <c r="BU81" s="54"/>
      <c r="BV81" s="51">
        <f t="shared" si="1244"/>
        <v>1</v>
      </c>
      <c r="BW81" s="51">
        <f t="shared" si="1245"/>
        <v>0</v>
      </c>
      <c r="BX81" s="51">
        <f t="shared" si="1351"/>
        <v>0</v>
      </c>
      <c r="BY81" s="54"/>
      <c r="BZ81" s="51">
        <f t="shared" si="1246"/>
        <v>1</v>
      </c>
      <c r="CA81" s="51">
        <f t="shared" si="1247"/>
        <v>0</v>
      </c>
      <c r="CB81" s="51">
        <f t="shared" si="1352"/>
        <v>0</v>
      </c>
      <c r="CC81" s="54"/>
      <c r="CD81" s="51">
        <f t="shared" si="1248"/>
        <v>1</v>
      </c>
      <c r="CE81" s="51">
        <f t="shared" si="1249"/>
        <v>0</v>
      </c>
      <c r="CF81" s="51">
        <f t="shared" si="1353"/>
        <v>0</v>
      </c>
      <c r="CG81" s="54"/>
      <c r="CH81" s="51">
        <f t="shared" si="1250"/>
        <v>1</v>
      </c>
      <c r="CI81" s="51">
        <f t="shared" si="1251"/>
        <v>0</v>
      </c>
      <c r="CJ81" s="51">
        <f t="shared" si="1354"/>
        <v>0</v>
      </c>
      <c r="CK81" s="54"/>
      <c r="CL81" s="51">
        <f t="shared" si="1252"/>
        <v>1</v>
      </c>
      <c r="CM81" s="51">
        <f t="shared" si="1253"/>
        <v>0</v>
      </c>
      <c r="CN81" s="51">
        <f t="shared" si="1355"/>
        <v>0</v>
      </c>
      <c r="CO81" s="54"/>
      <c r="CP81" s="51">
        <f t="shared" si="1254"/>
        <v>1</v>
      </c>
      <c r="CQ81" s="51">
        <f t="shared" si="1255"/>
        <v>0</v>
      </c>
      <c r="CR81" s="51">
        <f t="shared" si="1356"/>
        <v>0</v>
      </c>
      <c r="CS81" s="54"/>
      <c r="CT81" s="51">
        <f t="shared" si="1256"/>
        <v>1</v>
      </c>
      <c r="CU81" s="51">
        <f t="shared" si="1257"/>
        <v>0</v>
      </c>
      <c r="CV81" s="51">
        <f t="shared" si="1357"/>
        <v>0</v>
      </c>
      <c r="CW81" s="54"/>
      <c r="CX81" s="51">
        <f t="shared" si="1214"/>
        <v>1</v>
      </c>
      <c r="CY81" s="51">
        <f t="shared" si="1215"/>
        <v>0</v>
      </c>
      <c r="CZ81" s="51">
        <f t="shared" si="1358"/>
        <v>0</v>
      </c>
      <c r="DA81" s="54"/>
      <c r="DB81" s="51">
        <f t="shared" si="1258"/>
        <v>1</v>
      </c>
      <c r="DC81" s="51">
        <f t="shared" si="1259"/>
        <v>0</v>
      </c>
      <c r="DD81" s="51">
        <f t="shared" si="1359"/>
        <v>0</v>
      </c>
      <c r="DE81" s="54"/>
      <c r="DF81" s="51">
        <f t="shared" si="1260"/>
        <v>1</v>
      </c>
      <c r="DG81" s="51">
        <f t="shared" si="1261"/>
        <v>0</v>
      </c>
      <c r="DH81" s="51">
        <f t="shared" si="1360"/>
        <v>0</v>
      </c>
      <c r="DI81" s="54"/>
      <c r="DJ81" s="51">
        <f t="shared" si="1262"/>
        <v>1</v>
      </c>
      <c r="DK81" s="51">
        <f t="shared" si="1263"/>
        <v>0</v>
      </c>
      <c r="DL81" s="51">
        <f t="shared" si="1361"/>
        <v>0</v>
      </c>
      <c r="DM81" s="54"/>
      <c r="DN81" s="51">
        <f t="shared" si="1264"/>
        <v>1</v>
      </c>
      <c r="DO81" s="51">
        <f t="shared" si="1265"/>
        <v>0</v>
      </c>
      <c r="DP81" s="51">
        <f t="shared" si="1362"/>
        <v>0</v>
      </c>
      <c r="DQ81" s="54"/>
      <c r="DR81" s="51">
        <f t="shared" si="1266"/>
        <v>1</v>
      </c>
      <c r="DS81" s="51">
        <f t="shared" si="1267"/>
        <v>0</v>
      </c>
      <c r="DT81" s="51">
        <f t="shared" si="1363"/>
        <v>0</v>
      </c>
      <c r="DU81" s="54"/>
      <c r="DV81" s="51">
        <f t="shared" si="1268"/>
        <v>1</v>
      </c>
      <c r="DW81" s="51">
        <f t="shared" si="1269"/>
        <v>0</v>
      </c>
      <c r="DX81" s="51">
        <f t="shared" si="1364"/>
        <v>0</v>
      </c>
      <c r="DY81" s="54"/>
      <c r="DZ81" s="51">
        <f t="shared" si="1270"/>
        <v>1</v>
      </c>
      <c r="EA81" s="51">
        <f t="shared" si="1271"/>
        <v>0</v>
      </c>
      <c r="EB81" s="51">
        <f t="shared" si="1365"/>
        <v>0</v>
      </c>
      <c r="EC81" s="54"/>
      <c r="ED81" s="51">
        <f t="shared" si="1272"/>
        <v>1</v>
      </c>
      <c r="EE81" s="51">
        <f t="shared" si="1273"/>
        <v>0</v>
      </c>
      <c r="EF81" s="51">
        <f t="shared" si="1366"/>
        <v>0</v>
      </c>
      <c r="EG81" s="54"/>
      <c r="EH81" s="51">
        <f t="shared" si="1274"/>
        <v>1</v>
      </c>
      <c r="EI81" s="51">
        <f t="shared" si="1275"/>
        <v>0</v>
      </c>
      <c r="EJ81" s="51">
        <f t="shared" si="1367"/>
        <v>0</v>
      </c>
      <c r="EK81" s="54"/>
      <c r="EL81" s="51">
        <f t="shared" si="1276"/>
        <v>1</v>
      </c>
      <c r="EM81" s="51">
        <f t="shared" si="1277"/>
        <v>0</v>
      </c>
      <c r="EN81" s="51">
        <f t="shared" si="1368"/>
        <v>0</v>
      </c>
      <c r="EO81" s="54"/>
      <c r="EP81" s="51">
        <f t="shared" si="1278"/>
        <v>1</v>
      </c>
      <c r="EQ81" s="51">
        <f t="shared" si="1279"/>
        <v>0</v>
      </c>
      <c r="ER81" s="51">
        <f t="shared" si="1369"/>
        <v>0</v>
      </c>
      <c r="ES81" s="54"/>
      <c r="ET81" s="51">
        <f t="shared" si="1216"/>
        <v>1</v>
      </c>
      <c r="EU81" s="51">
        <f t="shared" si="1217"/>
        <v>0</v>
      </c>
      <c r="EV81" s="51">
        <f t="shared" si="1370"/>
        <v>0</v>
      </c>
      <c r="EW81" s="54"/>
      <c r="EX81" s="51">
        <f t="shared" si="1280"/>
        <v>1</v>
      </c>
      <c r="EY81" s="51">
        <f t="shared" si="1281"/>
        <v>0</v>
      </c>
      <c r="EZ81" s="51">
        <f t="shared" si="1371"/>
        <v>0</v>
      </c>
      <c r="FA81" s="54"/>
      <c r="FB81" s="51">
        <f t="shared" si="1282"/>
        <v>1</v>
      </c>
      <c r="FC81" s="51">
        <f t="shared" si="1283"/>
        <v>0</v>
      </c>
      <c r="FD81" s="51">
        <f t="shared" si="1372"/>
        <v>0</v>
      </c>
      <c r="FE81" s="54"/>
      <c r="FF81" s="51">
        <f t="shared" si="1284"/>
        <v>1</v>
      </c>
      <c r="FG81" s="51">
        <f t="shared" si="1285"/>
        <v>0</v>
      </c>
      <c r="FH81" s="51">
        <f t="shared" si="1373"/>
        <v>0</v>
      </c>
      <c r="FI81" s="54"/>
      <c r="FJ81" s="51">
        <f t="shared" si="1286"/>
        <v>1</v>
      </c>
      <c r="FK81" s="51">
        <f t="shared" si="1287"/>
        <v>0</v>
      </c>
      <c r="FL81" s="51">
        <f t="shared" si="1374"/>
        <v>0</v>
      </c>
      <c r="FM81" s="54"/>
      <c r="FN81" s="51">
        <f t="shared" si="1288"/>
        <v>1</v>
      </c>
      <c r="FO81" s="51">
        <f t="shared" si="1289"/>
        <v>0</v>
      </c>
      <c r="FP81" s="51">
        <f t="shared" si="1375"/>
        <v>0</v>
      </c>
      <c r="FQ81" s="54"/>
      <c r="FR81" s="51">
        <f t="shared" si="1290"/>
        <v>1</v>
      </c>
      <c r="FS81" s="51">
        <f t="shared" si="1291"/>
        <v>0</v>
      </c>
      <c r="FT81" s="51">
        <f t="shared" si="1376"/>
        <v>0</v>
      </c>
      <c r="FU81" s="54"/>
      <c r="FV81" s="51">
        <f t="shared" si="1292"/>
        <v>1</v>
      </c>
      <c r="FW81" s="51">
        <f t="shared" si="1293"/>
        <v>0</v>
      </c>
      <c r="FX81" s="51">
        <f t="shared" si="1377"/>
        <v>0</v>
      </c>
      <c r="FY81" s="54"/>
      <c r="FZ81" s="51">
        <f t="shared" si="1294"/>
        <v>1</v>
      </c>
      <c r="GA81" s="51">
        <f t="shared" si="1295"/>
        <v>0</v>
      </c>
      <c r="GB81" s="51">
        <f t="shared" si="1378"/>
        <v>0</v>
      </c>
      <c r="GC81" s="54"/>
      <c r="GD81" s="51">
        <f t="shared" si="1296"/>
        <v>1</v>
      </c>
      <c r="GE81" s="51">
        <f t="shared" si="1297"/>
        <v>0</v>
      </c>
      <c r="GF81" s="51">
        <f t="shared" si="1379"/>
        <v>0</v>
      </c>
      <c r="GG81" s="54"/>
      <c r="GH81" s="51">
        <f t="shared" si="1298"/>
        <v>1</v>
      </c>
      <c r="GI81" s="51">
        <f t="shared" si="1299"/>
        <v>0</v>
      </c>
      <c r="GJ81" s="51">
        <f t="shared" si="1380"/>
        <v>0</v>
      </c>
      <c r="GK81" s="54"/>
      <c r="GL81" s="51">
        <f t="shared" si="1300"/>
        <v>1</v>
      </c>
      <c r="GM81" s="51">
        <f t="shared" si="1301"/>
        <v>0</v>
      </c>
      <c r="GN81" s="51">
        <f t="shared" si="1381"/>
        <v>0</v>
      </c>
      <c r="GP81" s="51">
        <f t="shared" si="1218"/>
        <v>1</v>
      </c>
      <c r="GQ81" s="51">
        <f t="shared" si="1219"/>
        <v>0</v>
      </c>
      <c r="GR81" s="51">
        <f t="shared" si="1382"/>
        <v>0</v>
      </c>
      <c r="GS81" s="54"/>
      <c r="GT81" s="51">
        <f t="shared" si="1302"/>
        <v>1</v>
      </c>
      <c r="GU81" s="51">
        <f t="shared" si="1303"/>
        <v>0</v>
      </c>
      <c r="GV81" s="51">
        <f t="shared" si="1383"/>
        <v>0</v>
      </c>
      <c r="GW81" s="54"/>
      <c r="GX81" s="51">
        <f t="shared" si="1304"/>
        <v>1</v>
      </c>
      <c r="GY81" s="51">
        <f t="shared" si="1305"/>
        <v>0</v>
      </c>
      <c r="GZ81" s="51">
        <f t="shared" si="1384"/>
        <v>0</v>
      </c>
      <c r="HA81" s="54"/>
      <c r="HB81" s="51">
        <f t="shared" si="1306"/>
        <v>1</v>
      </c>
      <c r="HC81" s="51">
        <f t="shared" si="1307"/>
        <v>0</v>
      </c>
      <c r="HD81" s="51">
        <f t="shared" si="1385"/>
        <v>0</v>
      </c>
      <c r="HE81" s="54"/>
      <c r="HF81" s="51">
        <f t="shared" si="1308"/>
        <v>1</v>
      </c>
      <c r="HG81" s="51">
        <f t="shared" si="1309"/>
        <v>0</v>
      </c>
      <c r="HH81" s="51">
        <f t="shared" si="1386"/>
        <v>0</v>
      </c>
      <c r="HI81" s="54"/>
      <c r="HJ81" s="51">
        <f t="shared" si="1310"/>
        <v>1</v>
      </c>
      <c r="HK81" s="51">
        <f t="shared" si="1311"/>
        <v>0</v>
      </c>
      <c r="HL81" s="51">
        <f t="shared" si="1387"/>
        <v>0</v>
      </c>
      <c r="HM81" s="54"/>
      <c r="HN81" s="51">
        <f t="shared" si="1312"/>
        <v>1</v>
      </c>
      <c r="HO81" s="51">
        <f t="shared" si="1313"/>
        <v>0</v>
      </c>
      <c r="HP81" s="51">
        <f t="shared" si="1388"/>
        <v>0</v>
      </c>
      <c r="HQ81" s="54"/>
      <c r="HR81" s="51">
        <f t="shared" si="1314"/>
        <v>1</v>
      </c>
      <c r="HS81" s="51">
        <f t="shared" si="1315"/>
        <v>0</v>
      </c>
      <c r="HT81" s="51">
        <f t="shared" si="1389"/>
        <v>0</v>
      </c>
      <c r="HU81" s="54"/>
      <c r="HV81" s="51">
        <f t="shared" si="1316"/>
        <v>1</v>
      </c>
      <c r="HW81" s="51">
        <f t="shared" si="1317"/>
        <v>0</v>
      </c>
      <c r="HX81" s="51">
        <f t="shared" si="1390"/>
        <v>0</v>
      </c>
      <c r="HY81" s="54"/>
      <c r="HZ81" s="51">
        <f t="shared" si="1318"/>
        <v>1</v>
      </c>
      <c r="IA81" s="51">
        <f t="shared" si="1319"/>
        <v>0</v>
      </c>
      <c r="IB81" s="51">
        <f t="shared" si="1391"/>
        <v>0</v>
      </c>
      <c r="IC81" s="54"/>
      <c r="ID81" s="51">
        <f t="shared" si="1320"/>
        <v>1</v>
      </c>
      <c r="IE81" s="51">
        <f t="shared" si="1321"/>
        <v>0</v>
      </c>
      <c r="IF81" s="51">
        <f t="shared" si="1392"/>
        <v>0</v>
      </c>
      <c r="IG81" s="54"/>
      <c r="IH81" s="51">
        <f t="shared" si="1322"/>
        <v>1</v>
      </c>
      <c r="II81" s="51">
        <f t="shared" si="1323"/>
        <v>0</v>
      </c>
      <c r="IJ81" s="51">
        <f t="shared" si="1393"/>
        <v>0</v>
      </c>
      <c r="IL81" s="51">
        <f t="shared" si="1220"/>
        <v>1</v>
      </c>
      <c r="IM81" s="51">
        <f t="shared" si="1221"/>
        <v>0</v>
      </c>
      <c r="IN81" s="51">
        <f t="shared" si="1394"/>
        <v>0</v>
      </c>
      <c r="IO81" s="54"/>
      <c r="IP81" s="51">
        <f t="shared" si="1324"/>
        <v>1</v>
      </c>
      <c r="IQ81" s="51">
        <f t="shared" si="1325"/>
        <v>0</v>
      </c>
      <c r="IR81" s="51">
        <f t="shared" si="1395"/>
        <v>0</v>
      </c>
      <c r="IS81" s="54"/>
      <c r="IT81" s="51">
        <f t="shared" si="1326"/>
        <v>1</v>
      </c>
      <c r="IU81" s="51">
        <f t="shared" si="1327"/>
        <v>0</v>
      </c>
      <c r="IV81" s="51">
        <f t="shared" si="1396"/>
        <v>0</v>
      </c>
      <c r="IW81" s="54"/>
      <c r="IX81" s="51">
        <f t="shared" si="1328"/>
        <v>1</v>
      </c>
      <c r="IY81" s="51">
        <f t="shared" si="1329"/>
        <v>0</v>
      </c>
      <c r="IZ81" s="51">
        <f t="shared" si="1397"/>
        <v>0</v>
      </c>
      <c r="JA81" s="54"/>
      <c r="JB81" s="51" t="e">
        <f t="shared" si="1330"/>
        <v>#REF!</v>
      </c>
      <c r="JC81" s="51">
        <f t="shared" si="1331"/>
        <v>0</v>
      </c>
      <c r="JD81" s="51">
        <f t="shared" si="1398"/>
        <v>0</v>
      </c>
      <c r="JE81" s="54"/>
      <c r="JF81" s="51" t="e">
        <f t="shared" si="1332"/>
        <v>#REF!</v>
      </c>
      <c r="JG81" s="51">
        <f t="shared" si="1333"/>
        <v>0</v>
      </c>
      <c r="JH81" s="51">
        <f t="shared" si="1399"/>
        <v>0</v>
      </c>
      <c r="JI81" s="54"/>
      <c r="JJ81" s="51" t="e">
        <f t="shared" si="1334"/>
        <v>#REF!</v>
      </c>
      <c r="JK81" s="51">
        <f t="shared" si="1335"/>
        <v>0</v>
      </c>
      <c r="JL81" s="51">
        <f t="shared" si="1400"/>
        <v>0</v>
      </c>
      <c r="JM81" s="54"/>
      <c r="JO81" s="80"/>
      <c r="JP81" s="80"/>
      <c r="JQ81" s="80">
        <f t="shared" si="1222"/>
        <v>0</v>
      </c>
      <c r="JS81" s="80"/>
      <c r="JT81" s="80"/>
      <c r="JU81" s="80">
        <f t="shared" si="1223"/>
        <v>0</v>
      </c>
      <c r="JW81" s="80"/>
      <c r="JX81" s="80"/>
      <c r="JY81" s="80">
        <f t="shared" si="1224"/>
        <v>0</v>
      </c>
      <c r="KA81" s="80"/>
      <c r="KB81" s="80"/>
      <c r="KC81" s="80">
        <f t="shared" si="1225"/>
        <v>0</v>
      </c>
      <c r="KE81" s="80"/>
      <c r="KF81" s="80"/>
      <c r="KG81" s="80">
        <f t="shared" si="1226"/>
        <v>0</v>
      </c>
      <c r="KI81" s="80"/>
      <c r="KJ81" s="80"/>
      <c r="KK81" s="80">
        <f t="shared" si="1227"/>
        <v>0</v>
      </c>
      <c r="KM81" s="80"/>
      <c r="KN81" s="80"/>
      <c r="KO81" s="80">
        <f t="shared" si="1228"/>
        <v>0</v>
      </c>
    </row>
    <row r="82" ht="18.75" customHeight="1" spans="2:301" x14ac:dyDescent="0.25">
      <c r="B82" s="5" t="str">
        <f>A.IIOPEX!C82</f>
        <v>6n</v>
      </c>
      <c r="C82" s="27"/>
      <c r="D82" s="29">
        <f>A.IIOPEX!E82</f>
        <v>0</v>
      </c>
      <c r="E82" s="30"/>
      <c r="F82" s="51">
        <v>1</v>
      </c>
      <c r="G82" s="51"/>
      <c r="H82" s="51">
        <f>A.IIOPEX!I82</f>
        <v>0</v>
      </c>
      <c r="I82" s="54"/>
      <c r="J82" s="51">
        <f t="shared" si="1208"/>
        <v>1</v>
      </c>
      <c r="K82" s="51"/>
      <c r="L82" s="51">
        <f t="shared" si="1229"/>
        <v>0</v>
      </c>
      <c r="M82" s="54"/>
      <c r="N82" s="51">
        <f t="shared" si="1209"/>
        <v>1</v>
      </c>
      <c r="O82" s="51">
        <v>0</v>
      </c>
      <c r="P82" s="51">
        <f t="shared" si="1230"/>
        <v>0</v>
      </c>
      <c r="Q82" s="54"/>
      <c r="R82" s="51">
        <f t="shared" si="1210"/>
        <v>1</v>
      </c>
      <c r="S82" s="51">
        <v>0</v>
      </c>
      <c r="T82" s="51">
        <f t="shared" si="1336"/>
        <v>0</v>
      </c>
      <c r="U82" s="54"/>
      <c r="V82" s="51">
        <f t="shared" si="1211"/>
        <v>1</v>
      </c>
      <c r="W82" s="51">
        <v>0</v>
      </c>
      <c r="X82" s="51">
        <f t="shared" si="1337"/>
        <v>0</v>
      </c>
      <c r="Y82" s="54"/>
      <c r="Z82" s="51">
        <f t="shared" si="1212"/>
        <v>1</v>
      </c>
      <c r="AA82" s="51">
        <v>0</v>
      </c>
      <c r="AB82" s="51">
        <f t="shared" si="1338"/>
        <v>0</v>
      </c>
      <c r="AC82" s="54"/>
      <c r="AD82" s="51">
        <f t="shared" si="1339"/>
        <v>1</v>
      </c>
      <c r="AE82" s="51">
        <v>0</v>
      </c>
      <c r="AF82" s="51">
        <f t="shared" si="1340"/>
        <v>0</v>
      </c>
      <c r="AG82" s="54"/>
      <c r="AH82" s="51">
        <f t="shared" si="1232"/>
        <v>1</v>
      </c>
      <c r="AI82" s="51"/>
      <c r="AJ82" s="51">
        <f t="shared" si="1341"/>
        <v>0</v>
      </c>
      <c r="AK82" s="54"/>
      <c r="AL82" s="51">
        <f t="shared" si="1233"/>
        <v>1</v>
      </c>
      <c r="AM82" s="51"/>
      <c r="AN82" s="51">
        <f t="shared" si="1342"/>
        <v>0</v>
      </c>
      <c r="AO82" s="54"/>
      <c r="AP82" s="51">
        <f t="shared" si="1234"/>
        <v>1</v>
      </c>
      <c r="AQ82" s="51"/>
      <c r="AR82" s="51">
        <f t="shared" si="1343"/>
        <v>0</v>
      </c>
      <c r="AS82" s="54"/>
      <c r="AT82" s="51">
        <f t="shared" si="1235"/>
        <v>1</v>
      </c>
      <c r="AU82" s="51"/>
      <c r="AV82" s="51">
        <f t="shared" si="1344"/>
        <v>0</v>
      </c>
      <c r="AW82" s="54"/>
      <c r="AX82" s="51">
        <f t="shared" si="1236"/>
        <v>1</v>
      </c>
      <c r="AY82" s="51"/>
      <c r="AZ82" s="51">
        <f t="shared" si="1345"/>
        <v>0</v>
      </c>
      <c r="BA82" s="54"/>
      <c r="BB82" s="51">
        <f t="shared" si="1213"/>
        <v>1</v>
      </c>
      <c r="BC82" s="51"/>
      <c r="BD82" s="51">
        <f t="shared" si="1346"/>
        <v>0</v>
      </c>
      <c r="BE82" s="54"/>
      <c r="BF82" s="51">
        <f t="shared" si="1237"/>
        <v>1</v>
      </c>
      <c r="BG82" s="51"/>
      <c r="BH82" s="51">
        <f t="shared" si="1347"/>
        <v>0</v>
      </c>
      <c r="BI82" s="54"/>
      <c r="BJ82" s="51">
        <f t="shared" si="1238"/>
        <v>1</v>
      </c>
      <c r="BK82" s="51">
        <f t="shared" si="1239"/>
        <v>0</v>
      </c>
      <c r="BL82" s="51">
        <f t="shared" si="1348"/>
        <v>0</v>
      </c>
      <c r="BM82" s="54"/>
      <c r="BN82" s="51">
        <f t="shared" si="1240"/>
        <v>1</v>
      </c>
      <c r="BO82" s="51">
        <f t="shared" si="1241"/>
        <v>0</v>
      </c>
      <c r="BP82" s="51">
        <f t="shared" si="1349"/>
        <v>0</v>
      </c>
      <c r="BQ82" s="54"/>
      <c r="BR82" s="51">
        <f t="shared" si="1242"/>
        <v>1</v>
      </c>
      <c r="BS82" s="51">
        <f t="shared" si="1243"/>
        <v>0</v>
      </c>
      <c r="BT82" s="51">
        <f t="shared" si="1350"/>
        <v>0</v>
      </c>
      <c r="BU82" s="54"/>
      <c r="BV82" s="51">
        <f t="shared" si="1244"/>
        <v>1</v>
      </c>
      <c r="BW82" s="51">
        <f t="shared" si="1245"/>
        <v>0</v>
      </c>
      <c r="BX82" s="51">
        <f t="shared" si="1351"/>
        <v>0</v>
      </c>
      <c r="BY82" s="54"/>
      <c r="BZ82" s="51">
        <f t="shared" si="1246"/>
        <v>1</v>
      </c>
      <c r="CA82" s="51">
        <f t="shared" si="1247"/>
        <v>0</v>
      </c>
      <c r="CB82" s="51">
        <f t="shared" si="1352"/>
        <v>0</v>
      </c>
      <c r="CC82" s="54"/>
      <c r="CD82" s="51">
        <f t="shared" si="1248"/>
        <v>1</v>
      </c>
      <c r="CE82" s="51">
        <f t="shared" si="1249"/>
        <v>0</v>
      </c>
      <c r="CF82" s="51">
        <f t="shared" si="1353"/>
        <v>0</v>
      </c>
      <c r="CG82" s="54"/>
      <c r="CH82" s="51">
        <f t="shared" si="1250"/>
        <v>1</v>
      </c>
      <c r="CI82" s="51">
        <f t="shared" si="1251"/>
        <v>0</v>
      </c>
      <c r="CJ82" s="51">
        <f t="shared" si="1354"/>
        <v>0</v>
      </c>
      <c r="CK82" s="54"/>
      <c r="CL82" s="51">
        <f t="shared" si="1252"/>
        <v>1</v>
      </c>
      <c r="CM82" s="51">
        <f t="shared" si="1253"/>
        <v>0</v>
      </c>
      <c r="CN82" s="51">
        <f t="shared" si="1355"/>
        <v>0</v>
      </c>
      <c r="CO82" s="54"/>
      <c r="CP82" s="51">
        <f t="shared" si="1254"/>
        <v>1</v>
      </c>
      <c r="CQ82" s="51">
        <f t="shared" si="1255"/>
        <v>0</v>
      </c>
      <c r="CR82" s="51">
        <f t="shared" si="1356"/>
        <v>0</v>
      </c>
      <c r="CS82" s="54"/>
      <c r="CT82" s="51">
        <f t="shared" si="1256"/>
        <v>1</v>
      </c>
      <c r="CU82" s="51">
        <f t="shared" si="1257"/>
        <v>0</v>
      </c>
      <c r="CV82" s="51">
        <f t="shared" si="1357"/>
        <v>0</v>
      </c>
      <c r="CW82" s="54"/>
      <c r="CX82" s="51">
        <f t="shared" si="1214"/>
        <v>1</v>
      </c>
      <c r="CY82" s="51">
        <f t="shared" si="1215"/>
        <v>0</v>
      </c>
      <c r="CZ82" s="51">
        <f t="shared" si="1358"/>
        <v>0</v>
      </c>
      <c r="DA82" s="54"/>
      <c r="DB82" s="51">
        <f t="shared" si="1258"/>
        <v>1</v>
      </c>
      <c r="DC82" s="51">
        <f t="shared" si="1259"/>
        <v>0</v>
      </c>
      <c r="DD82" s="51">
        <f t="shared" si="1359"/>
        <v>0</v>
      </c>
      <c r="DE82" s="54"/>
      <c r="DF82" s="51">
        <f t="shared" si="1260"/>
        <v>1</v>
      </c>
      <c r="DG82" s="51">
        <f t="shared" si="1261"/>
        <v>0</v>
      </c>
      <c r="DH82" s="51">
        <f t="shared" si="1360"/>
        <v>0</v>
      </c>
      <c r="DI82" s="54"/>
      <c r="DJ82" s="51">
        <f t="shared" si="1262"/>
        <v>1</v>
      </c>
      <c r="DK82" s="51">
        <f t="shared" si="1263"/>
        <v>0</v>
      </c>
      <c r="DL82" s="51">
        <f t="shared" si="1361"/>
        <v>0</v>
      </c>
      <c r="DM82" s="54"/>
      <c r="DN82" s="51">
        <f t="shared" si="1264"/>
        <v>1</v>
      </c>
      <c r="DO82" s="51">
        <f t="shared" si="1265"/>
        <v>0</v>
      </c>
      <c r="DP82" s="51">
        <f t="shared" si="1362"/>
        <v>0</v>
      </c>
      <c r="DQ82" s="54"/>
      <c r="DR82" s="51">
        <f t="shared" si="1266"/>
        <v>1</v>
      </c>
      <c r="DS82" s="51">
        <f t="shared" si="1267"/>
        <v>0</v>
      </c>
      <c r="DT82" s="51">
        <f t="shared" si="1363"/>
        <v>0</v>
      </c>
      <c r="DU82" s="54"/>
      <c r="DV82" s="51">
        <f t="shared" si="1268"/>
        <v>1</v>
      </c>
      <c r="DW82" s="51">
        <f t="shared" si="1269"/>
        <v>0</v>
      </c>
      <c r="DX82" s="51">
        <f t="shared" si="1364"/>
        <v>0</v>
      </c>
      <c r="DY82" s="54"/>
      <c r="DZ82" s="51">
        <f t="shared" si="1270"/>
        <v>1</v>
      </c>
      <c r="EA82" s="51">
        <f t="shared" si="1271"/>
        <v>0</v>
      </c>
      <c r="EB82" s="51">
        <f t="shared" si="1365"/>
        <v>0</v>
      </c>
      <c r="EC82" s="54"/>
      <c r="ED82" s="51">
        <f t="shared" si="1272"/>
        <v>1</v>
      </c>
      <c r="EE82" s="51">
        <f t="shared" si="1273"/>
        <v>0</v>
      </c>
      <c r="EF82" s="51">
        <f t="shared" si="1366"/>
        <v>0</v>
      </c>
      <c r="EG82" s="54"/>
      <c r="EH82" s="51">
        <f t="shared" si="1274"/>
        <v>1</v>
      </c>
      <c r="EI82" s="51">
        <f t="shared" si="1275"/>
        <v>0</v>
      </c>
      <c r="EJ82" s="51">
        <f t="shared" si="1367"/>
        <v>0</v>
      </c>
      <c r="EK82" s="54"/>
      <c r="EL82" s="51">
        <f t="shared" si="1276"/>
        <v>1</v>
      </c>
      <c r="EM82" s="51">
        <f t="shared" si="1277"/>
        <v>0</v>
      </c>
      <c r="EN82" s="51">
        <f t="shared" si="1368"/>
        <v>0</v>
      </c>
      <c r="EO82" s="54"/>
      <c r="EP82" s="51">
        <f t="shared" si="1278"/>
        <v>1</v>
      </c>
      <c r="EQ82" s="51">
        <f t="shared" si="1279"/>
        <v>0</v>
      </c>
      <c r="ER82" s="51">
        <f t="shared" si="1369"/>
        <v>0</v>
      </c>
      <c r="ES82" s="54"/>
      <c r="ET82" s="51">
        <f t="shared" si="1216"/>
        <v>1</v>
      </c>
      <c r="EU82" s="51">
        <f t="shared" si="1217"/>
        <v>0</v>
      </c>
      <c r="EV82" s="51">
        <f t="shared" si="1370"/>
        <v>0</v>
      </c>
      <c r="EW82" s="54"/>
      <c r="EX82" s="51">
        <f t="shared" si="1280"/>
        <v>1</v>
      </c>
      <c r="EY82" s="51">
        <f t="shared" si="1281"/>
        <v>0</v>
      </c>
      <c r="EZ82" s="51">
        <f t="shared" si="1371"/>
        <v>0</v>
      </c>
      <c r="FA82" s="54"/>
      <c r="FB82" s="51">
        <f t="shared" si="1282"/>
        <v>1</v>
      </c>
      <c r="FC82" s="51">
        <f t="shared" si="1283"/>
        <v>0</v>
      </c>
      <c r="FD82" s="51">
        <f t="shared" si="1372"/>
        <v>0</v>
      </c>
      <c r="FE82" s="54"/>
      <c r="FF82" s="51">
        <f t="shared" si="1284"/>
        <v>1</v>
      </c>
      <c r="FG82" s="51">
        <f t="shared" si="1285"/>
        <v>0</v>
      </c>
      <c r="FH82" s="51">
        <f t="shared" si="1373"/>
        <v>0</v>
      </c>
      <c r="FI82" s="54"/>
      <c r="FJ82" s="51">
        <f t="shared" si="1286"/>
        <v>1</v>
      </c>
      <c r="FK82" s="51">
        <f t="shared" si="1287"/>
        <v>0</v>
      </c>
      <c r="FL82" s="51">
        <f t="shared" si="1374"/>
        <v>0</v>
      </c>
      <c r="FM82" s="54"/>
      <c r="FN82" s="51">
        <f t="shared" si="1288"/>
        <v>1</v>
      </c>
      <c r="FO82" s="51">
        <f t="shared" si="1289"/>
        <v>0</v>
      </c>
      <c r="FP82" s="51">
        <f t="shared" si="1375"/>
        <v>0</v>
      </c>
      <c r="FQ82" s="54"/>
      <c r="FR82" s="51">
        <f t="shared" si="1290"/>
        <v>1</v>
      </c>
      <c r="FS82" s="51">
        <f t="shared" si="1291"/>
        <v>0</v>
      </c>
      <c r="FT82" s="51">
        <f t="shared" si="1376"/>
        <v>0</v>
      </c>
      <c r="FU82" s="54"/>
      <c r="FV82" s="51">
        <f t="shared" si="1292"/>
        <v>1</v>
      </c>
      <c r="FW82" s="51">
        <f t="shared" si="1293"/>
        <v>0</v>
      </c>
      <c r="FX82" s="51">
        <f t="shared" si="1377"/>
        <v>0</v>
      </c>
      <c r="FY82" s="54"/>
      <c r="FZ82" s="51">
        <f t="shared" si="1294"/>
        <v>1</v>
      </c>
      <c r="GA82" s="51">
        <f t="shared" si="1295"/>
        <v>0</v>
      </c>
      <c r="GB82" s="51">
        <f t="shared" si="1378"/>
        <v>0</v>
      </c>
      <c r="GC82" s="54"/>
      <c r="GD82" s="51">
        <f t="shared" si="1296"/>
        <v>1</v>
      </c>
      <c r="GE82" s="51">
        <f t="shared" si="1297"/>
        <v>0</v>
      </c>
      <c r="GF82" s="51">
        <f t="shared" si="1379"/>
        <v>0</v>
      </c>
      <c r="GG82" s="54"/>
      <c r="GH82" s="51">
        <f t="shared" si="1298"/>
        <v>1</v>
      </c>
      <c r="GI82" s="51">
        <f t="shared" si="1299"/>
        <v>0</v>
      </c>
      <c r="GJ82" s="51">
        <f t="shared" si="1380"/>
        <v>0</v>
      </c>
      <c r="GK82" s="54"/>
      <c r="GL82" s="51">
        <f t="shared" si="1300"/>
        <v>1</v>
      </c>
      <c r="GM82" s="51">
        <f t="shared" si="1301"/>
        <v>0</v>
      </c>
      <c r="GN82" s="51">
        <f t="shared" si="1381"/>
        <v>0</v>
      </c>
      <c r="GP82" s="51">
        <f t="shared" si="1218"/>
        <v>1</v>
      </c>
      <c r="GQ82" s="51">
        <f t="shared" si="1219"/>
        <v>0</v>
      </c>
      <c r="GR82" s="51">
        <f t="shared" si="1382"/>
        <v>0</v>
      </c>
      <c r="GS82" s="54"/>
      <c r="GT82" s="51">
        <f t="shared" si="1302"/>
        <v>1</v>
      </c>
      <c r="GU82" s="51">
        <f t="shared" si="1303"/>
        <v>0</v>
      </c>
      <c r="GV82" s="51">
        <f t="shared" si="1383"/>
        <v>0</v>
      </c>
      <c r="GW82" s="54"/>
      <c r="GX82" s="51">
        <f t="shared" si="1304"/>
        <v>1</v>
      </c>
      <c r="GY82" s="51">
        <f t="shared" si="1305"/>
        <v>0</v>
      </c>
      <c r="GZ82" s="51">
        <f t="shared" si="1384"/>
        <v>0</v>
      </c>
      <c r="HA82" s="54"/>
      <c r="HB82" s="51">
        <f t="shared" si="1306"/>
        <v>1</v>
      </c>
      <c r="HC82" s="51">
        <f t="shared" si="1307"/>
        <v>0</v>
      </c>
      <c r="HD82" s="51">
        <f t="shared" si="1385"/>
        <v>0</v>
      </c>
      <c r="HE82" s="54"/>
      <c r="HF82" s="51">
        <f t="shared" si="1308"/>
        <v>1</v>
      </c>
      <c r="HG82" s="51">
        <f t="shared" si="1309"/>
        <v>0</v>
      </c>
      <c r="HH82" s="51">
        <f t="shared" si="1386"/>
        <v>0</v>
      </c>
      <c r="HI82" s="54"/>
      <c r="HJ82" s="51">
        <f t="shared" si="1310"/>
        <v>1</v>
      </c>
      <c r="HK82" s="51">
        <f t="shared" si="1311"/>
        <v>0</v>
      </c>
      <c r="HL82" s="51">
        <f t="shared" si="1387"/>
        <v>0</v>
      </c>
      <c r="HM82" s="54"/>
      <c r="HN82" s="51">
        <f t="shared" si="1312"/>
        <v>1</v>
      </c>
      <c r="HO82" s="51">
        <f t="shared" si="1313"/>
        <v>0</v>
      </c>
      <c r="HP82" s="51">
        <f t="shared" si="1388"/>
        <v>0</v>
      </c>
      <c r="HQ82" s="54"/>
      <c r="HR82" s="51">
        <f t="shared" si="1314"/>
        <v>1</v>
      </c>
      <c r="HS82" s="51">
        <f t="shared" si="1315"/>
        <v>0</v>
      </c>
      <c r="HT82" s="51">
        <f t="shared" si="1389"/>
        <v>0</v>
      </c>
      <c r="HU82" s="54"/>
      <c r="HV82" s="51">
        <f t="shared" si="1316"/>
        <v>1</v>
      </c>
      <c r="HW82" s="51">
        <f t="shared" si="1317"/>
        <v>0</v>
      </c>
      <c r="HX82" s="51">
        <f t="shared" si="1390"/>
        <v>0</v>
      </c>
      <c r="HY82" s="54"/>
      <c r="HZ82" s="51">
        <f t="shared" si="1318"/>
        <v>1</v>
      </c>
      <c r="IA82" s="51">
        <f t="shared" si="1319"/>
        <v>0</v>
      </c>
      <c r="IB82" s="51">
        <f t="shared" si="1391"/>
        <v>0</v>
      </c>
      <c r="IC82" s="54"/>
      <c r="ID82" s="51">
        <f t="shared" si="1320"/>
        <v>1</v>
      </c>
      <c r="IE82" s="51">
        <f t="shared" si="1321"/>
        <v>0</v>
      </c>
      <c r="IF82" s="51">
        <f t="shared" si="1392"/>
        <v>0</v>
      </c>
      <c r="IG82" s="54"/>
      <c r="IH82" s="51">
        <f t="shared" si="1322"/>
        <v>1</v>
      </c>
      <c r="II82" s="51">
        <f t="shared" si="1323"/>
        <v>0</v>
      </c>
      <c r="IJ82" s="51">
        <f t="shared" si="1393"/>
        <v>0</v>
      </c>
      <c r="IL82" s="51">
        <f t="shared" si="1220"/>
        <v>1</v>
      </c>
      <c r="IM82" s="51">
        <f t="shared" si="1221"/>
        <v>0</v>
      </c>
      <c r="IN82" s="51">
        <f t="shared" si="1394"/>
        <v>0</v>
      </c>
      <c r="IO82" s="54"/>
      <c r="IP82" s="51">
        <f t="shared" si="1324"/>
        <v>1</v>
      </c>
      <c r="IQ82" s="51">
        <f t="shared" si="1325"/>
        <v>0</v>
      </c>
      <c r="IR82" s="51">
        <f t="shared" si="1395"/>
        <v>0</v>
      </c>
      <c r="IS82" s="54"/>
      <c r="IT82" s="51">
        <f t="shared" si="1326"/>
        <v>1</v>
      </c>
      <c r="IU82" s="51">
        <f t="shared" si="1327"/>
        <v>0</v>
      </c>
      <c r="IV82" s="51">
        <f t="shared" si="1396"/>
        <v>0</v>
      </c>
      <c r="IW82" s="54"/>
      <c r="IX82" s="51">
        <f t="shared" si="1328"/>
        <v>1</v>
      </c>
      <c r="IY82" s="51">
        <f t="shared" si="1329"/>
        <v>0</v>
      </c>
      <c r="IZ82" s="51">
        <f t="shared" si="1397"/>
        <v>0</v>
      </c>
      <c r="JA82" s="54"/>
      <c r="JB82" s="51" t="e">
        <f t="shared" si="1330"/>
        <v>#REF!</v>
      </c>
      <c r="JC82" s="51">
        <f t="shared" si="1331"/>
        <v>0</v>
      </c>
      <c r="JD82" s="51">
        <f t="shared" si="1398"/>
        <v>0</v>
      </c>
      <c r="JE82" s="54"/>
      <c r="JF82" s="51" t="e">
        <f t="shared" si="1332"/>
        <v>#REF!</v>
      </c>
      <c r="JG82" s="51">
        <f t="shared" si="1333"/>
        <v>0</v>
      </c>
      <c r="JH82" s="51">
        <f t="shared" si="1399"/>
        <v>0</v>
      </c>
      <c r="JI82" s="54"/>
      <c r="JJ82" s="51" t="e">
        <f t="shared" si="1334"/>
        <v>#REF!</v>
      </c>
      <c r="JK82" s="51">
        <f t="shared" si="1335"/>
        <v>0</v>
      </c>
      <c r="JL82" s="51">
        <f t="shared" si="1400"/>
        <v>0</v>
      </c>
      <c r="JM82" s="54"/>
      <c r="JO82" s="80"/>
      <c r="JP82" s="80"/>
      <c r="JQ82" s="80">
        <f t="shared" si="1222"/>
        <v>0</v>
      </c>
      <c r="JS82" s="80"/>
      <c r="JT82" s="80"/>
      <c r="JU82" s="80">
        <f t="shared" si="1223"/>
        <v>0</v>
      </c>
      <c r="JW82" s="80"/>
      <c r="JX82" s="80"/>
      <c r="JY82" s="80">
        <f t="shared" si="1224"/>
        <v>0</v>
      </c>
      <c r="KA82" s="80"/>
      <c r="KB82" s="80"/>
      <c r="KC82" s="80">
        <f t="shared" si="1225"/>
        <v>0</v>
      </c>
      <c r="KE82" s="80"/>
      <c r="KF82" s="80"/>
      <c r="KG82" s="80">
        <f t="shared" si="1226"/>
        <v>0</v>
      </c>
      <c r="KI82" s="80"/>
      <c r="KJ82" s="80"/>
      <c r="KK82" s="80">
        <f t="shared" si="1227"/>
        <v>0</v>
      </c>
      <c r="KM82" s="80"/>
      <c r="KN82" s="80"/>
      <c r="KO82" s="80">
        <f t="shared" si="1228"/>
        <v>0</v>
      </c>
    </row>
    <row r="83" ht="18.75" customHeight="1" spans="2:301" x14ac:dyDescent="0.25">
      <c r="B83" s="5" t="str">
        <f>A.IIOPEX!C83</f>
        <v>6o</v>
      </c>
      <c r="C83" s="27"/>
      <c r="D83" s="29">
        <f>A.IIOPEX!E83</f>
        <v>0</v>
      </c>
      <c r="E83" s="30"/>
      <c r="F83" s="51">
        <v>1</v>
      </c>
      <c r="G83" s="51"/>
      <c r="H83" s="51">
        <f>A.IIOPEX!I83</f>
        <v>0</v>
      </c>
      <c r="I83" s="54"/>
      <c r="J83" s="51">
        <f t="shared" si="1208"/>
        <v>1</v>
      </c>
      <c r="K83" s="51"/>
      <c r="L83" s="51">
        <f t="shared" si="1229"/>
        <v>0</v>
      </c>
      <c r="M83" s="54"/>
      <c r="N83" s="51">
        <f t="shared" si="1209"/>
        <v>1</v>
      </c>
      <c r="O83" s="51">
        <v>0</v>
      </c>
      <c r="P83" s="51">
        <f t="shared" si="1230"/>
        <v>0</v>
      </c>
      <c r="Q83" s="54"/>
      <c r="R83" s="51">
        <f t="shared" si="1210"/>
        <v>1</v>
      </c>
      <c r="S83" s="51">
        <v>0</v>
      </c>
      <c r="T83" s="51">
        <f t="shared" si="1336"/>
        <v>0</v>
      </c>
      <c r="U83" s="54"/>
      <c r="V83" s="51">
        <f t="shared" si="1211"/>
        <v>1</v>
      </c>
      <c r="W83" s="51">
        <v>0</v>
      </c>
      <c r="X83" s="51">
        <f t="shared" si="1337"/>
        <v>0</v>
      </c>
      <c r="Y83" s="54"/>
      <c r="Z83" s="51">
        <f t="shared" si="1212"/>
        <v>1</v>
      </c>
      <c r="AA83" s="51">
        <v>0</v>
      </c>
      <c r="AB83" s="51">
        <f t="shared" si="1338"/>
        <v>0</v>
      </c>
      <c r="AC83" s="54"/>
      <c r="AD83" s="51">
        <f t="shared" si="1339"/>
        <v>1</v>
      </c>
      <c r="AE83" s="51">
        <v>0</v>
      </c>
      <c r="AF83" s="51">
        <f t="shared" si="1340"/>
        <v>0</v>
      </c>
      <c r="AG83" s="54"/>
      <c r="AH83" s="51">
        <f t="shared" si="1232"/>
        <v>1</v>
      </c>
      <c r="AI83" s="51"/>
      <c r="AJ83" s="51">
        <f t="shared" si="1341"/>
        <v>0</v>
      </c>
      <c r="AK83" s="54"/>
      <c r="AL83" s="51">
        <f t="shared" si="1233"/>
        <v>1</v>
      </c>
      <c r="AM83" s="51"/>
      <c r="AN83" s="51">
        <f t="shared" si="1342"/>
        <v>0</v>
      </c>
      <c r="AO83" s="54"/>
      <c r="AP83" s="51">
        <f t="shared" si="1234"/>
        <v>1</v>
      </c>
      <c r="AQ83" s="51"/>
      <c r="AR83" s="51">
        <f t="shared" si="1343"/>
        <v>0</v>
      </c>
      <c r="AS83" s="54"/>
      <c r="AT83" s="51">
        <f t="shared" si="1235"/>
        <v>1</v>
      </c>
      <c r="AU83" s="51"/>
      <c r="AV83" s="51">
        <f t="shared" si="1344"/>
        <v>0</v>
      </c>
      <c r="AW83" s="54"/>
      <c r="AX83" s="51">
        <f t="shared" si="1236"/>
        <v>1</v>
      </c>
      <c r="AY83" s="51"/>
      <c r="AZ83" s="51">
        <f t="shared" si="1345"/>
        <v>0</v>
      </c>
      <c r="BA83" s="54"/>
      <c r="BB83" s="51">
        <f t="shared" si="1213"/>
        <v>1</v>
      </c>
      <c r="BC83" s="51"/>
      <c r="BD83" s="51">
        <f t="shared" si="1346"/>
        <v>0</v>
      </c>
      <c r="BE83" s="54"/>
      <c r="BF83" s="51">
        <f t="shared" si="1237"/>
        <v>1</v>
      </c>
      <c r="BG83" s="51"/>
      <c r="BH83" s="51">
        <f t="shared" si="1347"/>
        <v>0</v>
      </c>
      <c r="BI83" s="54"/>
      <c r="BJ83" s="51">
        <f t="shared" si="1238"/>
        <v>1</v>
      </c>
      <c r="BK83" s="51">
        <f t="shared" si="1239"/>
        <v>0</v>
      </c>
      <c r="BL83" s="51">
        <f t="shared" si="1348"/>
        <v>0</v>
      </c>
      <c r="BM83" s="54"/>
      <c r="BN83" s="51">
        <f t="shared" si="1240"/>
        <v>1</v>
      </c>
      <c r="BO83" s="51">
        <f t="shared" si="1241"/>
        <v>0</v>
      </c>
      <c r="BP83" s="51">
        <f t="shared" si="1349"/>
        <v>0</v>
      </c>
      <c r="BQ83" s="54"/>
      <c r="BR83" s="51">
        <f t="shared" si="1242"/>
        <v>1</v>
      </c>
      <c r="BS83" s="51">
        <f t="shared" si="1243"/>
        <v>0</v>
      </c>
      <c r="BT83" s="51">
        <f t="shared" si="1350"/>
        <v>0</v>
      </c>
      <c r="BU83" s="54"/>
      <c r="BV83" s="51">
        <f t="shared" si="1244"/>
        <v>1</v>
      </c>
      <c r="BW83" s="51">
        <f t="shared" si="1245"/>
        <v>0</v>
      </c>
      <c r="BX83" s="51">
        <f t="shared" si="1351"/>
        <v>0</v>
      </c>
      <c r="BY83" s="54"/>
      <c r="BZ83" s="51">
        <f t="shared" si="1246"/>
        <v>1</v>
      </c>
      <c r="CA83" s="51">
        <f t="shared" si="1247"/>
        <v>0</v>
      </c>
      <c r="CB83" s="51">
        <f t="shared" si="1352"/>
        <v>0</v>
      </c>
      <c r="CC83" s="54"/>
      <c r="CD83" s="51">
        <f t="shared" si="1248"/>
        <v>1</v>
      </c>
      <c r="CE83" s="51">
        <f t="shared" si="1249"/>
        <v>0</v>
      </c>
      <c r="CF83" s="51">
        <f t="shared" si="1353"/>
        <v>0</v>
      </c>
      <c r="CG83" s="54"/>
      <c r="CH83" s="51">
        <f t="shared" si="1250"/>
        <v>1</v>
      </c>
      <c r="CI83" s="51">
        <f t="shared" si="1251"/>
        <v>0</v>
      </c>
      <c r="CJ83" s="51">
        <f t="shared" si="1354"/>
        <v>0</v>
      </c>
      <c r="CK83" s="54"/>
      <c r="CL83" s="51">
        <f t="shared" si="1252"/>
        <v>1</v>
      </c>
      <c r="CM83" s="51">
        <f t="shared" si="1253"/>
        <v>0</v>
      </c>
      <c r="CN83" s="51">
        <f t="shared" si="1355"/>
        <v>0</v>
      </c>
      <c r="CO83" s="54"/>
      <c r="CP83" s="51">
        <f t="shared" si="1254"/>
        <v>1</v>
      </c>
      <c r="CQ83" s="51">
        <f t="shared" si="1255"/>
        <v>0</v>
      </c>
      <c r="CR83" s="51">
        <f t="shared" si="1356"/>
        <v>0</v>
      </c>
      <c r="CS83" s="54"/>
      <c r="CT83" s="51">
        <f t="shared" si="1256"/>
        <v>1</v>
      </c>
      <c r="CU83" s="51">
        <f t="shared" si="1257"/>
        <v>0</v>
      </c>
      <c r="CV83" s="51">
        <f t="shared" si="1357"/>
        <v>0</v>
      </c>
      <c r="CW83" s="54"/>
      <c r="CX83" s="51">
        <f t="shared" si="1214"/>
        <v>1</v>
      </c>
      <c r="CY83" s="51">
        <f t="shared" si="1215"/>
        <v>0</v>
      </c>
      <c r="CZ83" s="51">
        <f t="shared" si="1358"/>
        <v>0</v>
      </c>
      <c r="DA83" s="54"/>
      <c r="DB83" s="51">
        <f t="shared" si="1258"/>
        <v>1</v>
      </c>
      <c r="DC83" s="51">
        <f t="shared" si="1259"/>
        <v>0</v>
      </c>
      <c r="DD83" s="51">
        <f t="shared" si="1359"/>
        <v>0</v>
      </c>
      <c r="DE83" s="54"/>
      <c r="DF83" s="51">
        <f t="shared" si="1260"/>
        <v>1</v>
      </c>
      <c r="DG83" s="51">
        <f t="shared" si="1261"/>
        <v>0</v>
      </c>
      <c r="DH83" s="51">
        <f t="shared" si="1360"/>
        <v>0</v>
      </c>
      <c r="DI83" s="54"/>
      <c r="DJ83" s="51">
        <f t="shared" si="1262"/>
        <v>1</v>
      </c>
      <c r="DK83" s="51">
        <f t="shared" si="1263"/>
        <v>0</v>
      </c>
      <c r="DL83" s="51">
        <f t="shared" si="1361"/>
        <v>0</v>
      </c>
      <c r="DM83" s="54"/>
      <c r="DN83" s="51">
        <f t="shared" si="1264"/>
        <v>1</v>
      </c>
      <c r="DO83" s="51">
        <f t="shared" si="1265"/>
        <v>0</v>
      </c>
      <c r="DP83" s="51">
        <f t="shared" si="1362"/>
        <v>0</v>
      </c>
      <c r="DQ83" s="54"/>
      <c r="DR83" s="51">
        <f t="shared" si="1266"/>
        <v>1</v>
      </c>
      <c r="DS83" s="51">
        <f t="shared" si="1267"/>
        <v>0</v>
      </c>
      <c r="DT83" s="51">
        <f t="shared" si="1363"/>
        <v>0</v>
      </c>
      <c r="DU83" s="54"/>
      <c r="DV83" s="51">
        <f t="shared" si="1268"/>
        <v>1</v>
      </c>
      <c r="DW83" s="51">
        <f t="shared" si="1269"/>
        <v>0</v>
      </c>
      <c r="DX83" s="51">
        <f t="shared" si="1364"/>
        <v>0</v>
      </c>
      <c r="DY83" s="54"/>
      <c r="DZ83" s="51">
        <f t="shared" si="1270"/>
        <v>1</v>
      </c>
      <c r="EA83" s="51">
        <f t="shared" si="1271"/>
        <v>0</v>
      </c>
      <c r="EB83" s="51">
        <f t="shared" si="1365"/>
        <v>0</v>
      </c>
      <c r="EC83" s="54"/>
      <c r="ED83" s="51">
        <f t="shared" si="1272"/>
        <v>1</v>
      </c>
      <c r="EE83" s="51">
        <f t="shared" si="1273"/>
        <v>0</v>
      </c>
      <c r="EF83" s="51">
        <f t="shared" si="1366"/>
        <v>0</v>
      </c>
      <c r="EG83" s="54"/>
      <c r="EH83" s="51">
        <f t="shared" si="1274"/>
        <v>1</v>
      </c>
      <c r="EI83" s="51">
        <f t="shared" si="1275"/>
        <v>0</v>
      </c>
      <c r="EJ83" s="51">
        <f t="shared" si="1367"/>
        <v>0</v>
      </c>
      <c r="EK83" s="54"/>
      <c r="EL83" s="51">
        <f t="shared" si="1276"/>
        <v>1</v>
      </c>
      <c r="EM83" s="51">
        <f t="shared" si="1277"/>
        <v>0</v>
      </c>
      <c r="EN83" s="51">
        <f t="shared" si="1368"/>
        <v>0</v>
      </c>
      <c r="EO83" s="54"/>
      <c r="EP83" s="51">
        <f t="shared" si="1278"/>
        <v>1</v>
      </c>
      <c r="EQ83" s="51">
        <f t="shared" si="1279"/>
        <v>0</v>
      </c>
      <c r="ER83" s="51">
        <f t="shared" si="1369"/>
        <v>0</v>
      </c>
      <c r="ES83" s="54"/>
      <c r="ET83" s="51">
        <f t="shared" si="1216"/>
        <v>1</v>
      </c>
      <c r="EU83" s="51">
        <f t="shared" si="1217"/>
        <v>0</v>
      </c>
      <c r="EV83" s="51">
        <f t="shared" si="1370"/>
        <v>0</v>
      </c>
      <c r="EW83" s="54"/>
      <c r="EX83" s="51">
        <f t="shared" si="1280"/>
        <v>1</v>
      </c>
      <c r="EY83" s="51">
        <f t="shared" si="1281"/>
        <v>0</v>
      </c>
      <c r="EZ83" s="51">
        <f t="shared" si="1371"/>
        <v>0</v>
      </c>
      <c r="FA83" s="54"/>
      <c r="FB83" s="51">
        <f t="shared" si="1282"/>
        <v>1</v>
      </c>
      <c r="FC83" s="51">
        <f t="shared" si="1283"/>
        <v>0</v>
      </c>
      <c r="FD83" s="51">
        <f t="shared" si="1372"/>
        <v>0</v>
      </c>
      <c r="FE83" s="54"/>
      <c r="FF83" s="51">
        <f t="shared" si="1284"/>
        <v>1</v>
      </c>
      <c r="FG83" s="51">
        <f t="shared" si="1285"/>
        <v>0</v>
      </c>
      <c r="FH83" s="51">
        <f t="shared" si="1373"/>
        <v>0</v>
      </c>
      <c r="FI83" s="54"/>
      <c r="FJ83" s="51">
        <f t="shared" si="1286"/>
        <v>1</v>
      </c>
      <c r="FK83" s="51">
        <f t="shared" si="1287"/>
        <v>0</v>
      </c>
      <c r="FL83" s="51">
        <f t="shared" si="1374"/>
        <v>0</v>
      </c>
      <c r="FM83" s="54"/>
      <c r="FN83" s="51">
        <f t="shared" si="1288"/>
        <v>1</v>
      </c>
      <c r="FO83" s="51">
        <f t="shared" si="1289"/>
        <v>0</v>
      </c>
      <c r="FP83" s="51">
        <f t="shared" si="1375"/>
        <v>0</v>
      </c>
      <c r="FQ83" s="54"/>
      <c r="FR83" s="51">
        <f t="shared" si="1290"/>
        <v>1</v>
      </c>
      <c r="FS83" s="51">
        <f t="shared" si="1291"/>
        <v>0</v>
      </c>
      <c r="FT83" s="51">
        <f t="shared" si="1376"/>
        <v>0</v>
      </c>
      <c r="FU83" s="54"/>
      <c r="FV83" s="51">
        <f t="shared" si="1292"/>
        <v>1</v>
      </c>
      <c r="FW83" s="51">
        <f t="shared" si="1293"/>
        <v>0</v>
      </c>
      <c r="FX83" s="51">
        <f t="shared" si="1377"/>
        <v>0</v>
      </c>
      <c r="FY83" s="54"/>
      <c r="FZ83" s="51">
        <f t="shared" si="1294"/>
        <v>1</v>
      </c>
      <c r="GA83" s="51">
        <f t="shared" si="1295"/>
        <v>0</v>
      </c>
      <c r="GB83" s="51">
        <f t="shared" si="1378"/>
        <v>0</v>
      </c>
      <c r="GC83" s="54"/>
      <c r="GD83" s="51">
        <f t="shared" si="1296"/>
        <v>1</v>
      </c>
      <c r="GE83" s="51">
        <f t="shared" si="1297"/>
        <v>0</v>
      </c>
      <c r="GF83" s="51">
        <f t="shared" si="1379"/>
        <v>0</v>
      </c>
      <c r="GG83" s="54"/>
      <c r="GH83" s="51">
        <f t="shared" si="1298"/>
        <v>1</v>
      </c>
      <c r="GI83" s="51">
        <f t="shared" si="1299"/>
        <v>0</v>
      </c>
      <c r="GJ83" s="51">
        <f t="shared" si="1380"/>
        <v>0</v>
      </c>
      <c r="GK83" s="54"/>
      <c r="GL83" s="51">
        <f t="shared" si="1300"/>
        <v>1</v>
      </c>
      <c r="GM83" s="51">
        <f t="shared" si="1301"/>
        <v>0</v>
      </c>
      <c r="GN83" s="51">
        <f t="shared" si="1381"/>
        <v>0</v>
      </c>
      <c r="GP83" s="51">
        <f t="shared" si="1218"/>
        <v>1</v>
      </c>
      <c r="GQ83" s="51">
        <f t="shared" si="1219"/>
        <v>0</v>
      </c>
      <c r="GR83" s="51">
        <f t="shared" si="1382"/>
        <v>0</v>
      </c>
      <c r="GS83" s="54"/>
      <c r="GT83" s="51">
        <f t="shared" si="1302"/>
        <v>1</v>
      </c>
      <c r="GU83" s="51">
        <f t="shared" si="1303"/>
        <v>0</v>
      </c>
      <c r="GV83" s="51">
        <f t="shared" si="1383"/>
        <v>0</v>
      </c>
      <c r="GW83" s="54"/>
      <c r="GX83" s="51">
        <f t="shared" si="1304"/>
        <v>1</v>
      </c>
      <c r="GY83" s="51">
        <f t="shared" si="1305"/>
        <v>0</v>
      </c>
      <c r="GZ83" s="51">
        <f t="shared" si="1384"/>
        <v>0</v>
      </c>
      <c r="HA83" s="54"/>
      <c r="HB83" s="51">
        <f t="shared" si="1306"/>
        <v>1</v>
      </c>
      <c r="HC83" s="51">
        <f t="shared" si="1307"/>
        <v>0</v>
      </c>
      <c r="HD83" s="51">
        <f t="shared" si="1385"/>
        <v>0</v>
      </c>
      <c r="HE83" s="54"/>
      <c r="HF83" s="51">
        <f t="shared" si="1308"/>
        <v>1</v>
      </c>
      <c r="HG83" s="51">
        <f t="shared" si="1309"/>
        <v>0</v>
      </c>
      <c r="HH83" s="51">
        <f t="shared" si="1386"/>
        <v>0</v>
      </c>
      <c r="HI83" s="54"/>
      <c r="HJ83" s="51">
        <f t="shared" si="1310"/>
        <v>1</v>
      </c>
      <c r="HK83" s="51">
        <f t="shared" si="1311"/>
        <v>0</v>
      </c>
      <c r="HL83" s="51">
        <f t="shared" si="1387"/>
        <v>0</v>
      </c>
      <c r="HM83" s="54"/>
      <c r="HN83" s="51">
        <f t="shared" si="1312"/>
        <v>1</v>
      </c>
      <c r="HO83" s="51">
        <f t="shared" si="1313"/>
        <v>0</v>
      </c>
      <c r="HP83" s="51">
        <f t="shared" si="1388"/>
        <v>0</v>
      </c>
      <c r="HQ83" s="54"/>
      <c r="HR83" s="51">
        <f t="shared" si="1314"/>
        <v>1</v>
      </c>
      <c r="HS83" s="51">
        <f t="shared" si="1315"/>
        <v>0</v>
      </c>
      <c r="HT83" s="51">
        <f t="shared" si="1389"/>
        <v>0</v>
      </c>
      <c r="HU83" s="54"/>
      <c r="HV83" s="51">
        <f t="shared" si="1316"/>
        <v>1</v>
      </c>
      <c r="HW83" s="51">
        <f t="shared" si="1317"/>
        <v>0</v>
      </c>
      <c r="HX83" s="51">
        <f t="shared" si="1390"/>
        <v>0</v>
      </c>
      <c r="HY83" s="54"/>
      <c r="HZ83" s="51">
        <f t="shared" si="1318"/>
        <v>1</v>
      </c>
      <c r="IA83" s="51">
        <f t="shared" si="1319"/>
        <v>0</v>
      </c>
      <c r="IB83" s="51">
        <f t="shared" si="1391"/>
        <v>0</v>
      </c>
      <c r="IC83" s="54"/>
      <c r="ID83" s="51">
        <f t="shared" si="1320"/>
        <v>1</v>
      </c>
      <c r="IE83" s="51">
        <f t="shared" si="1321"/>
        <v>0</v>
      </c>
      <c r="IF83" s="51">
        <f t="shared" si="1392"/>
        <v>0</v>
      </c>
      <c r="IG83" s="54"/>
      <c r="IH83" s="51">
        <f t="shared" si="1322"/>
        <v>1</v>
      </c>
      <c r="II83" s="51">
        <f t="shared" si="1323"/>
        <v>0</v>
      </c>
      <c r="IJ83" s="51">
        <f t="shared" si="1393"/>
        <v>0</v>
      </c>
      <c r="IL83" s="51">
        <f t="shared" si="1220"/>
        <v>1</v>
      </c>
      <c r="IM83" s="51">
        <f t="shared" si="1221"/>
        <v>0</v>
      </c>
      <c r="IN83" s="51">
        <f t="shared" si="1394"/>
        <v>0</v>
      </c>
      <c r="IO83" s="54"/>
      <c r="IP83" s="51">
        <f t="shared" si="1324"/>
        <v>1</v>
      </c>
      <c r="IQ83" s="51">
        <f t="shared" si="1325"/>
        <v>0</v>
      </c>
      <c r="IR83" s="51">
        <f t="shared" si="1395"/>
        <v>0</v>
      </c>
      <c r="IS83" s="54"/>
      <c r="IT83" s="51">
        <f t="shared" si="1326"/>
        <v>1</v>
      </c>
      <c r="IU83" s="51">
        <f t="shared" si="1327"/>
        <v>0</v>
      </c>
      <c r="IV83" s="51">
        <f t="shared" si="1396"/>
        <v>0</v>
      </c>
      <c r="IW83" s="54"/>
      <c r="IX83" s="51">
        <f t="shared" si="1328"/>
        <v>1</v>
      </c>
      <c r="IY83" s="51">
        <f t="shared" si="1329"/>
        <v>0</v>
      </c>
      <c r="IZ83" s="51">
        <f t="shared" si="1397"/>
        <v>0</v>
      </c>
      <c r="JA83" s="54"/>
      <c r="JB83" s="51" t="e">
        <f t="shared" si="1330"/>
        <v>#REF!</v>
      </c>
      <c r="JC83" s="51">
        <f t="shared" si="1331"/>
        <v>0</v>
      </c>
      <c r="JD83" s="51">
        <f t="shared" si="1398"/>
        <v>0</v>
      </c>
      <c r="JE83" s="54"/>
      <c r="JF83" s="51" t="e">
        <f t="shared" si="1332"/>
        <v>#REF!</v>
      </c>
      <c r="JG83" s="51">
        <f t="shared" si="1333"/>
        <v>0</v>
      </c>
      <c r="JH83" s="51">
        <f t="shared" si="1399"/>
        <v>0</v>
      </c>
      <c r="JI83" s="54"/>
      <c r="JJ83" s="51" t="e">
        <f t="shared" si="1334"/>
        <v>#REF!</v>
      </c>
      <c r="JK83" s="51">
        <f t="shared" si="1335"/>
        <v>0</v>
      </c>
      <c r="JL83" s="51">
        <f t="shared" si="1400"/>
        <v>0</v>
      </c>
      <c r="JM83" s="54"/>
      <c r="JO83" s="80"/>
      <c r="JP83" s="80"/>
      <c r="JQ83" s="80">
        <f t="shared" si="1222"/>
        <v>0</v>
      </c>
      <c r="JS83" s="80"/>
      <c r="JT83" s="80"/>
      <c r="JU83" s="80">
        <f t="shared" si="1223"/>
        <v>0</v>
      </c>
      <c r="JW83" s="80"/>
      <c r="JX83" s="80"/>
      <c r="JY83" s="80">
        <f t="shared" si="1224"/>
        <v>0</v>
      </c>
      <c r="KA83" s="80"/>
      <c r="KB83" s="80"/>
      <c r="KC83" s="80">
        <f t="shared" si="1225"/>
        <v>0</v>
      </c>
      <c r="KE83" s="80"/>
      <c r="KF83" s="80"/>
      <c r="KG83" s="80">
        <f t="shared" si="1226"/>
        <v>0</v>
      </c>
      <c r="KI83" s="80"/>
      <c r="KJ83" s="80"/>
      <c r="KK83" s="80">
        <f t="shared" si="1227"/>
        <v>0</v>
      </c>
      <c r="KM83" s="80"/>
      <c r="KN83" s="80"/>
      <c r="KO83" s="80">
        <f t="shared" si="1228"/>
        <v>0</v>
      </c>
    </row>
    <row r="84" ht="18.75" customHeight="1" spans="2:301" x14ac:dyDescent="0.25">
      <c r="B84" s="5" t="str">
        <f>A.IIOPEX!C84</f>
        <v>6p</v>
      </c>
      <c r="C84" s="27"/>
      <c r="D84" s="29">
        <f>A.IIOPEX!E84</f>
        <v>0</v>
      </c>
      <c r="E84" s="30"/>
      <c r="F84" s="51">
        <v>1</v>
      </c>
      <c r="G84" s="51"/>
      <c r="H84" s="51">
        <f>A.IIOPEX!I84</f>
        <v>0</v>
      </c>
      <c r="I84" s="54"/>
      <c r="J84" s="51">
        <f t="shared" si="1208"/>
        <v>1</v>
      </c>
      <c r="K84" s="51"/>
      <c r="L84" s="51">
        <f t="shared" si="1229"/>
        <v>0</v>
      </c>
      <c r="M84" s="54"/>
      <c r="N84" s="51">
        <f t="shared" si="1209"/>
        <v>1</v>
      </c>
      <c r="O84" s="51">
        <v>0</v>
      </c>
      <c r="P84" s="51">
        <f t="shared" si="1230"/>
        <v>0</v>
      </c>
      <c r="Q84" s="54"/>
      <c r="R84" s="51">
        <f t="shared" si="1210"/>
        <v>1</v>
      </c>
      <c r="S84" s="51">
        <v>0</v>
      </c>
      <c r="T84" s="51">
        <f t="shared" si="1336"/>
        <v>0</v>
      </c>
      <c r="U84" s="54"/>
      <c r="V84" s="51">
        <f t="shared" si="1211"/>
        <v>1</v>
      </c>
      <c r="W84" s="51">
        <v>0</v>
      </c>
      <c r="X84" s="51">
        <f t="shared" si="1337"/>
        <v>0</v>
      </c>
      <c r="Y84" s="54"/>
      <c r="Z84" s="51">
        <f t="shared" si="1212"/>
        <v>1</v>
      </c>
      <c r="AA84" s="51">
        <v>0</v>
      </c>
      <c r="AB84" s="51">
        <f t="shared" si="1338"/>
        <v>0</v>
      </c>
      <c r="AC84" s="54"/>
      <c r="AD84" s="51">
        <f t="shared" si="1339"/>
        <v>1</v>
      </c>
      <c r="AE84" s="51">
        <v>0</v>
      </c>
      <c r="AF84" s="51">
        <f t="shared" si="1340"/>
        <v>0</v>
      </c>
      <c r="AG84" s="54"/>
      <c r="AH84" s="51">
        <f t="shared" si="1232"/>
        <v>1</v>
      </c>
      <c r="AI84" s="51"/>
      <c r="AJ84" s="51">
        <f t="shared" si="1341"/>
        <v>0</v>
      </c>
      <c r="AK84" s="54"/>
      <c r="AL84" s="51">
        <f t="shared" si="1233"/>
        <v>1</v>
      </c>
      <c r="AM84" s="51"/>
      <c r="AN84" s="51">
        <f t="shared" si="1342"/>
        <v>0</v>
      </c>
      <c r="AO84" s="54"/>
      <c r="AP84" s="51">
        <f t="shared" si="1234"/>
        <v>1</v>
      </c>
      <c r="AQ84" s="51"/>
      <c r="AR84" s="51">
        <f t="shared" si="1343"/>
        <v>0</v>
      </c>
      <c r="AS84" s="54"/>
      <c r="AT84" s="51">
        <f t="shared" si="1235"/>
        <v>1</v>
      </c>
      <c r="AU84" s="51"/>
      <c r="AV84" s="51">
        <f t="shared" si="1344"/>
        <v>0</v>
      </c>
      <c r="AW84" s="54"/>
      <c r="AX84" s="51">
        <f t="shared" si="1236"/>
        <v>1</v>
      </c>
      <c r="AY84" s="51"/>
      <c r="AZ84" s="51">
        <f t="shared" si="1345"/>
        <v>0</v>
      </c>
      <c r="BA84" s="54"/>
      <c r="BB84" s="51">
        <f t="shared" si="1213"/>
        <v>1</v>
      </c>
      <c r="BC84" s="51"/>
      <c r="BD84" s="51">
        <f t="shared" si="1346"/>
        <v>0</v>
      </c>
      <c r="BE84" s="54"/>
      <c r="BF84" s="51">
        <f t="shared" si="1237"/>
        <v>1</v>
      </c>
      <c r="BG84" s="51"/>
      <c r="BH84" s="51">
        <f t="shared" si="1347"/>
        <v>0</v>
      </c>
      <c r="BI84" s="54"/>
      <c r="BJ84" s="51">
        <f t="shared" si="1238"/>
        <v>1</v>
      </c>
      <c r="BK84" s="51">
        <f t="shared" si="1239"/>
        <v>0</v>
      </c>
      <c r="BL84" s="51">
        <f t="shared" si="1348"/>
        <v>0</v>
      </c>
      <c r="BM84" s="54"/>
      <c r="BN84" s="51">
        <f t="shared" si="1240"/>
        <v>1</v>
      </c>
      <c r="BO84" s="51">
        <f t="shared" si="1241"/>
        <v>0</v>
      </c>
      <c r="BP84" s="51">
        <f t="shared" si="1349"/>
        <v>0</v>
      </c>
      <c r="BQ84" s="54"/>
      <c r="BR84" s="51">
        <f t="shared" si="1242"/>
        <v>1</v>
      </c>
      <c r="BS84" s="51">
        <f t="shared" si="1243"/>
        <v>0</v>
      </c>
      <c r="BT84" s="51">
        <f t="shared" si="1350"/>
        <v>0</v>
      </c>
      <c r="BU84" s="54"/>
      <c r="BV84" s="51">
        <f t="shared" si="1244"/>
        <v>1</v>
      </c>
      <c r="BW84" s="51">
        <f t="shared" si="1245"/>
        <v>0</v>
      </c>
      <c r="BX84" s="51">
        <f t="shared" si="1351"/>
        <v>0</v>
      </c>
      <c r="BY84" s="54"/>
      <c r="BZ84" s="51">
        <f t="shared" si="1246"/>
        <v>1</v>
      </c>
      <c r="CA84" s="51">
        <f t="shared" si="1247"/>
        <v>0</v>
      </c>
      <c r="CB84" s="51">
        <f t="shared" si="1352"/>
        <v>0</v>
      </c>
      <c r="CC84" s="54"/>
      <c r="CD84" s="51">
        <f t="shared" si="1248"/>
        <v>1</v>
      </c>
      <c r="CE84" s="51">
        <f t="shared" si="1249"/>
        <v>0</v>
      </c>
      <c r="CF84" s="51">
        <f t="shared" si="1353"/>
        <v>0</v>
      </c>
      <c r="CG84" s="54"/>
      <c r="CH84" s="51">
        <f t="shared" si="1250"/>
        <v>1</v>
      </c>
      <c r="CI84" s="51">
        <f t="shared" si="1251"/>
        <v>0</v>
      </c>
      <c r="CJ84" s="51">
        <f t="shared" si="1354"/>
        <v>0</v>
      </c>
      <c r="CK84" s="54"/>
      <c r="CL84" s="51">
        <f t="shared" si="1252"/>
        <v>1</v>
      </c>
      <c r="CM84" s="51">
        <f t="shared" si="1253"/>
        <v>0</v>
      </c>
      <c r="CN84" s="51">
        <f t="shared" si="1355"/>
        <v>0</v>
      </c>
      <c r="CO84" s="54"/>
      <c r="CP84" s="51">
        <f t="shared" si="1254"/>
        <v>1</v>
      </c>
      <c r="CQ84" s="51">
        <f t="shared" si="1255"/>
        <v>0</v>
      </c>
      <c r="CR84" s="51">
        <f t="shared" si="1356"/>
        <v>0</v>
      </c>
      <c r="CS84" s="54"/>
      <c r="CT84" s="51">
        <f t="shared" si="1256"/>
        <v>1</v>
      </c>
      <c r="CU84" s="51">
        <f t="shared" si="1257"/>
        <v>0</v>
      </c>
      <c r="CV84" s="51">
        <f t="shared" si="1357"/>
        <v>0</v>
      </c>
      <c r="CW84" s="54"/>
      <c r="CX84" s="51">
        <f t="shared" si="1214"/>
        <v>1</v>
      </c>
      <c r="CY84" s="51">
        <f t="shared" si="1215"/>
        <v>0</v>
      </c>
      <c r="CZ84" s="51">
        <f t="shared" si="1358"/>
        <v>0</v>
      </c>
      <c r="DA84" s="54"/>
      <c r="DB84" s="51">
        <f t="shared" si="1258"/>
        <v>1</v>
      </c>
      <c r="DC84" s="51">
        <f t="shared" si="1259"/>
        <v>0</v>
      </c>
      <c r="DD84" s="51">
        <f t="shared" si="1359"/>
        <v>0</v>
      </c>
      <c r="DE84" s="54"/>
      <c r="DF84" s="51">
        <f t="shared" si="1260"/>
        <v>1</v>
      </c>
      <c r="DG84" s="51">
        <f t="shared" si="1261"/>
        <v>0</v>
      </c>
      <c r="DH84" s="51">
        <f t="shared" si="1360"/>
        <v>0</v>
      </c>
      <c r="DI84" s="54"/>
      <c r="DJ84" s="51">
        <f t="shared" si="1262"/>
        <v>1</v>
      </c>
      <c r="DK84" s="51">
        <f t="shared" si="1263"/>
        <v>0</v>
      </c>
      <c r="DL84" s="51">
        <f t="shared" si="1361"/>
        <v>0</v>
      </c>
      <c r="DM84" s="54"/>
      <c r="DN84" s="51">
        <f t="shared" si="1264"/>
        <v>1</v>
      </c>
      <c r="DO84" s="51">
        <f t="shared" si="1265"/>
        <v>0</v>
      </c>
      <c r="DP84" s="51">
        <f t="shared" si="1362"/>
        <v>0</v>
      </c>
      <c r="DQ84" s="54"/>
      <c r="DR84" s="51">
        <f t="shared" si="1266"/>
        <v>1</v>
      </c>
      <c r="DS84" s="51">
        <f t="shared" si="1267"/>
        <v>0</v>
      </c>
      <c r="DT84" s="51">
        <f t="shared" si="1363"/>
        <v>0</v>
      </c>
      <c r="DU84" s="54"/>
      <c r="DV84" s="51">
        <f t="shared" si="1268"/>
        <v>1</v>
      </c>
      <c r="DW84" s="51">
        <f t="shared" si="1269"/>
        <v>0</v>
      </c>
      <c r="DX84" s="51">
        <f t="shared" si="1364"/>
        <v>0</v>
      </c>
      <c r="DY84" s="54"/>
      <c r="DZ84" s="51">
        <f t="shared" si="1270"/>
        <v>1</v>
      </c>
      <c r="EA84" s="51">
        <f t="shared" si="1271"/>
        <v>0</v>
      </c>
      <c r="EB84" s="51">
        <f t="shared" si="1365"/>
        <v>0</v>
      </c>
      <c r="EC84" s="54"/>
      <c r="ED84" s="51">
        <f t="shared" si="1272"/>
        <v>1</v>
      </c>
      <c r="EE84" s="51">
        <f t="shared" si="1273"/>
        <v>0</v>
      </c>
      <c r="EF84" s="51">
        <f t="shared" si="1366"/>
        <v>0</v>
      </c>
      <c r="EG84" s="54"/>
      <c r="EH84" s="51">
        <f t="shared" si="1274"/>
        <v>1</v>
      </c>
      <c r="EI84" s="51">
        <f t="shared" si="1275"/>
        <v>0</v>
      </c>
      <c r="EJ84" s="51">
        <f t="shared" si="1367"/>
        <v>0</v>
      </c>
      <c r="EK84" s="54"/>
      <c r="EL84" s="51">
        <f t="shared" si="1276"/>
        <v>1</v>
      </c>
      <c r="EM84" s="51">
        <f t="shared" si="1277"/>
        <v>0</v>
      </c>
      <c r="EN84" s="51">
        <f t="shared" si="1368"/>
        <v>0</v>
      </c>
      <c r="EO84" s="54"/>
      <c r="EP84" s="51">
        <f t="shared" si="1278"/>
        <v>1</v>
      </c>
      <c r="EQ84" s="51">
        <f t="shared" si="1279"/>
        <v>0</v>
      </c>
      <c r="ER84" s="51">
        <f t="shared" si="1369"/>
        <v>0</v>
      </c>
      <c r="ES84" s="54"/>
      <c r="ET84" s="51">
        <f t="shared" si="1216"/>
        <v>1</v>
      </c>
      <c r="EU84" s="51">
        <f t="shared" si="1217"/>
        <v>0</v>
      </c>
      <c r="EV84" s="51">
        <f t="shared" si="1370"/>
        <v>0</v>
      </c>
      <c r="EW84" s="54"/>
      <c r="EX84" s="51">
        <f t="shared" si="1280"/>
        <v>1</v>
      </c>
      <c r="EY84" s="51">
        <f t="shared" si="1281"/>
        <v>0</v>
      </c>
      <c r="EZ84" s="51">
        <f t="shared" si="1371"/>
        <v>0</v>
      </c>
      <c r="FA84" s="54"/>
      <c r="FB84" s="51">
        <f t="shared" si="1282"/>
        <v>1</v>
      </c>
      <c r="FC84" s="51">
        <f t="shared" si="1283"/>
        <v>0</v>
      </c>
      <c r="FD84" s="51">
        <f t="shared" si="1372"/>
        <v>0</v>
      </c>
      <c r="FE84" s="54"/>
      <c r="FF84" s="51">
        <f t="shared" si="1284"/>
        <v>1</v>
      </c>
      <c r="FG84" s="51">
        <f t="shared" si="1285"/>
        <v>0</v>
      </c>
      <c r="FH84" s="51">
        <f t="shared" si="1373"/>
        <v>0</v>
      </c>
      <c r="FI84" s="54"/>
      <c r="FJ84" s="51">
        <f t="shared" si="1286"/>
        <v>1</v>
      </c>
      <c r="FK84" s="51">
        <f t="shared" si="1287"/>
        <v>0</v>
      </c>
      <c r="FL84" s="51">
        <f t="shared" si="1374"/>
        <v>0</v>
      </c>
      <c r="FM84" s="54"/>
      <c r="FN84" s="51">
        <f t="shared" si="1288"/>
        <v>1</v>
      </c>
      <c r="FO84" s="51">
        <f t="shared" si="1289"/>
        <v>0</v>
      </c>
      <c r="FP84" s="51">
        <f t="shared" si="1375"/>
        <v>0</v>
      </c>
      <c r="FQ84" s="54"/>
      <c r="FR84" s="51">
        <f t="shared" si="1290"/>
        <v>1</v>
      </c>
      <c r="FS84" s="51">
        <f t="shared" si="1291"/>
        <v>0</v>
      </c>
      <c r="FT84" s="51">
        <f t="shared" si="1376"/>
        <v>0</v>
      </c>
      <c r="FU84" s="54"/>
      <c r="FV84" s="51">
        <f t="shared" si="1292"/>
        <v>1</v>
      </c>
      <c r="FW84" s="51">
        <f t="shared" si="1293"/>
        <v>0</v>
      </c>
      <c r="FX84" s="51">
        <f t="shared" si="1377"/>
        <v>0</v>
      </c>
      <c r="FY84" s="54"/>
      <c r="FZ84" s="51">
        <f t="shared" si="1294"/>
        <v>1</v>
      </c>
      <c r="GA84" s="51">
        <f t="shared" si="1295"/>
        <v>0</v>
      </c>
      <c r="GB84" s="51">
        <f t="shared" si="1378"/>
        <v>0</v>
      </c>
      <c r="GC84" s="54"/>
      <c r="GD84" s="51">
        <f t="shared" si="1296"/>
        <v>1</v>
      </c>
      <c r="GE84" s="51">
        <f t="shared" si="1297"/>
        <v>0</v>
      </c>
      <c r="GF84" s="51">
        <f t="shared" si="1379"/>
        <v>0</v>
      </c>
      <c r="GG84" s="54"/>
      <c r="GH84" s="51">
        <f t="shared" si="1298"/>
        <v>1</v>
      </c>
      <c r="GI84" s="51">
        <f t="shared" si="1299"/>
        <v>0</v>
      </c>
      <c r="GJ84" s="51">
        <f t="shared" si="1380"/>
        <v>0</v>
      </c>
      <c r="GK84" s="54"/>
      <c r="GL84" s="51">
        <f t="shared" si="1300"/>
        <v>1</v>
      </c>
      <c r="GM84" s="51">
        <f t="shared" si="1301"/>
        <v>0</v>
      </c>
      <c r="GN84" s="51">
        <f t="shared" si="1381"/>
        <v>0</v>
      </c>
      <c r="GP84" s="51">
        <f t="shared" si="1218"/>
        <v>1</v>
      </c>
      <c r="GQ84" s="51">
        <f t="shared" si="1219"/>
        <v>0</v>
      </c>
      <c r="GR84" s="51">
        <f t="shared" si="1382"/>
        <v>0</v>
      </c>
      <c r="GS84" s="54"/>
      <c r="GT84" s="51">
        <f t="shared" si="1302"/>
        <v>1</v>
      </c>
      <c r="GU84" s="51">
        <f t="shared" si="1303"/>
        <v>0</v>
      </c>
      <c r="GV84" s="51">
        <f t="shared" si="1383"/>
        <v>0</v>
      </c>
      <c r="GW84" s="54"/>
      <c r="GX84" s="51">
        <f t="shared" si="1304"/>
        <v>1</v>
      </c>
      <c r="GY84" s="51">
        <f t="shared" si="1305"/>
        <v>0</v>
      </c>
      <c r="GZ84" s="51">
        <f t="shared" si="1384"/>
        <v>0</v>
      </c>
      <c r="HA84" s="54"/>
      <c r="HB84" s="51">
        <f t="shared" si="1306"/>
        <v>1</v>
      </c>
      <c r="HC84" s="51">
        <f t="shared" si="1307"/>
        <v>0</v>
      </c>
      <c r="HD84" s="51">
        <f t="shared" si="1385"/>
        <v>0</v>
      </c>
      <c r="HE84" s="54"/>
      <c r="HF84" s="51">
        <f t="shared" si="1308"/>
        <v>1</v>
      </c>
      <c r="HG84" s="51">
        <f t="shared" si="1309"/>
        <v>0</v>
      </c>
      <c r="HH84" s="51">
        <f t="shared" si="1386"/>
        <v>0</v>
      </c>
      <c r="HI84" s="54"/>
      <c r="HJ84" s="51">
        <f t="shared" si="1310"/>
        <v>1</v>
      </c>
      <c r="HK84" s="51">
        <f t="shared" si="1311"/>
        <v>0</v>
      </c>
      <c r="HL84" s="51">
        <f t="shared" si="1387"/>
        <v>0</v>
      </c>
      <c r="HM84" s="54"/>
      <c r="HN84" s="51">
        <f t="shared" si="1312"/>
        <v>1</v>
      </c>
      <c r="HO84" s="51">
        <f t="shared" si="1313"/>
        <v>0</v>
      </c>
      <c r="HP84" s="51">
        <f t="shared" si="1388"/>
        <v>0</v>
      </c>
      <c r="HQ84" s="54"/>
      <c r="HR84" s="51">
        <f t="shared" si="1314"/>
        <v>1</v>
      </c>
      <c r="HS84" s="51">
        <f t="shared" si="1315"/>
        <v>0</v>
      </c>
      <c r="HT84" s="51">
        <f t="shared" si="1389"/>
        <v>0</v>
      </c>
      <c r="HU84" s="54"/>
      <c r="HV84" s="51">
        <f t="shared" si="1316"/>
        <v>1</v>
      </c>
      <c r="HW84" s="51">
        <f t="shared" si="1317"/>
        <v>0</v>
      </c>
      <c r="HX84" s="51">
        <f t="shared" si="1390"/>
        <v>0</v>
      </c>
      <c r="HY84" s="54"/>
      <c r="HZ84" s="51">
        <f t="shared" si="1318"/>
        <v>1</v>
      </c>
      <c r="IA84" s="51">
        <f t="shared" si="1319"/>
        <v>0</v>
      </c>
      <c r="IB84" s="51">
        <f t="shared" si="1391"/>
        <v>0</v>
      </c>
      <c r="IC84" s="54"/>
      <c r="ID84" s="51">
        <f t="shared" si="1320"/>
        <v>1</v>
      </c>
      <c r="IE84" s="51">
        <f t="shared" si="1321"/>
        <v>0</v>
      </c>
      <c r="IF84" s="51">
        <f t="shared" si="1392"/>
        <v>0</v>
      </c>
      <c r="IG84" s="54"/>
      <c r="IH84" s="51">
        <f t="shared" si="1322"/>
        <v>1</v>
      </c>
      <c r="II84" s="51">
        <f t="shared" si="1323"/>
        <v>0</v>
      </c>
      <c r="IJ84" s="51">
        <f t="shared" si="1393"/>
        <v>0</v>
      </c>
      <c r="IL84" s="51">
        <f t="shared" si="1220"/>
        <v>1</v>
      </c>
      <c r="IM84" s="51">
        <f t="shared" si="1221"/>
        <v>0</v>
      </c>
      <c r="IN84" s="51">
        <f t="shared" si="1394"/>
        <v>0</v>
      </c>
      <c r="IO84" s="54"/>
      <c r="IP84" s="51">
        <f t="shared" si="1324"/>
        <v>1</v>
      </c>
      <c r="IQ84" s="51">
        <f t="shared" si="1325"/>
        <v>0</v>
      </c>
      <c r="IR84" s="51">
        <f t="shared" si="1395"/>
        <v>0</v>
      </c>
      <c r="IS84" s="54"/>
      <c r="IT84" s="51">
        <f t="shared" si="1326"/>
        <v>1</v>
      </c>
      <c r="IU84" s="51">
        <f t="shared" si="1327"/>
        <v>0</v>
      </c>
      <c r="IV84" s="51">
        <f t="shared" si="1396"/>
        <v>0</v>
      </c>
      <c r="IW84" s="54"/>
      <c r="IX84" s="51">
        <f t="shared" si="1328"/>
        <v>1</v>
      </c>
      <c r="IY84" s="51">
        <f t="shared" si="1329"/>
        <v>0</v>
      </c>
      <c r="IZ84" s="51">
        <f t="shared" si="1397"/>
        <v>0</v>
      </c>
      <c r="JA84" s="54"/>
      <c r="JB84" s="51" t="e">
        <f t="shared" si="1330"/>
        <v>#REF!</v>
      </c>
      <c r="JC84" s="51">
        <f t="shared" si="1331"/>
        <v>0</v>
      </c>
      <c r="JD84" s="51">
        <f t="shared" si="1398"/>
        <v>0</v>
      </c>
      <c r="JE84" s="54"/>
      <c r="JF84" s="51" t="e">
        <f t="shared" si="1332"/>
        <v>#REF!</v>
      </c>
      <c r="JG84" s="51">
        <f t="shared" si="1333"/>
        <v>0</v>
      </c>
      <c r="JH84" s="51">
        <f t="shared" si="1399"/>
        <v>0</v>
      </c>
      <c r="JI84" s="54"/>
      <c r="JJ84" s="51" t="e">
        <f t="shared" si="1334"/>
        <v>#REF!</v>
      </c>
      <c r="JK84" s="51">
        <f t="shared" si="1335"/>
        <v>0</v>
      </c>
      <c r="JL84" s="51">
        <f t="shared" si="1400"/>
        <v>0</v>
      </c>
      <c r="JM84" s="54"/>
      <c r="JO84" s="80"/>
      <c r="JP84" s="80"/>
      <c r="JQ84" s="80">
        <f t="shared" si="1222"/>
        <v>0</v>
      </c>
      <c r="JS84" s="80"/>
      <c r="JT84" s="80"/>
      <c r="JU84" s="80">
        <f t="shared" si="1223"/>
        <v>0</v>
      </c>
      <c r="JW84" s="80"/>
      <c r="JX84" s="80"/>
      <c r="JY84" s="80">
        <f t="shared" si="1224"/>
        <v>0</v>
      </c>
      <c r="KA84" s="80"/>
      <c r="KB84" s="80"/>
      <c r="KC84" s="80">
        <f t="shared" si="1225"/>
        <v>0</v>
      </c>
      <c r="KE84" s="80"/>
      <c r="KF84" s="80"/>
      <c r="KG84" s="80">
        <f t="shared" si="1226"/>
        <v>0</v>
      </c>
      <c r="KI84" s="80"/>
      <c r="KJ84" s="80"/>
      <c r="KK84" s="80">
        <f t="shared" si="1227"/>
        <v>0</v>
      </c>
      <c r="KM84" s="80"/>
      <c r="KN84" s="80"/>
      <c r="KO84" s="80">
        <f t="shared" si="1228"/>
        <v>0</v>
      </c>
    </row>
    <row r="85" ht="18.75" customHeight="1" spans="2:301" x14ac:dyDescent="0.25">
      <c r="B85" s="5" t="str">
        <f>A.IIOPEX!C85</f>
        <v>6q</v>
      </c>
      <c r="C85" s="27"/>
      <c r="D85" s="29">
        <f>A.IIOPEX!E85</f>
        <v>0</v>
      </c>
      <c r="E85" s="30"/>
      <c r="F85" s="51">
        <v>1</v>
      </c>
      <c r="G85" s="51"/>
      <c r="H85" s="51">
        <f>A.IIOPEX!I85</f>
        <v>0</v>
      </c>
      <c r="I85" s="54"/>
      <c r="J85" s="51">
        <f t="shared" si="1208"/>
        <v>1</v>
      </c>
      <c r="K85" s="51"/>
      <c r="L85" s="51">
        <f t="shared" si="1229"/>
        <v>0</v>
      </c>
      <c r="M85" s="54"/>
      <c r="N85" s="51">
        <f t="shared" si="1209"/>
        <v>1</v>
      </c>
      <c r="O85" s="51">
        <v>0</v>
      </c>
      <c r="P85" s="51">
        <f t="shared" si="1230"/>
        <v>0</v>
      </c>
      <c r="Q85" s="54"/>
      <c r="R85" s="51">
        <f t="shared" si="1210"/>
        <v>1</v>
      </c>
      <c r="S85" s="51">
        <v>0</v>
      </c>
      <c r="T85" s="51">
        <f t="shared" si="1336"/>
        <v>0</v>
      </c>
      <c r="U85" s="54"/>
      <c r="V85" s="51">
        <f t="shared" si="1211"/>
        <v>1</v>
      </c>
      <c r="W85" s="51">
        <v>0</v>
      </c>
      <c r="X85" s="51">
        <f t="shared" si="1337"/>
        <v>0</v>
      </c>
      <c r="Y85" s="54"/>
      <c r="Z85" s="51">
        <f t="shared" si="1212"/>
        <v>1</v>
      </c>
      <c r="AA85" s="51">
        <v>0</v>
      </c>
      <c r="AB85" s="51">
        <f t="shared" si="1338"/>
        <v>0</v>
      </c>
      <c r="AC85" s="54"/>
      <c r="AD85" s="51">
        <f t="shared" si="1339"/>
        <v>1</v>
      </c>
      <c r="AE85" s="51">
        <v>0</v>
      </c>
      <c r="AF85" s="51">
        <f t="shared" si="1340"/>
        <v>0</v>
      </c>
      <c r="AG85" s="54"/>
      <c r="AH85" s="51">
        <f t="shared" si="1232"/>
        <v>1</v>
      </c>
      <c r="AI85" s="51"/>
      <c r="AJ85" s="51">
        <f t="shared" si="1341"/>
        <v>0</v>
      </c>
      <c r="AK85" s="54"/>
      <c r="AL85" s="51">
        <f t="shared" si="1233"/>
        <v>1</v>
      </c>
      <c r="AM85" s="51"/>
      <c r="AN85" s="51">
        <f t="shared" si="1342"/>
        <v>0</v>
      </c>
      <c r="AO85" s="54"/>
      <c r="AP85" s="51">
        <f t="shared" si="1234"/>
        <v>1</v>
      </c>
      <c r="AQ85" s="51"/>
      <c r="AR85" s="51">
        <f t="shared" si="1343"/>
        <v>0</v>
      </c>
      <c r="AS85" s="54"/>
      <c r="AT85" s="51">
        <f t="shared" si="1235"/>
        <v>1</v>
      </c>
      <c r="AU85" s="51"/>
      <c r="AV85" s="51">
        <f t="shared" si="1344"/>
        <v>0</v>
      </c>
      <c r="AW85" s="54"/>
      <c r="AX85" s="51">
        <f t="shared" si="1236"/>
        <v>1</v>
      </c>
      <c r="AY85" s="51"/>
      <c r="AZ85" s="51">
        <f t="shared" si="1345"/>
        <v>0</v>
      </c>
      <c r="BA85" s="54"/>
      <c r="BB85" s="51">
        <f t="shared" si="1213"/>
        <v>1</v>
      </c>
      <c r="BC85" s="51"/>
      <c r="BD85" s="51">
        <f t="shared" si="1346"/>
        <v>0</v>
      </c>
      <c r="BE85" s="54"/>
      <c r="BF85" s="51">
        <f t="shared" si="1237"/>
        <v>1</v>
      </c>
      <c r="BG85" s="51"/>
      <c r="BH85" s="51">
        <f t="shared" si="1347"/>
        <v>0</v>
      </c>
      <c r="BI85" s="54"/>
      <c r="BJ85" s="51">
        <f t="shared" si="1238"/>
        <v>1</v>
      </c>
      <c r="BK85" s="51">
        <f t="shared" si="1239"/>
        <v>0</v>
      </c>
      <c r="BL85" s="51">
        <f t="shared" si="1348"/>
        <v>0</v>
      </c>
      <c r="BM85" s="54"/>
      <c r="BN85" s="51">
        <f t="shared" si="1240"/>
        <v>1</v>
      </c>
      <c r="BO85" s="51">
        <f t="shared" si="1241"/>
        <v>0</v>
      </c>
      <c r="BP85" s="51">
        <f t="shared" si="1349"/>
        <v>0</v>
      </c>
      <c r="BQ85" s="54"/>
      <c r="BR85" s="51">
        <f t="shared" si="1242"/>
        <v>1</v>
      </c>
      <c r="BS85" s="51">
        <f t="shared" si="1243"/>
        <v>0</v>
      </c>
      <c r="BT85" s="51">
        <f t="shared" si="1350"/>
        <v>0</v>
      </c>
      <c r="BU85" s="54"/>
      <c r="BV85" s="51">
        <f t="shared" si="1244"/>
        <v>1</v>
      </c>
      <c r="BW85" s="51">
        <f t="shared" si="1245"/>
        <v>0</v>
      </c>
      <c r="BX85" s="51">
        <f t="shared" si="1351"/>
        <v>0</v>
      </c>
      <c r="BY85" s="54"/>
      <c r="BZ85" s="51">
        <f t="shared" si="1246"/>
        <v>1</v>
      </c>
      <c r="CA85" s="51">
        <f t="shared" si="1247"/>
        <v>0</v>
      </c>
      <c r="CB85" s="51">
        <f t="shared" si="1352"/>
        <v>0</v>
      </c>
      <c r="CC85" s="54"/>
      <c r="CD85" s="51">
        <f t="shared" si="1248"/>
        <v>1</v>
      </c>
      <c r="CE85" s="51">
        <f t="shared" si="1249"/>
        <v>0</v>
      </c>
      <c r="CF85" s="51">
        <f t="shared" si="1353"/>
        <v>0</v>
      </c>
      <c r="CG85" s="54"/>
      <c r="CH85" s="51">
        <f t="shared" si="1250"/>
        <v>1</v>
      </c>
      <c r="CI85" s="51">
        <f t="shared" si="1251"/>
        <v>0</v>
      </c>
      <c r="CJ85" s="51">
        <f t="shared" si="1354"/>
        <v>0</v>
      </c>
      <c r="CK85" s="54"/>
      <c r="CL85" s="51">
        <f t="shared" si="1252"/>
        <v>1</v>
      </c>
      <c r="CM85" s="51">
        <f t="shared" si="1253"/>
        <v>0</v>
      </c>
      <c r="CN85" s="51">
        <f t="shared" si="1355"/>
        <v>0</v>
      </c>
      <c r="CO85" s="54"/>
      <c r="CP85" s="51">
        <f t="shared" si="1254"/>
        <v>1</v>
      </c>
      <c r="CQ85" s="51">
        <f t="shared" si="1255"/>
        <v>0</v>
      </c>
      <c r="CR85" s="51">
        <f t="shared" si="1356"/>
        <v>0</v>
      </c>
      <c r="CS85" s="54"/>
      <c r="CT85" s="51">
        <f t="shared" si="1256"/>
        <v>1</v>
      </c>
      <c r="CU85" s="51">
        <f t="shared" si="1257"/>
        <v>0</v>
      </c>
      <c r="CV85" s="51">
        <f t="shared" si="1357"/>
        <v>0</v>
      </c>
      <c r="CW85" s="54"/>
      <c r="CX85" s="51">
        <f t="shared" si="1214"/>
        <v>1</v>
      </c>
      <c r="CY85" s="51">
        <f t="shared" si="1215"/>
        <v>0</v>
      </c>
      <c r="CZ85" s="51">
        <f t="shared" si="1358"/>
        <v>0</v>
      </c>
      <c r="DA85" s="54"/>
      <c r="DB85" s="51">
        <f t="shared" si="1258"/>
        <v>1</v>
      </c>
      <c r="DC85" s="51">
        <f t="shared" si="1259"/>
        <v>0</v>
      </c>
      <c r="DD85" s="51">
        <f t="shared" si="1359"/>
        <v>0</v>
      </c>
      <c r="DE85" s="54"/>
      <c r="DF85" s="51">
        <f t="shared" si="1260"/>
        <v>1</v>
      </c>
      <c r="DG85" s="51">
        <f t="shared" si="1261"/>
        <v>0</v>
      </c>
      <c r="DH85" s="51">
        <f t="shared" si="1360"/>
        <v>0</v>
      </c>
      <c r="DI85" s="54"/>
      <c r="DJ85" s="51">
        <f t="shared" si="1262"/>
        <v>1</v>
      </c>
      <c r="DK85" s="51">
        <f t="shared" si="1263"/>
        <v>0</v>
      </c>
      <c r="DL85" s="51">
        <f t="shared" si="1361"/>
        <v>0</v>
      </c>
      <c r="DM85" s="54"/>
      <c r="DN85" s="51">
        <f t="shared" si="1264"/>
        <v>1</v>
      </c>
      <c r="DO85" s="51">
        <f t="shared" si="1265"/>
        <v>0</v>
      </c>
      <c r="DP85" s="51">
        <f t="shared" si="1362"/>
        <v>0</v>
      </c>
      <c r="DQ85" s="54"/>
      <c r="DR85" s="51">
        <f t="shared" si="1266"/>
        <v>1</v>
      </c>
      <c r="DS85" s="51">
        <f t="shared" si="1267"/>
        <v>0</v>
      </c>
      <c r="DT85" s="51">
        <f t="shared" si="1363"/>
        <v>0</v>
      </c>
      <c r="DU85" s="54"/>
      <c r="DV85" s="51">
        <f t="shared" si="1268"/>
        <v>1</v>
      </c>
      <c r="DW85" s="51">
        <f t="shared" si="1269"/>
        <v>0</v>
      </c>
      <c r="DX85" s="51">
        <f t="shared" si="1364"/>
        <v>0</v>
      </c>
      <c r="DY85" s="54"/>
      <c r="DZ85" s="51">
        <f t="shared" si="1270"/>
        <v>1</v>
      </c>
      <c r="EA85" s="51">
        <f t="shared" si="1271"/>
        <v>0</v>
      </c>
      <c r="EB85" s="51">
        <f t="shared" si="1365"/>
        <v>0</v>
      </c>
      <c r="EC85" s="54"/>
      <c r="ED85" s="51">
        <f t="shared" si="1272"/>
        <v>1</v>
      </c>
      <c r="EE85" s="51">
        <f t="shared" si="1273"/>
        <v>0</v>
      </c>
      <c r="EF85" s="51">
        <f t="shared" si="1366"/>
        <v>0</v>
      </c>
      <c r="EG85" s="54"/>
      <c r="EH85" s="51">
        <f t="shared" si="1274"/>
        <v>1</v>
      </c>
      <c r="EI85" s="51">
        <f t="shared" si="1275"/>
        <v>0</v>
      </c>
      <c r="EJ85" s="51">
        <f t="shared" si="1367"/>
        <v>0</v>
      </c>
      <c r="EK85" s="54"/>
      <c r="EL85" s="51">
        <f t="shared" si="1276"/>
        <v>1</v>
      </c>
      <c r="EM85" s="51">
        <f t="shared" si="1277"/>
        <v>0</v>
      </c>
      <c r="EN85" s="51">
        <f t="shared" si="1368"/>
        <v>0</v>
      </c>
      <c r="EO85" s="54"/>
      <c r="EP85" s="51">
        <f t="shared" si="1278"/>
        <v>1</v>
      </c>
      <c r="EQ85" s="51">
        <f t="shared" si="1279"/>
        <v>0</v>
      </c>
      <c r="ER85" s="51">
        <f t="shared" si="1369"/>
        <v>0</v>
      </c>
      <c r="ES85" s="54"/>
      <c r="ET85" s="51">
        <f t="shared" si="1216"/>
        <v>1</v>
      </c>
      <c r="EU85" s="51">
        <f t="shared" si="1217"/>
        <v>0</v>
      </c>
      <c r="EV85" s="51">
        <f t="shared" si="1370"/>
        <v>0</v>
      </c>
      <c r="EW85" s="54"/>
      <c r="EX85" s="51">
        <f t="shared" si="1280"/>
        <v>1</v>
      </c>
      <c r="EY85" s="51">
        <f t="shared" si="1281"/>
        <v>0</v>
      </c>
      <c r="EZ85" s="51">
        <f t="shared" si="1371"/>
        <v>0</v>
      </c>
      <c r="FA85" s="54"/>
      <c r="FB85" s="51">
        <f t="shared" si="1282"/>
        <v>1</v>
      </c>
      <c r="FC85" s="51">
        <f t="shared" si="1283"/>
        <v>0</v>
      </c>
      <c r="FD85" s="51">
        <f t="shared" si="1372"/>
        <v>0</v>
      </c>
      <c r="FE85" s="54"/>
      <c r="FF85" s="51">
        <f t="shared" si="1284"/>
        <v>1</v>
      </c>
      <c r="FG85" s="51">
        <f t="shared" si="1285"/>
        <v>0</v>
      </c>
      <c r="FH85" s="51">
        <f t="shared" si="1373"/>
        <v>0</v>
      </c>
      <c r="FI85" s="54"/>
      <c r="FJ85" s="51">
        <f t="shared" si="1286"/>
        <v>1</v>
      </c>
      <c r="FK85" s="51">
        <f t="shared" si="1287"/>
        <v>0</v>
      </c>
      <c r="FL85" s="51">
        <f t="shared" si="1374"/>
        <v>0</v>
      </c>
      <c r="FM85" s="54"/>
      <c r="FN85" s="51">
        <f t="shared" si="1288"/>
        <v>1</v>
      </c>
      <c r="FO85" s="51">
        <f t="shared" si="1289"/>
        <v>0</v>
      </c>
      <c r="FP85" s="51">
        <f t="shared" si="1375"/>
        <v>0</v>
      </c>
      <c r="FQ85" s="54"/>
      <c r="FR85" s="51">
        <f t="shared" si="1290"/>
        <v>1</v>
      </c>
      <c r="FS85" s="51">
        <f t="shared" si="1291"/>
        <v>0</v>
      </c>
      <c r="FT85" s="51">
        <f t="shared" si="1376"/>
        <v>0</v>
      </c>
      <c r="FU85" s="54"/>
      <c r="FV85" s="51">
        <f t="shared" si="1292"/>
        <v>1</v>
      </c>
      <c r="FW85" s="51">
        <f t="shared" si="1293"/>
        <v>0</v>
      </c>
      <c r="FX85" s="51">
        <f t="shared" si="1377"/>
        <v>0</v>
      </c>
      <c r="FY85" s="54"/>
      <c r="FZ85" s="51">
        <f t="shared" si="1294"/>
        <v>1</v>
      </c>
      <c r="GA85" s="51">
        <f t="shared" si="1295"/>
        <v>0</v>
      </c>
      <c r="GB85" s="51">
        <f t="shared" si="1378"/>
        <v>0</v>
      </c>
      <c r="GC85" s="54"/>
      <c r="GD85" s="51">
        <f t="shared" si="1296"/>
        <v>1</v>
      </c>
      <c r="GE85" s="51">
        <f t="shared" si="1297"/>
        <v>0</v>
      </c>
      <c r="GF85" s="51">
        <f t="shared" si="1379"/>
        <v>0</v>
      </c>
      <c r="GG85" s="54"/>
      <c r="GH85" s="51">
        <f t="shared" si="1298"/>
        <v>1</v>
      </c>
      <c r="GI85" s="51">
        <f t="shared" si="1299"/>
        <v>0</v>
      </c>
      <c r="GJ85" s="51">
        <f t="shared" si="1380"/>
        <v>0</v>
      </c>
      <c r="GK85" s="54"/>
      <c r="GL85" s="51">
        <f t="shared" si="1300"/>
        <v>1</v>
      </c>
      <c r="GM85" s="51">
        <f t="shared" si="1301"/>
        <v>0</v>
      </c>
      <c r="GN85" s="51">
        <f t="shared" si="1381"/>
        <v>0</v>
      </c>
      <c r="GP85" s="51">
        <f t="shared" si="1218"/>
        <v>1</v>
      </c>
      <c r="GQ85" s="51">
        <f t="shared" si="1219"/>
        <v>0</v>
      </c>
      <c r="GR85" s="51">
        <f t="shared" si="1382"/>
        <v>0</v>
      </c>
      <c r="GS85" s="54"/>
      <c r="GT85" s="51">
        <f t="shared" si="1302"/>
        <v>1</v>
      </c>
      <c r="GU85" s="51">
        <f t="shared" si="1303"/>
        <v>0</v>
      </c>
      <c r="GV85" s="51">
        <f t="shared" si="1383"/>
        <v>0</v>
      </c>
      <c r="GW85" s="54"/>
      <c r="GX85" s="51">
        <f t="shared" si="1304"/>
        <v>1</v>
      </c>
      <c r="GY85" s="51">
        <f t="shared" si="1305"/>
        <v>0</v>
      </c>
      <c r="GZ85" s="51">
        <f t="shared" si="1384"/>
        <v>0</v>
      </c>
      <c r="HA85" s="54"/>
      <c r="HB85" s="51">
        <f t="shared" si="1306"/>
        <v>1</v>
      </c>
      <c r="HC85" s="51">
        <f t="shared" si="1307"/>
        <v>0</v>
      </c>
      <c r="HD85" s="51">
        <f t="shared" si="1385"/>
        <v>0</v>
      </c>
      <c r="HE85" s="54"/>
      <c r="HF85" s="51">
        <f t="shared" si="1308"/>
        <v>1</v>
      </c>
      <c r="HG85" s="51">
        <f t="shared" si="1309"/>
        <v>0</v>
      </c>
      <c r="HH85" s="51">
        <f t="shared" si="1386"/>
        <v>0</v>
      </c>
      <c r="HI85" s="54"/>
      <c r="HJ85" s="51">
        <f t="shared" si="1310"/>
        <v>1</v>
      </c>
      <c r="HK85" s="51">
        <f t="shared" si="1311"/>
        <v>0</v>
      </c>
      <c r="HL85" s="51">
        <f t="shared" si="1387"/>
        <v>0</v>
      </c>
      <c r="HM85" s="54"/>
      <c r="HN85" s="51">
        <f t="shared" si="1312"/>
        <v>1</v>
      </c>
      <c r="HO85" s="51">
        <f t="shared" si="1313"/>
        <v>0</v>
      </c>
      <c r="HP85" s="51">
        <f t="shared" si="1388"/>
        <v>0</v>
      </c>
      <c r="HQ85" s="54"/>
      <c r="HR85" s="51">
        <f t="shared" si="1314"/>
        <v>1</v>
      </c>
      <c r="HS85" s="51">
        <f t="shared" si="1315"/>
        <v>0</v>
      </c>
      <c r="HT85" s="51">
        <f t="shared" si="1389"/>
        <v>0</v>
      </c>
      <c r="HU85" s="54"/>
      <c r="HV85" s="51">
        <f t="shared" si="1316"/>
        <v>1</v>
      </c>
      <c r="HW85" s="51">
        <f t="shared" si="1317"/>
        <v>0</v>
      </c>
      <c r="HX85" s="51">
        <f t="shared" si="1390"/>
        <v>0</v>
      </c>
      <c r="HY85" s="54"/>
      <c r="HZ85" s="51">
        <f t="shared" si="1318"/>
        <v>1</v>
      </c>
      <c r="IA85" s="51">
        <f t="shared" si="1319"/>
        <v>0</v>
      </c>
      <c r="IB85" s="51">
        <f t="shared" si="1391"/>
        <v>0</v>
      </c>
      <c r="IC85" s="54"/>
      <c r="ID85" s="51">
        <f t="shared" si="1320"/>
        <v>1</v>
      </c>
      <c r="IE85" s="51">
        <f t="shared" si="1321"/>
        <v>0</v>
      </c>
      <c r="IF85" s="51">
        <f t="shared" si="1392"/>
        <v>0</v>
      </c>
      <c r="IG85" s="54"/>
      <c r="IH85" s="51">
        <f t="shared" si="1322"/>
        <v>1</v>
      </c>
      <c r="II85" s="51">
        <f t="shared" si="1323"/>
        <v>0</v>
      </c>
      <c r="IJ85" s="51">
        <f t="shared" si="1393"/>
        <v>0</v>
      </c>
      <c r="IL85" s="51">
        <f t="shared" si="1220"/>
        <v>1</v>
      </c>
      <c r="IM85" s="51">
        <f t="shared" si="1221"/>
        <v>0</v>
      </c>
      <c r="IN85" s="51">
        <f t="shared" si="1394"/>
        <v>0</v>
      </c>
      <c r="IO85" s="54"/>
      <c r="IP85" s="51">
        <f t="shared" si="1324"/>
        <v>1</v>
      </c>
      <c r="IQ85" s="51">
        <f t="shared" si="1325"/>
        <v>0</v>
      </c>
      <c r="IR85" s="51">
        <f t="shared" si="1395"/>
        <v>0</v>
      </c>
      <c r="IS85" s="54"/>
      <c r="IT85" s="51">
        <f t="shared" si="1326"/>
        <v>1</v>
      </c>
      <c r="IU85" s="51">
        <f t="shared" si="1327"/>
        <v>0</v>
      </c>
      <c r="IV85" s="51">
        <f t="shared" si="1396"/>
        <v>0</v>
      </c>
      <c r="IW85" s="54"/>
      <c r="IX85" s="51">
        <f t="shared" si="1328"/>
        <v>1</v>
      </c>
      <c r="IY85" s="51">
        <f t="shared" si="1329"/>
        <v>0</v>
      </c>
      <c r="IZ85" s="51">
        <f t="shared" si="1397"/>
        <v>0</v>
      </c>
      <c r="JA85" s="54"/>
      <c r="JB85" s="51" t="e">
        <f t="shared" si="1330"/>
        <v>#REF!</v>
      </c>
      <c r="JC85" s="51">
        <f t="shared" si="1331"/>
        <v>0</v>
      </c>
      <c r="JD85" s="51">
        <f t="shared" si="1398"/>
        <v>0</v>
      </c>
      <c r="JE85" s="54"/>
      <c r="JF85" s="51" t="e">
        <f t="shared" si="1332"/>
        <v>#REF!</v>
      </c>
      <c r="JG85" s="51">
        <f t="shared" si="1333"/>
        <v>0</v>
      </c>
      <c r="JH85" s="51">
        <f t="shared" si="1399"/>
        <v>0</v>
      </c>
      <c r="JI85" s="54"/>
      <c r="JJ85" s="51" t="e">
        <f t="shared" si="1334"/>
        <v>#REF!</v>
      </c>
      <c r="JK85" s="51">
        <f t="shared" si="1335"/>
        <v>0</v>
      </c>
      <c r="JL85" s="51">
        <f t="shared" si="1400"/>
        <v>0</v>
      </c>
      <c r="JM85" s="54"/>
      <c r="JO85" s="80"/>
      <c r="JP85" s="80"/>
      <c r="JQ85" s="80">
        <f t="shared" si="1222"/>
        <v>0</v>
      </c>
      <c r="JS85" s="80"/>
      <c r="JT85" s="80"/>
      <c r="JU85" s="80">
        <f t="shared" si="1223"/>
        <v>0</v>
      </c>
      <c r="JW85" s="80"/>
      <c r="JX85" s="80"/>
      <c r="JY85" s="80">
        <f t="shared" si="1224"/>
        <v>0</v>
      </c>
      <c r="KA85" s="80"/>
      <c r="KB85" s="80"/>
      <c r="KC85" s="80">
        <f t="shared" si="1225"/>
        <v>0</v>
      </c>
      <c r="KE85" s="80"/>
      <c r="KF85" s="80"/>
      <c r="KG85" s="80">
        <f t="shared" si="1226"/>
        <v>0</v>
      </c>
      <c r="KI85" s="80"/>
      <c r="KJ85" s="80"/>
      <c r="KK85" s="80">
        <f t="shared" si="1227"/>
        <v>0</v>
      </c>
      <c r="KM85" s="80"/>
      <c r="KN85" s="80"/>
      <c r="KO85" s="80">
        <f t="shared" si="1228"/>
        <v>0</v>
      </c>
    </row>
    <row r="86" ht="18.75" customHeight="1" spans="2:301" x14ac:dyDescent="0.25">
      <c r="B86" s="5" t="str">
        <f>A.IIOPEX!C86</f>
        <v>6r</v>
      </c>
      <c r="C86" s="27"/>
      <c r="D86" s="29">
        <f>A.IIOPEX!E86</f>
        <v>0</v>
      </c>
      <c r="E86" s="30"/>
      <c r="F86" s="51">
        <v>1</v>
      </c>
      <c r="G86" s="51"/>
      <c r="H86" s="51">
        <f>A.IIOPEX!I86</f>
        <v>0</v>
      </c>
      <c r="I86" s="54"/>
      <c r="J86" s="51">
        <f t="shared" si="1208"/>
        <v>1</v>
      </c>
      <c r="K86" s="51"/>
      <c r="L86" s="51">
        <f t="shared" si="1229"/>
        <v>0</v>
      </c>
      <c r="M86" s="54"/>
      <c r="N86" s="51">
        <f t="shared" si="1209"/>
        <v>1</v>
      </c>
      <c r="O86" s="51">
        <v>0</v>
      </c>
      <c r="P86" s="51">
        <f t="shared" si="1230"/>
        <v>0</v>
      </c>
      <c r="Q86" s="54"/>
      <c r="R86" s="51">
        <f t="shared" si="1210"/>
        <v>1</v>
      </c>
      <c r="S86" s="51">
        <v>0</v>
      </c>
      <c r="T86" s="51">
        <f t="shared" si="1336"/>
        <v>0</v>
      </c>
      <c r="U86" s="54"/>
      <c r="V86" s="51">
        <f t="shared" si="1211"/>
        <v>1</v>
      </c>
      <c r="W86" s="51">
        <v>0</v>
      </c>
      <c r="X86" s="51">
        <f t="shared" si="1337"/>
        <v>0</v>
      </c>
      <c r="Y86" s="54"/>
      <c r="Z86" s="51">
        <f t="shared" si="1212"/>
        <v>1</v>
      </c>
      <c r="AA86" s="51">
        <v>0</v>
      </c>
      <c r="AB86" s="51">
        <f t="shared" si="1338"/>
        <v>0</v>
      </c>
      <c r="AC86" s="54"/>
      <c r="AD86" s="51">
        <f t="shared" si="1339"/>
        <v>1</v>
      </c>
      <c r="AE86" s="51">
        <v>0</v>
      </c>
      <c r="AF86" s="51">
        <f t="shared" si="1340"/>
        <v>0</v>
      </c>
      <c r="AG86" s="54"/>
      <c r="AH86" s="51">
        <f t="shared" si="1232"/>
        <v>1</v>
      </c>
      <c r="AI86" s="51"/>
      <c r="AJ86" s="51">
        <f t="shared" si="1341"/>
        <v>0</v>
      </c>
      <c r="AK86" s="54"/>
      <c r="AL86" s="51">
        <f t="shared" si="1233"/>
        <v>1</v>
      </c>
      <c r="AM86" s="51"/>
      <c r="AN86" s="51">
        <f t="shared" si="1342"/>
        <v>0</v>
      </c>
      <c r="AO86" s="54"/>
      <c r="AP86" s="51">
        <f t="shared" si="1234"/>
        <v>1</v>
      </c>
      <c r="AQ86" s="51"/>
      <c r="AR86" s="51">
        <f t="shared" si="1343"/>
        <v>0</v>
      </c>
      <c r="AS86" s="54"/>
      <c r="AT86" s="51">
        <f t="shared" si="1235"/>
        <v>1</v>
      </c>
      <c r="AU86" s="51"/>
      <c r="AV86" s="51">
        <f t="shared" si="1344"/>
        <v>0</v>
      </c>
      <c r="AW86" s="54"/>
      <c r="AX86" s="51">
        <f t="shared" si="1236"/>
        <v>1</v>
      </c>
      <c r="AY86" s="51"/>
      <c r="AZ86" s="51">
        <f t="shared" si="1345"/>
        <v>0</v>
      </c>
      <c r="BA86" s="54"/>
      <c r="BB86" s="51">
        <f t="shared" si="1213"/>
        <v>1</v>
      </c>
      <c r="BC86" s="51"/>
      <c r="BD86" s="51">
        <f t="shared" si="1346"/>
        <v>0</v>
      </c>
      <c r="BE86" s="54"/>
      <c r="BF86" s="51">
        <f t="shared" si="1237"/>
        <v>1</v>
      </c>
      <c r="BG86" s="51"/>
      <c r="BH86" s="51">
        <f t="shared" si="1347"/>
        <v>0</v>
      </c>
      <c r="BI86" s="54"/>
      <c r="BJ86" s="51">
        <f t="shared" si="1238"/>
        <v>1</v>
      </c>
      <c r="BK86" s="51">
        <f t="shared" si="1239"/>
        <v>0</v>
      </c>
      <c r="BL86" s="51">
        <f t="shared" si="1348"/>
        <v>0</v>
      </c>
      <c r="BM86" s="54"/>
      <c r="BN86" s="51">
        <f t="shared" si="1240"/>
        <v>1</v>
      </c>
      <c r="BO86" s="51">
        <f t="shared" si="1241"/>
        <v>0</v>
      </c>
      <c r="BP86" s="51">
        <f t="shared" si="1349"/>
        <v>0</v>
      </c>
      <c r="BQ86" s="54"/>
      <c r="BR86" s="51">
        <f t="shared" si="1242"/>
        <v>1</v>
      </c>
      <c r="BS86" s="51">
        <f t="shared" si="1243"/>
        <v>0</v>
      </c>
      <c r="BT86" s="51">
        <f t="shared" si="1350"/>
        <v>0</v>
      </c>
      <c r="BU86" s="54"/>
      <c r="BV86" s="51">
        <f t="shared" si="1244"/>
        <v>1</v>
      </c>
      <c r="BW86" s="51">
        <f t="shared" si="1245"/>
        <v>0</v>
      </c>
      <c r="BX86" s="51">
        <f t="shared" si="1351"/>
        <v>0</v>
      </c>
      <c r="BY86" s="54"/>
      <c r="BZ86" s="51">
        <f t="shared" si="1246"/>
        <v>1</v>
      </c>
      <c r="CA86" s="51">
        <f t="shared" si="1247"/>
        <v>0</v>
      </c>
      <c r="CB86" s="51">
        <f t="shared" si="1352"/>
        <v>0</v>
      </c>
      <c r="CC86" s="54"/>
      <c r="CD86" s="51">
        <f t="shared" si="1248"/>
        <v>1</v>
      </c>
      <c r="CE86" s="51">
        <f t="shared" si="1249"/>
        <v>0</v>
      </c>
      <c r="CF86" s="51">
        <f t="shared" si="1353"/>
        <v>0</v>
      </c>
      <c r="CG86" s="54"/>
      <c r="CH86" s="51">
        <f t="shared" si="1250"/>
        <v>1</v>
      </c>
      <c r="CI86" s="51">
        <f t="shared" si="1251"/>
        <v>0</v>
      </c>
      <c r="CJ86" s="51">
        <f t="shared" si="1354"/>
        <v>0</v>
      </c>
      <c r="CK86" s="54"/>
      <c r="CL86" s="51">
        <f t="shared" si="1252"/>
        <v>1</v>
      </c>
      <c r="CM86" s="51">
        <f t="shared" si="1253"/>
        <v>0</v>
      </c>
      <c r="CN86" s="51">
        <f t="shared" si="1355"/>
        <v>0</v>
      </c>
      <c r="CO86" s="54"/>
      <c r="CP86" s="51">
        <f t="shared" si="1254"/>
        <v>1</v>
      </c>
      <c r="CQ86" s="51">
        <f t="shared" si="1255"/>
        <v>0</v>
      </c>
      <c r="CR86" s="51">
        <f t="shared" si="1356"/>
        <v>0</v>
      </c>
      <c r="CS86" s="54"/>
      <c r="CT86" s="51">
        <f t="shared" si="1256"/>
        <v>1</v>
      </c>
      <c r="CU86" s="51">
        <f t="shared" si="1257"/>
        <v>0</v>
      </c>
      <c r="CV86" s="51">
        <f t="shared" si="1357"/>
        <v>0</v>
      </c>
      <c r="CW86" s="54"/>
      <c r="CX86" s="51">
        <f t="shared" si="1214"/>
        <v>1</v>
      </c>
      <c r="CY86" s="51">
        <f t="shared" si="1215"/>
        <v>0</v>
      </c>
      <c r="CZ86" s="51">
        <f t="shared" si="1358"/>
        <v>0</v>
      </c>
      <c r="DA86" s="54"/>
      <c r="DB86" s="51">
        <f t="shared" si="1258"/>
        <v>1</v>
      </c>
      <c r="DC86" s="51">
        <f t="shared" si="1259"/>
        <v>0</v>
      </c>
      <c r="DD86" s="51">
        <f t="shared" si="1359"/>
        <v>0</v>
      </c>
      <c r="DE86" s="54"/>
      <c r="DF86" s="51">
        <f t="shared" si="1260"/>
        <v>1</v>
      </c>
      <c r="DG86" s="51">
        <f t="shared" si="1261"/>
        <v>0</v>
      </c>
      <c r="DH86" s="51">
        <f t="shared" si="1360"/>
        <v>0</v>
      </c>
      <c r="DI86" s="54"/>
      <c r="DJ86" s="51">
        <f t="shared" si="1262"/>
        <v>1</v>
      </c>
      <c r="DK86" s="51">
        <f t="shared" si="1263"/>
        <v>0</v>
      </c>
      <c r="DL86" s="51">
        <f t="shared" si="1361"/>
        <v>0</v>
      </c>
      <c r="DM86" s="54"/>
      <c r="DN86" s="51">
        <f t="shared" si="1264"/>
        <v>1</v>
      </c>
      <c r="DO86" s="51">
        <f t="shared" si="1265"/>
        <v>0</v>
      </c>
      <c r="DP86" s="51">
        <f t="shared" si="1362"/>
        <v>0</v>
      </c>
      <c r="DQ86" s="54"/>
      <c r="DR86" s="51">
        <f t="shared" si="1266"/>
        <v>1</v>
      </c>
      <c r="DS86" s="51">
        <f t="shared" si="1267"/>
        <v>0</v>
      </c>
      <c r="DT86" s="51">
        <f t="shared" si="1363"/>
        <v>0</v>
      </c>
      <c r="DU86" s="54"/>
      <c r="DV86" s="51">
        <f t="shared" si="1268"/>
        <v>1</v>
      </c>
      <c r="DW86" s="51">
        <f t="shared" si="1269"/>
        <v>0</v>
      </c>
      <c r="DX86" s="51">
        <f t="shared" si="1364"/>
        <v>0</v>
      </c>
      <c r="DY86" s="54"/>
      <c r="DZ86" s="51">
        <f t="shared" si="1270"/>
        <v>1</v>
      </c>
      <c r="EA86" s="51">
        <f t="shared" si="1271"/>
        <v>0</v>
      </c>
      <c r="EB86" s="51">
        <f t="shared" si="1365"/>
        <v>0</v>
      </c>
      <c r="EC86" s="54"/>
      <c r="ED86" s="51">
        <f t="shared" si="1272"/>
        <v>1</v>
      </c>
      <c r="EE86" s="51">
        <f t="shared" si="1273"/>
        <v>0</v>
      </c>
      <c r="EF86" s="51">
        <f t="shared" si="1366"/>
        <v>0</v>
      </c>
      <c r="EG86" s="54"/>
      <c r="EH86" s="51">
        <f t="shared" si="1274"/>
        <v>1</v>
      </c>
      <c r="EI86" s="51">
        <f t="shared" si="1275"/>
        <v>0</v>
      </c>
      <c r="EJ86" s="51">
        <f t="shared" si="1367"/>
        <v>0</v>
      </c>
      <c r="EK86" s="54"/>
      <c r="EL86" s="51">
        <f t="shared" si="1276"/>
        <v>1</v>
      </c>
      <c r="EM86" s="51">
        <f t="shared" si="1277"/>
        <v>0</v>
      </c>
      <c r="EN86" s="51">
        <f t="shared" si="1368"/>
        <v>0</v>
      </c>
      <c r="EO86" s="54"/>
      <c r="EP86" s="51">
        <f t="shared" si="1278"/>
        <v>1</v>
      </c>
      <c r="EQ86" s="51">
        <f t="shared" si="1279"/>
        <v>0</v>
      </c>
      <c r="ER86" s="51">
        <f t="shared" si="1369"/>
        <v>0</v>
      </c>
      <c r="ES86" s="54"/>
      <c r="ET86" s="51">
        <f t="shared" si="1216"/>
        <v>1</v>
      </c>
      <c r="EU86" s="51">
        <f t="shared" si="1217"/>
        <v>0</v>
      </c>
      <c r="EV86" s="51">
        <f t="shared" si="1370"/>
        <v>0</v>
      </c>
      <c r="EW86" s="54"/>
      <c r="EX86" s="51">
        <f t="shared" si="1280"/>
        <v>1</v>
      </c>
      <c r="EY86" s="51">
        <f t="shared" si="1281"/>
        <v>0</v>
      </c>
      <c r="EZ86" s="51">
        <f t="shared" si="1371"/>
        <v>0</v>
      </c>
      <c r="FA86" s="54"/>
      <c r="FB86" s="51">
        <f t="shared" si="1282"/>
        <v>1</v>
      </c>
      <c r="FC86" s="51">
        <f t="shared" si="1283"/>
        <v>0</v>
      </c>
      <c r="FD86" s="51">
        <f t="shared" si="1372"/>
        <v>0</v>
      </c>
      <c r="FE86" s="54"/>
      <c r="FF86" s="51">
        <f t="shared" si="1284"/>
        <v>1</v>
      </c>
      <c r="FG86" s="51">
        <f t="shared" si="1285"/>
        <v>0</v>
      </c>
      <c r="FH86" s="51">
        <f t="shared" si="1373"/>
        <v>0</v>
      </c>
      <c r="FI86" s="54"/>
      <c r="FJ86" s="51">
        <f t="shared" si="1286"/>
        <v>1</v>
      </c>
      <c r="FK86" s="51">
        <f t="shared" si="1287"/>
        <v>0</v>
      </c>
      <c r="FL86" s="51">
        <f t="shared" si="1374"/>
        <v>0</v>
      </c>
      <c r="FM86" s="54"/>
      <c r="FN86" s="51">
        <f t="shared" si="1288"/>
        <v>1</v>
      </c>
      <c r="FO86" s="51">
        <f t="shared" si="1289"/>
        <v>0</v>
      </c>
      <c r="FP86" s="51">
        <f t="shared" si="1375"/>
        <v>0</v>
      </c>
      <c r="FQ86" s="54"/>
      <c r="FR86" s="51">
        <f t="shared" si="1290"/>
        <v>1</v>
      </c>
      <c r="FS86" s="51">
        <f t="shared" si="1291"/>
        <v>0</v>
      </c>
      <c r="FT86" s="51">
        <f t="shared" si="1376"/>
        <v>0</v>
      </c>
      <c r="FU86" s="54"/>
      <c r="FV86" s="51">
        <f t="shared" si="1292"/>
        <v>1</v>
      </c>
      <c r="FW86" s="51">
        <f t="shared" si="1293"/>
        <v>0</v>
      </c>
      <c r="FX86" s="51">
        <f t="shared" si="1377"/>
        <v>0</v>
      </c>
      <c r="FY86" s="54"/>
      <c r="FZ86" s="51">
        <f t="shared" si="1294"/>
        <v>1</v>
      </c>
      <c r="GA86" s="51">
        <f t="shared" si="1295"/>
        <v>0</v>
      </c>
      <c r="GB86" s="51">
        <f t="shared" si="1378"/>
        <v>0</v>
      </c>
      <c r="GC86" s="54"/>
      <c r="GD86" s="51">
        <f t="shared" si="1296"/>
        <v>1</v>
      </c>
      <c r="GE86" s="51">
        <f t="shared" si="1297"/>
        <v>0</v>
      </c>
      <c r="GF86" s="51">
        <f t="shared" si="1379"/>
        <v>0</v>
      </c>
      <c r="GG86" s="54"/>
      <c r="GH86" s="51">
        <f t="shared" si="1298"/>
        <v>1</v>
      </c>
      <c r="GI86" s="51">
        <f t="shared" si="1299"/>
        <v>0</v>
      </c>
      <c r="GJ86" s="51">
        <f t="shared" si="1380"/>
        <v>0</v>
      </c>
      <c r="GK86" s="54"/>
      <c r="GL86" s="51">
        <f t="shared" si="1300"/>
        <v>1</v>
      </c>
      <c r="GM86" s="51">
        <f t="shared" si="1301"/>
        <v>0</v>
      </c>
      <c r="GN86" s="51">
        <f t="shared" si="1381"/>
        <v>0</v>
      </c>
      <c r="GP86" s="51">
        <f t="shared" si="1218"/>
        <v>1</v>
      </c>
      <c r="GQ86" s="51">
        <f t="shared" si="1219"/>
        <v>0</v>
      </c>
      <c r="GR86" s="51">
        <f t="shared" si="1382"/>
        <v>0</v>
      </c>
      <c r="GS86" s="54"/>
      <c r="GT86" s="51">
        <f t="shared" si="1302"/>
        <v>1</v>
      </c>
      <c r="GU86" s="51">
        <f t="shared" si="1303"/>
        <v>0</v>
      </c>
      <c r="GV86" s="51">
        <f t="shared" si="1383"/>
        <v>0</v>
      </c>
      <c r="GW86" s="54"/>
      <c r="GX86" s="51">
        <f t="shared" si="1304"/>
        <v>1</v>
      </c>
      <c r="GY86" s="51">
        <f t="shared" si="1305"/>
        <v>0</v>
      </c>
      <c r="GZ86" s="51">
        <f t="shared" si="1384"/>
        <v>0</v>
      </c>
      <c r="HA86" s="54"/>
      <c r="HB86" s="51">
        <f t="shared" si="1306"/>
        <v>1</v>
      </c>
      <c r="HC86" s="51">
        <f t="shared" si="1307"/>
        <v>0</v>
      </c>
      <c r="HD86" s="51">
        <f t="shared" si="1385"/>
        <v>0</v>
      </c>
      <c r="HE86" s="54"/>
      <c r="HF86" s="51">
        <f t="shared" si="1308"/>
        <v>1</v>
      </c>
      <c r="HG86" s="51">
        <f t="shared" si="1309"/>
        <v>0</v>
      </c>
      <c r="HH86" s="51">
        <f t="shared" si="1386"/>
        <v>0</v>
      </c>
      <c r="HI86" s="54"/>
      <c r="HJ86" s="51">
        <f t="shared" si="1310"/>
        <v>1</v>
      </c>
      <c r="HK86" s="51">
        <f t="shared" si="1311"/>
        <v>0</v>
      </c>
      <c r="HL86" s="51">
        <f t="shared" si="1387"/>
        <v>0</v>
      </c>
      <c r="HM86" s="54"/>
      <c r="HN86" s="51">
        <f t="shared" si="1312"/>
        <v>1</v>
      </c>
      <c r="HO86" s="51">
        <f t="shared" si="1313"/>
        <v>0</v>
      </c>
      <c r="HP86" s="51">
        <f t="shared" si="1388"/>
        <v>0</v>
      </c>
      <c r="HQ86" s="54"/>
      <c r="HR86" s="51">
        <f t="shared" si="1314"/>
        <v>1</v>
      </c>
      <c r="HS86" s="51">
        <f t="shared" si="1315"/>
        <v>0</v>
      </c>
      <c r="HT86" s="51">
        <f t="shared" si="1389"/>
        <v>0</v>
      </c>
      <c r="HU86" s="54"/>
      <c r="HV86" s="51">
        <f t="shared" si="1316"/>
        <v>1</v>
      </c>
      <c r="HW86" s="51">
        <f t="shared" si="1317"/>
        <v>0</v>
      </c>
      <c r="HX86" s="51">
        <f t="shared" si="1390"/>
        <v>0</v>
      </c>
      <c r="HY86" s="54"/>
      <c r="HZ86" s="51">
        <f t="shared" si="1318"/>
        <v>1</v>
      </c>
      <c r="IA86" s="51">
        <f t="shared" si="1319"/>
        <v>0</v>
      </c>
      <c r="IB86" s="51">
        <f t="shared" si="1391"/>
        <v>0</v>
      </c>
      <c r="IC86" s="54"/>
      <c r="ID86" s="51">
        <f t="shared" si="1320"/>
        <v>1</v>
      </c>
      <c r="IE86" s="51">
        <f t="shared" si="1321"/>
        <v>0</v>
      </c>
      <c r="IF86" s="51">
        <f t="shared" si="1392"/>
        <v>0</v>
      </c>
      <c r="IG86" s="54"/>
      <c r="IH86" s="51">
        <f t="shared" si="1322"/>
        <v>1</v>
      </c>
      <c r="II86" s="51">
        <f t="shared" si="1323"/>
        <v>0</v>
      </c>
      <c r="IJ86" s="51">
        <f t="shared" si="1393"/>
        <v>0</v>
      </c>
      <c r="IL86" s="51">
        <f t="shared" si="1220"/>
        <v>1</v>
      </c>
      <c r="IM86" s="51">
        <f t="shared" si="1221"/>
        <v>0</v>
      </c>
      <c r="IN86" s="51">
        <f t="shared" si="1394"/>
        <v>0</v>
      </c>
      <c r="IO86" s="54"/>
      <c r="IP86" s="51">
        <f t="shared" si="1324"/>
        <v>1</v>
      </c>
      <c r="IQ86" s="51">
        <f t="shared" si="1325"/>
        <v>0</v>
      </c>
      <c r="IR86" s="51">
        <f t="shared" si="1395"/>
        <v>0</v>
      </c>
      <c r="IS86" s="54"/>
      <c r="IT86" s="51">
        <f t="shared" si="1326"/>
        <v>1</v>
      </c>
      <c r="IU86" s="51">
        <f t="shared" si="1327"/>
        <v>0</v>
      </c>
      <c r="IV86" s="51">
        <f t="shared" si="1396"/>
        <v>0</v>
      </c>
      <c r="IW86" s="54"/>
      <c r="IX86" s="51">
        <f t="shared" si="1328"/>
        <v>1</v>
      </c>
      <c r="IY86" s="51">
        <f t="shared" si="1329"/>
        <v>0</v>
      </c>
      <c r="IZ86" s="51">
        <f t="shared" si="1397"/>
        <v>0</v>
      </c>
      <c r="JA86" s="54"/>
      <c r="JB86" s="51" t="e">
        <f t="shared" si="1330"/>
        <v>#REF!</v>
      </c>
      <c r="JC86" s="51">
        <f t="shared" si="1331"/>
        <v>0</v>
      </c>
      <c r="JD86" s="51">
        <f t="shared" si="1398"/>
        <v>0</v>
      </c>
      <c r="JE86" s="54"/>
      <c r="JF86" s="51" t="e">
        <f t="shared" si="1332"/>
        <v>#REF!</v>
      </c>
      <c r="JG86" s="51">
        <f t="shared" si="1333"/>
        <v>0</v>
      </c>
      <c r="JH86" s="51">
        <f t="shared" si="1399"/>
        <v>0</v>
      </c>
      <c r="JI86" s="54"/>
      <c r="JJ86" s="51" t="e">
        <f t="shared" si="1334"/>
        <v>#REF!</v>
      </c>
      <c r="JK86" s="51">
        <f t="shared" si="1335"/>
        <v>0</v>
      </c>
      <c r="JL86" s="51">
        <f t="shared" si="1400"/>
        <v>0</v>
      </c>
      <c r="JM86" s="54"/>
      <c r="JO86" s="80"/>
      <c r="JP86" s="80"/>
      <c r="JQ86" s="80">
        <f t="shared" si="1222"/>
        <v>0</v>
      </c>
      <c r="JS86" s="80"/>
      <c r="JT86" s="80"/>
      <c r="JU86" s="80">
        <f t="shared" si="1223"/>
        <v>0</v>
      </c>
      <c r="JW86" s="80"/>
      <c r="JX86" s="80"/>
      <c r="JY86" s="80">
        <f t="shared" si="1224"/>
        <v>0</v>
      </c>
      <c r="KA86" s="80"/>
      <c r="KB86" s="80"/>
      <c r="KC86" s="80">
        <f t="shared" si="1225"/>
        <v>0</v>
      </c>
      <c r="KE86" s="80"/>
      <c r="KF86" s="80"/>
      <c r="KG86" s="80">
        <f t="shared" si="1226"/>
        <v>0</v>
      </c>
      <c r="KI86" s="80"/>
      <c r="KJ86" s="80"/>
      <c r="KK86" s="80">
        <f t="shared" si="1227"/>
        <v>0</v>
      </c>
      <c r="KM86" s="80"/>
      <c r="KN86" s="80"/>
      <c r="KO86" s="80">
        <f t="shared" si="1228"/>
        <v>0</v>
      </c>
    </row>
    <row r="87" ht="18.75" customHeight="1" spans="2:301" x14ac:dyDescent="0.25">
      <c r="B87" s="34" t="s">
        <v>58</v>
      </c>
      <c r="C87" s="34"/>
      <c r="D87" s="34"/>
      <c r="E87" s="30"/>
      <c r="F87" s="81">
        <f>SUM(F69:F86)</f>
        <v>18</v>
      </c>
      <c r="G87" s="81"/>
      <c r="H87" s="81">
        <f>SUM(H69:H86)</f>
        <v>0</v>
      </c>
      <c r="I87" s="81"/>
      <c r="J87" s="81">
        <f>SUM(J69:J86)</f>
        <v>18</v>
      </c>
      <c r="K87" s="81"/>
      <c r="L87" s="81">
        <f>SUM(L69:L86)</f>
        <v>0</v>
      </c>
      <c r="M87" s="81"/>
      <c r="N87" s="81">
        <f>SUM(N69:N86)</f>
        <v>18</v>
      </c>
      <c r="O87" s="81"/>
      <c r="P87" s="81">
        <f>SUM(P69:P86)</f>
        <v>0</v>
      </c>
      <c r="Q87" s="81"/>
      <c r="R87" s="81">
        <f>SUM(R69:R86)</f>
        <v>18</v>
      </c>
      <c r="S87" s="81"/>
      <c r="T87" s="81">
        <f>SUM(T69:T86)</f>
        <v>0</v>
      </c>
      <c r="U87" s="81"/>
      <c r="V87" s="81">
        <f>SUM(V69:V86)</f>
        <v>18</v>
      </c>
      <c r="W87" s="81"/>
      <c r="X87" s="81">
        <f>SUM(X69:X86)</f>
        <v>0</v>
      </c>
      <c r="Y87" s="81"/>
      <c r="Z87" s="81">
        <f>SUM(Z69:Z86)</f>
        <v>18</v>
      </c>
      <c r="AA87" s="81"/>
      <c r="AB87" s="81">
        <f>SUM(AB69:AB86)</f>
        <v>0</v>
      </c>
      <c r="AC87" s="81"/>
      <c r="AD87" s="81">
        <f>SUM(AD69:AD86)</f>
        <v>18</v>
      </c>
      <c r="AE87" s="81"/>
      <c r="AF87" s="81">
        <f>SUM(AF69:AF86)</f>
        <v>0</v>
      </c>
      <c r="AG87" s="81"/>
      <c r="AH87" s="81">
        <f>SUM(AH69:AH86)</f>
        <v>18</v>
      </c>
      <c r="AI87" s="81"/>
      <c r="AJ87" s="81">
        <f>SUM(AJ69:AJ86)</f>
        <v>0</v>
      </c>
      <c r="AK87" s="81"/>
      <c r="AL87" s="81">
        <f>SUM(AL69:AL86)</f>
        <v>18</v>
      </c>
      <c r="AM87" s="81"/>
      <c r="AN87" s="81">
        <f>SUM(AN69:AN86)</f>
        <v>0</v>
      </c>
      <c r="AO87" s="81"/>
      <c r="AP87" s="81">
        <f>SUM(AP69:AP86)</f>
        <v>18</v>
      </c>
      <c r="AQ87" s="81"/>
      <c r="AR87" s="81">
        <f>SUM(AR69:AR86)</f>
        <v>0</v>
      </c>
      <c r="AS87" s="81"/>
      <c r="AT87" s="81">
        <f>SUM(AT69:AT86)</f>
        <v>18</v>
      </c>
      <c r="AU87" s="81"/>
      <c r="AV87" s="81">
        <f>SUM(AV69:AV86)</f>
        <v>0</v>
      </c>
      <c r="AW87" s="81"/>
      <c r="AX87" s="81">
        <f>SUM(AX69:AX86)</f>
        <v>18</v>
      </c>
      <c r="AY87" s="81"/>
      <c r="AZ87" s="81">
        <f>SUM(AZ69:AZ86)</f>
        <v>0</v>
      </c>
      <c r="BA87" s="81"/>
      <c r="BB87" s="81">
        <f>SUM(BB69:BB86)</f>
        <v>18</v>
      </c>
      <c r="BC87" s="81"/>
      <c r="BD87" s="81">
        <f>SUM(BD69:BD86)</f>
        <v>0</v>
      </c>
      <c r="BE87" s="81"/>
      <c r="BF87" s="81">
        <f>SUM(BF69:BF86)</f>
        <v>18</v>
      </c>
      <c r="BG87" s="81"/>
      <c r="BH87" s="81">
        <f>SUM(BH69:BH86)</f>
        <v>0</v>
      </c>
      <c r="BI87" s="81"/>
      <c r="BJ87" s="81">
        <f>SUM(BJ69:BJ86)</f>
        <v>18</v>
      </c>
      <c r="BK87" s="81"/>
      <c r="BL87" s="81">
        <f>SUM(BL69:BL86)</f>
        <v>0</v>
      </c>
      <c r="BM87" s="81"/>
      <c r="BN87" s="81">
        <f>SUM(BN69:BN86)</f>
        <v>18</v>
      </c>
      <c r="BO87" s="81"/>
      <c r="BP87" s="81">
        <f>SUM(BP69:BP86)</f>
        <v>0</v>
      </c>
      <c r="BQ87" s="81"/>
      <c r="BR87" s="81">
        <f>SUM(BR69:BR86)</f>
        <v>18</v>
      </c>
      <c r="BS87" s="81"/>
      <c r="BT87" s="81">
        <f>SUM(BT69:BT86)</f>
        <v>0</v>
      </c>
      <c r="BU87" s="81"/>
      <c r="BV87" s="81">
        <f>SUM(BV69:BV86)</f>
        <v>18</v>
      </c>
      <c r="BW87" s="81"/>
      <c r="BX87" s="81">
        <f>SUM(BX69:BX86)</f>
        <v>0</v>
      </c>
      <c r="BY87" s="81"/>
      <c r="BZ87" s="81">
        <f>SUM(BZ69:BZ86)</f>
        <v>18</v>
      </c>
      <c r="CA87" s="81"/>
      <c r="CB87" s="81">
        <f>SUM(CB69:CB86)</f>
        <v>0</v>
      </c>
      <c r="CC87" s="81"/>
      <c r="CD87" s="81">
        <f>SUM(CD69:CD86)</f>
        <v>18</v>
      </c>
      <c r="CE87" s="81"/>
      <c r="CF87" s="81">
        <f>SUM(CF69:CF86)</f>
        <v>0</v>
      </c>
      <c r="CG87" s="81"/>
      <c r="CH87" s="81">
        <f>SUM(CH69:CH86)</f>
        <v>18</v>
      </c>
      <c r="CI87" s="81"/>
      <c r="CJ87" s="81">
        <f>SUM(CJ69:CJ86)</f>
        <v>0</v>
      </c>
      <c r="CK87" s="81"/>
      <c r="CL87" s="81">
        <f>SUM(CL69:CL86)</f>
        <v>18</v>
      </c>
      <c r="CM87" s="81"/>
      <c r="CN87" s="81">
        <f>SUM(CN69:CN86)</f>
        <v>0</v>
      </c>
      <c r="CO87" s="81"/>
      <c r="CP87" s="81">
        <f>SUM(CP69:CP86)</f>
        <v>18</v>
      </c>
      <c r="CQ87" s="81"/>
      <c r="CR87" s="81">
        <f>SUM(CR69:CR86)</f>
        <v>0</v>
      </c>
      <c r="CS87" s="81"/>
      <c r="CT87" s="81">
        <f>SUM(CT69:CT86)</f>
        <v>18</v>
      </c>
      <c r="CU87" s="81"/>
      <c r="CV87" s="81">
        <f>SUM(CV69:CV86)</f>
        <v>0</v>
      </c>
      <c r="CW87" s="81"/>
      <c r="CX87" s="81">
        <f>SUM(CX69:CX86)</f>
        <v>18</v>
      </c>
      <c r="CY87" s="81"/>
      <c r="CZ87" s="81">
        <f>SUM(CZ69:CZ86)</f>
        <v>0</v>
      </c>
      <c r="DA87" s="81"/>
      <c r="DB87" s="81">
        <f>SUM(DB69:DB86)</f>
        <v>18</v>
      </c>
      <c r="DC87" s="81"/>
      <c r="DD87" s="81">
        <f>SUM(DD69:DD86)</f>
        <v>0</v>
      </c>
      <c r="DE87" s="81"/>
      <c r="DF87" s="81">
        <f>SUM(DF69:DF86)</f>
        <v>18</v>
      </c>
      <c r="DG87" s="81"/>
      <c r="DH87" s="81">
        <f>SUM(DH69:DH86)</f>
        <v>0</v>
      </c>
      <c r="DI87" s="81"/>
      <c r="DJ87" s="81">
        <f>SUM(DJ69:DJ86)</f>
        <v>18</v>
      </c>
      <c r="DK87" s="81"/>
      <c r="DL87" s="81">
        <f>SUM(DL69:DL86)</f>
        <v>0</v>
      </c>
      <c r="DM87" s="81"/>
      <c r="DN87" s="81">
        <f>SUM(DN69:DN86)</f>
        <v>18</v>
      </c>
      <c r="DO87" s="81"/>
      <c r="DP87" s="81">
        <f>SUM(DP69:DP86)</f>
        <v>0</v>
      </c>
      <c r="DQ87" s="81"/>
      <c r="DR87" s="81">
        <f>SUM(DR69:DR86)</f>
        <v>18</v>
      </c>
      <c r="DS87" s="81"/>
      <c r="DT87" s="81">
        <f>SUM(DT69:DT86)</f>
        <v>0</v>
      </c>
      <c r="DU87" s="81"/>
      <c r="DV87" s="81">
        <f>SUM(DV69:DV86)</f>
        <v>18</v>
      </c>
      <c r="DW87" s="81"/>
      <c r="DX87" s="81">
        <f>SUM(DX69:DX86)</f>
        <v>0</v>
      </c>
      <c r="DY87" s="81"/>
      <c r="DZ87" s="81">
        <f>SUM(DZ69:DZ86)</f>
        <v>18</v>
      </c>
      <c r="EA87" s="81"/>
      <c r="EB87" s="81">
        <f>SUM(EB69:EB86)</f>
        <v>0</v>
      </c>
      <c r="EC87" s="81"/>
      <c r="ED87" s="81">
        <f>SUM(ED69:ED86)</f>
        <v>18</v>
      </c>
      <c r="EE87" s="81"/>
      <c r="EF87" s="81">
        <f>SUM(EF69:EF86)</f>
        <v>0</v>
      </c>
      <c r="EG87" s="81"/>
      <c r="EH87" s="81">
        <f>SUM(EH69:EH86)</f>
        <v>18</v>
      </c>
      <c r="EI87" s="81"/>
      <c r="EJ87" s="81">
        <f>SUM(EJ69:EJ86)</f>
        <v>0</v>
      </c>
      <c r="EK87" s="81"/>
      <c r="EL87" s="81">
        <f>SUM(EL69:EL86)</f>
        <v>18</v>
      </c>
      <c r="EM87" s="81"/>
      <c r="EN87" s="81">
        <f>SUM(EN69:EN86)</f>
        <v>0</v>
      </c>
      <c r="EO87" s="81"/>
      <c r="EP87" s="81">
        <f>SUM(EP69:EP86)</f>
        <v>18</v>
      </c>
      <c r="EQ87" s="81"/>
      <c r="ER87" s="81">
        <f>SUM(ER69:ER86)</f>
        <v>0</v>
      </c>
      <c r="ES87" s="81"/>
      <c r="ET87" s="81">
        <f>SUM(ET69:ET86)</f>
        <v>18</v>
      </c>
      <c r="EU87" s="81"/>
      <c r="EV87" s="81">
        <f>SUM(EV69:EV86)</f>
        <v>0</v>
      </c>
      <c r="EW87" s="81"/>
      <c r="EX87" s="81">
        <f>SUM(EX69:EX86)</f>
        <v>18</v>
      </c>
      <c r="EY87" s="81"/>
      <c r="EZ87" s="81">
        <f>SUM(EZ69:EZ86)</f>
        <v>0</v>
      </c>
      <c r="FA87" s="81"/>
      <c r="FB87" s="81">
        <f>SUM(FB69:FB86)</f>
        <v>18</v>
      </c>
      <c r="FC87" s="81"/>
      <c r="FD87" s="81">
        <f>SUM(FD69:FD86)</f>
        <v>0</v>
      </c>
      <c r="FE87" s="81"/>
      <c r="FF87" s="81">
        <f>SUM(FF69:FF86)</f>
        <v>18</v>
      </c>
      <c r="FG87" s="81"/>
      <c r="FH87" s="81">
        <f>SUM(FH69:FH86)</f>
        <v>0</v>
      </c>
      <c r="FI87" s="81"/>
      <c r="FJ87" s="81">
        <f>SUM(FJ69:FJ86)</f>
        <v>18</v>
      </c>
      <c r="FK87" s="81"/>
      <c r="FL87" s="81">
        <f>SUM(FL69:FL86)</f>
        <v>0</v>
      </c>
      <c r="FM87" s="81"/>
      <c r="FN87" s="81">
        <f>SUM(FN69:FN86)</f>
        <v>18</v>
      </c>
      <c r="FO87" s="81"/>
      <c r="FP87" s="81">
        <f>SUM(FP69:FP86)</f>
        <v>0</v>
      </c>
      <c r="FQ87" s="81"/>
      <c r="FR87" s="81">
        <f>SUM(FR69:FR86)</f>
        <v>18</v>
      </c>
      <c r="FS87" s="81"/>
      <c r="FT87" s="81">
        <f>SUM(FT69:FT86)</f>
        <v>0</v>
      </c>
      <c r="FU87" s="81"/>
      <c r="FV87" s="81">
        <f>SUM(FV69:FV86)</f>
        <v>18</v>
      </c>
      <c r="FW87" s="81"/>
      <c r="FX87" s="81">
        <f>SUM(FX69:FX86)</f>
        <v>0</v>
      </c>
      <c r="FY87" s="81"/>
      <c r="FZ87" s="81">
        <f>SUM(FZ69:FZ86)</f>
        <v>18</v>
      </c>
      <c r="GA87" s="81"/>
      <c r="GB87" s="81">
        <f>SUM(GB69:GB86)</f>
        <v>0</v>
      </c>
      <c r="GC87" s="81"/>
      <c r="GD87" s="81">
        <f>SUM(GD69:GD86)</f>
        <v>18</v>
      </c>
      <c r="GE87" s="81"/>
      <c r="GF87" s="81">
        <f>SUM(GF69:GF86)</f>
        <v>0</v>
      </c>
      <c r="GG87" s="81"/>
      <c r="GH87" s="81">
        <f>SUM(GH69:GH86)</f>
        <v>18</v>
      </c>
      <c r="GI87" s="81"/>
      <c r="GJ87" s="81">
        <f>SUM(GJ69:GJ86)</f>
        <v>0</v>
      </c>
      <c r="GK87" s="81"/>
      <c r="GL87" s="81">
        <f>SUM(GL69:GL86)</f>
        <v>18</v>
      </c>
      <c r="GM87" s="81"/>
      <c r="GN87" s="81">
        <f>SUM(GN69:GN86)</f>
        <v>0</v>
      </c>
      <c r="GO87" s="9"/>
      <c r="GP87" s="81">
        <f>SUM(GP69:GP86)</f>
        <v>18</v>
      </c>
      <c r="GQ87" s="81"/>
      <c r="GR87" s="81">
        <f>SUM(GR69:GR86)</f>
        <v>0</v>
      </c>
      <c r="GS87" s="81"/>
      <c r="GT87" s="81">
        <f>SUM(GT69:GT86)</f>
        <v>18</v>
      </c>
      <c r="GU87" s="81"/>
      <c r="GV87" s="81">
        <f>SUM(GV69:GV86)</f>
        <v>0</v>
      </c>
      <c r="GW87" s="81"/>
      <c r="GX87" s="81">
        <f>SUM(GX69:GX86)</f>
        <v>18</v>
      </c>
      <c r="GY87" s="81"/>
      <c r="GZ87" s="81">
        <f>SUM(GZ69:GZ86)</f>
        <v>0</v>
      </c>
      <c r="HA87" s="81"/>
      <c r="HB87" s="81">
        <f>SUM(HB69:HB86)</f>
        <v>18</v>
      </c>
      <c r="HC87" s="81"/>
      <c r="HD87" s="81">
        <f>SUM(HD69:HD86)</f>
        <v>0</v>
      </c>
      <c r="HE87" s="81"/>
      <c r="HF87" s="81">
        <f>SUM(HF69:HF86)</f>
        <v>18</v>
      </c>
      <c r="HG87" s="81"/>
      <c r="HH87" s="81">
        <f>SUM(HH69:HH86)</f>
        <v>0</v>
      </c>
      <c r="HI87" s="81"/>
      <c r="HJ87" s="81">
        <f>SUM(HJ69:HJ86)</f>
        <v>18</v>
      </c>
      <c r="HK87" s="81"/>
      <c r="HL87" s="81">
        <f>SUM(HL69:HL86)</f>
        <v>0</v>
      </c>
      <c r="HM87" s="81"/>
      <c r="HN87" s="81">
        <f>SUM(HN69:HN86)</f>
        <v>18</v>
      </c>
      <c r="HO87" s="81"/>
      <c r="HP87" s="81">
        <f>SUM(HP69:HP86)</f>
        <v>0</v>
      </c>
      <c r="HQ87" s="81"/>
      <c r="HR87" s="81">
        <f>SUM(HR69:HR86)</f>
        <v>18</v>
      </c>
      <c r="HS87" s="81"/>
      <c r="HT87" s="81">
        <f>SUM(HT69:HT86)</f>
        <v>0</v>
      </c>
      <c r="HU87" s="81"/>
      <c r="HV87" s="81">
        <f>SUM(HV69:HV86)</f>
        <v>18</v>
      </c>
      <c r="HW87" s="81"/>
      <c r="HX87" s="81">
        <f>SUM(HX69:HX86)</f>
        <v>0</v>
      </c>
      <c r="HY87" s="81"/>
      <c r="HZ87" s="81">
        <f>SUM(HZ69:HZ86)</f>
        <v>18</v>
      </c>
      <c r="IA87" s="81"/>
      <c r="IB87" s="81">
        <f>SUM(IB69:IB86)</f>
        <v>0</v>
      </c>
      <c r="IC87" s="81"/>
      <c r="ID87" s="81">
        <f>SUM(ID69:ID86)</f>
        <v>18</v>
      </c>
      <c r="IE87" s="81"/>
      <c r="IF87" s="81">
        <f>SUM(IF69:IF86)</f>
        <v>0</v>
      </c>
      <c r="IG87" s="81"/>
      <c r="IH87" s="81">
        <f>SUM(IH69:IH86)</f>
        <v>18</v>
      </c>
      <c r="II87" s="81"/>
      <c r="IJ87" s="81">
        <f>SUM(IJ69:IJ86)</f>
        <v>0</v>
      </c>
      <c r="IK87" s="9"/>
      <c r="IL87" s="81">
        <f>SUM(IL69:IL86)</f>
        <v>18</v>
      </c>
      <c r="IM87" s="81"/>
      <c r="IN87" s="81">
        <f>SUM(IN69:IN86)</f>
        <v>0</v>
      </c>
      <c r="IO87" s="81"/>
      <c r="IP87" s="81">
        <f>SUM(IP69:IP86)</f>
        <v>18</v>
      </c>
      <c r="IQ87" s="81"/>
      <c r="IR87" s="81">
        <f>SUM(IR69:IR86)</f>
        <v>0</v>
      </c>
      <c r="IS87" s="81"/>
      <c r="IT87" s="81">
        <f>SUM(IT69:IT86)</f>
        <v>18</v>
      </c>
      <c r="IU87" s="81"/>
      <c r="IV87" s="81">
        <f>SUM(IV69:IV86)</f>
        <v>0</v>
      </c>
      <c r="IW87" s="81"/>
      <c r="IX87" s="81">
        <f>SUM(IX69:IX86)</f>
        <v>18</v>
      </c>
      <c r="IY87" s="81"/>
      <c r="IZ87" s="81">
        <f>SUM(IZ69:IZ86)</f>
        <v>0</v>
      </c>
      <c r="JA87" s="81"/>
      <c r="JB87" s="81" t="e">
        <f>SUM(JB69:JB86)</f>
        <v>#REF!</v>
      </c>
      <c r="JC87" s="81"/>
      <c r="JD87" s="81">
        <f>SUM(JD69:JD86)</f>
        <v>0</v>
      </c>
      <c r="JE87" s="81"/>
      <c r="JF87" s="81" t="e">
        <f>SUM(JF69:JF86)</f>
        <v>#REF!</v>
      </c>
      <c r="JG87" s="81"/>
      <c r="JH87" s="81">
        <f>SUM(JH69:JH86)</f>
        <v>0</v>
      </c>
      <c r="JI87" s="81"/>
      <c r="JJ87" s="81" t="e">
        <f>SUM(JJ69:JJ86)</f>
        <v>#REF!</v>
      </c>
      <c r="JK87" s="81"/>
      <c r="JL87" s="81">
        <f>SUM(JL69:JL86)</f>
        <v>0</v>
      </c>
      <c r="JM87" s="81"/>
      <c r="JN87" s="9"/>
      <c r="JO87" s="81"/>
      <c r="JP87" s="81"/>
      <c r="JQ87" s="80">
        <f t="shared" si="1222"/>
        <v>0</v>
      </c>
      <c r="JS87" s="81"/>
      <c r="JT87" s="81"/>
      <c r="JU87" s="80">
        <f t="shared" si="1223"/>
        <v>0</v>
      </c>
      <c r="JW87" s="81"/>
      <c r="JX87" s="81"/>
      <c r="JY87" s="80">
        <f t="shared" si="1224"/>
        <v>0</v>
      </c>
      <c r="KA87" s="81"/>
      <c r="KB87" s="81"/>
      <c r="KC87" s="80">
        <f t="shared" si="1225"/>
        <v>0</v>
      </c>
      <c r="KE87" s="81"/>
      <c r="KF87" s="81"/>
      <c r="KG87" s="80">
        <f t="shared" si="1226"/>
        <v>0</v>
      </c>
      <c r="KI87" s="81"/>
      <c r="KJ87" s="81"/>
      <c r="KK87" s="80">
        <f t="shared" si="1227"/>
        <v>0</v>
      </c>
      <c r="KM87" s="81"/>
      <c r="KN87" s="81"/>
      <c r="KO87" s="80">
        <f t="shared" si="1228"/>
        <v>0</v>
      </c>
    </row>
    <row r="88" ht="9.75" customHeight="1" spans="2:301" x14ac:dyDescent="0.25">
      <c r="B88" s="9"/>
      <c r="C88" s="28"/>
      <c r="D88" s="30"/>
      <c r="E88" s="30"/>
      <c r="F88" s="54"/>
      <c r="G88" s="54"/>
      <c r="H88" s="54"/>
      <c r="I88" s="54"/>
      <c r="J88" s="54"/>
      <c r="K88" s="54"/>
      <c r="L88" s="54"/>
      <c r="M88" s="54"/>
      <c r="N88" s="54"/>
      <c r="O88" s="54"/>
      <c r="P88" s="54"/>
      <c r="Q88" s="54"/>
      <c r="R88" s="54"/>
      <c r="S88" s="54"/>
      <c r="T88" s="54"/>
      <c r="U88" s="54"/>
      <c r="V88" s="54"/>
      <c r="W88" s="54"/>
      <c r="X88" s="54"/>
      <c r="Y88" s="54"/>
      <c r="Z88" s="54"/>
      <c r="AA88" s="54"/>
      <c r="AB88" s="54"/>
      <c r="AC88" s="54"/>
      <c r="AD88" s="54"/>
      <c r="AE88" s="54"/>
      <c r="AF88" s="54"/>
      <c r="AG88" s="54"/>
      <c r="AH88" s="54"/>
      <c r="AI88" s="54"/>
      <c r="AJ88" s="54"/>
      <c r="AK88" s="54"/>
      <c r="AL88" s="54"/>
      <c r="AM88" s="54"/>
      <c r="AN88" s="54"/>
      <c r="AO88" s="54"/>
      <c r="AP88" s="54"/>
      <c r="AQ88" s="54"/>
      <c r="AR88" s="54"/>
      <c r="AS88" s="54"/>
      <c r="AT88" s="54"/>
      <c r="AU88" s="54"/>
      <c r="AV88" s="54"/>
      <c r="AW88" s="54"/>
      <c r="AX88" s="54"/>
      <c r="AY88" s="54"/>
      <c r="AZ88" s="54"/>
      <c r="BA88" s="54"/>
      <c r="BB88" s="54"/>
      <c r="BC88" s="54"/>
      <c r="BD88" s="54"/>
      <c r="BE88" s="54"/>
      <c r="BF88" s="54"/>
      <c r="BG88" s="54"/>
      <c r="BH88" s="54"/>
      <c r="BI88" s="54"/>
      <c r="BJ88" s="54"/>
      <c r="BK88" s="54"/>
      <c r="BL88" s="54"/>
      <c r="BM88" s="54"/>
      <c r="BN88" s="54"/>
      <c r="BO88" s="54"/>
      <c r="BP88" s="54"/>
      <c r="BQ88" s="54"/>
      <c r="BR88" s="54"/>
      <c r="BS88" s="54"/>
      <c r="BT88" s="54"/>
      <c r="BU88" s="54"/>
      <c r="BV88" s="54"/>
      <c r="BW88" s="54"/>
      <c r="BX88" s="54"/>
      <c r="BY88" s="54"/>
      <c r="BZ88" s="54"/>
      <c r="CA88" s="54"/>
      <c r="CB88" s="54"/>
      <c r="CC88" s="54"/>
      <c r="CD88" s="54"/>
      <c r="CE88" s="54"/>
      <c r="CF88" s="54"/>
      <c r="CG88" s="54"/>
      <c r="CH88" s="54"/>
      <c r="CI88" s="54"/>
      <c r="CJ88" s="54"/>
      <c r="CK88" s="54"/>
      <c r="CL88" s="54"/>
      <c r="CM88" s="54"/>
      <c r="CN88" s="54"/>
      <c r="CO88" s="54"/>
      <c r="CP88" s="54"/>
      <c r="CQ88" s="54"/>
      <c r="CR88" s="54"/>
      <c r="CS88" s="54"/>
      <c r="CT88" s="54"/>
      <c r="CU88" s="54"/>
      <c r="CV88" s="54"/>
      <c r="CW88" s="54"/>
      <c r="CX88" s="54"/>
      <c r="CY88" s="54"/>
      <c r="CZ88" s="54"/>
      <c r="DA88" s="54"/>
      <c r="DB88" s="54"/>
      <c r="DC88" s="54"/>
      <c r="DD88" s="54"/>
      <c r="DE88" s="54"/>
      <c r="DF88" s="54"/>
      <c r="DG88" s="54"/>
      <c r="DH88" s="54"/>
      <c r="DI88" s="54"/>
      <c r="DJ88" s="54"/>
      <c r="DK88" s="54"/>
      <c r="DL88" s="54"/>
      <c r="DM88" s="54"/>
      <c r="DN88" s="54"/>
      <c r="DO88" s="54"/>
      <c r="DP88" s="54"/>
      <c r="DQ88" s="54"/>
      <c r="DR88" s="54"/>
      <c r="DS88" s="54"/>
      <c r="DT88" s="54"/>
      <c r="DU88" s="54"/>
      <c r="DV88" s="54"/>
      <c r="DW88" s="54"/>
      <c r="DX88" s="54"/>
      <c r="DY88" s="54"/>
      <c r="DZ88" s="54"/>
      <c r="EA88" s="54"/>
      <c r="EB88" s="54"/>
      <c r="EC88" s="54"/>
      <c r="ED88" s="54"/>
      <c r="EE88" s="54"/>
      <c r="EF88" s="54"/>
      <c r="EG88" s="54"/>
      <c r="EH88" s="54"/>
      <c r="EI88" s="54"/>
      <c r="EJ88" s="54"/>
      <c r="EK88" s="54"/>
      <c r="EL88" s="54"/>
      <c r="EM88" s="54"/>
      <c r="EN88" s="54"/>
      <c r="EO88" s="54"/>
      <c r="EP88" s="54"/>
      <c r="EQ88" s="54"/>
      <c r="ER88" s="54"/>
      <c r="ES88" s="54"/>
      <c r="ET88" s="54"/>
      <c r="EU88" s="54"/>
      <c r="EV88" s="54"/>
      <c r="EW88" s="54"/>
      <c r="EX88" s="54"/>
      <c r="EY88" s="54"/>
      <c r="EZ88" s="54"/>
      <c r="FA88" s="54"/>
      <c r="FB88" s="54"/>
      <c r="FC88" s="54"/>
      <c r="FD88" s="54"/>
      <c r="FE88" s="54"/>
      <c r="FF88" s="54"/>
      <c r="FG88" s="54"/>
      <c r="FH88" s="54"/>
      <c r="FI88" s="54"/>
      <c r="FJ88" s="54"/>
      <c r="FK88" s="54"/>
      <c r="FL88" s="54"/>
      <c r="FM88" s="54"/>
      <c r="FN88" s="54"/>
      <c r="FO88" s="54"/>
      <c r="FP88" s="54"/>
      <c r="FQ88" s="54"/>
      <c r="FR88" s="54"/>
      <c r="FS88" s="54"/>
      <c r="FT88" s="54"/>
      <c r="FU88" s="54"/>
      <c r="FV88" s="54"/>
      <c r="FW88" s="54"/>
      <c r="FX88" s="54"/>
      <c r="FY88" s="54"/>
      <c r="FZ88" s="54"/>
      <c r="GA88" s="54"/>
      <c r="GB88" s="54"/>
      <c r="GC88" s="54"/>
      <c r="GD88" s="54"/>
      <c r="GE88" s="54"/>
      <c r="GF88" s="54"/>
      <c r="GG88" s="54"/>
      <c r="GH88" s="54"/>
      <c r="GI88" s="54"/>
      <c r="GJ88" s="54"/>
      <c r="GK88" s="54"/>
      <c r="GL88" s="54"/>
      <c r="GM88" s="54"/>
      <c r="GN88" s="54"/>
      <c r="GP88" s="54"/>
      <c r="GQ88" s="54"/>
      <c r="GR88" s="54"/>
      <c r="GS88" s="54"/>
      <c r="GT88" s="54"/>
      <c r="GU88" s="54"/>
      <c r="GV88" s="54"/>
      <c r="GW88" s="54"/>
      <c r="GX88" s="54"/>
      <c r="GY88" s="54"/>
      <c r="GZ88" s="54"/>
      <c r="HA88" s="54"/>
      <c r="HB88" s="54"/>
      <c r="HC88" s="54"/>
      <c r="HD88" s="54"/>
      <c r="HE88" s="54"/>
      <c r="HF88" s="54"/>
      <c r="HG88" s="54"/>
      <c r="HH88" s="54"/>
      <c r="HI88" s="54"/>
      <c r="HJ88" s="54"/>
      <c r="HK88" s="54"/>
      <c r="HL88" s="54"/>
      <c r="HM88" s="54"/>
      <c r="HN88" s="54"/>
      <c r="HO88" s="54"/>
      <c r="HP88" s="54"/>
      <c r="HQ88" s="54"/>
      <c r="HR88" s="54"/>
      <c r="HS88" s="54"/>
      <c r="HT88" s="54"/>
      <c r="HU88" s="54"/>
      <c r="HV88" s="54"/>
      <c r="HW88" s="54"/>
      <c r="HX88" s="54"/>
      <c r="HY88" s="54"/>
      <c r="HZ88" s="54"/>
      <c r="IA88" s="54"/>
      <c r="IB88" s="54"/>
      <c r="IC88" s="54"/>
      <c r="ID88" s="54"/>
      <c r="IE88" s="54"/>
      <c r="IF88" s="54"/>
      <c r="IG88" s="54"/>
      <c r="IH88" s="54"/>
      <c r="II88" s="54"/>
      <c r="IJ88" s="54"/>
      <c r="IL88" s="54"/>
      <c r="IM88" s="54"/>
      <c r="IN88" s="54"/>
      <c r="IO88" s="54"/>
      <c r="IP88" s="54"/>
      <c r="IQ88" s="54"/>
      <c r="IR88" s="54"/>
      <c r="IS88" s="54"/>
      <c r="IT88" s="54"/>
      <c r="IU88" s="54"/>
      <c r="IV88" s="54"/>
      <c r="IW88" s="54"/>
      <c r="IX88" s="54"/>
      <c r="IY88" s="54"/>
      <c r="IZ88" s="54"/>
      <c r="JA88" s="54"/>
      <c r="JB88" s="54"/>
      <c r="JC88" s="54"/>
      <c r="JD88" s="54"/>
      <c r="JE88" s="54"/>
      <c r="JF88" s="54"/>
      <c r="JG88" s="54"/>
      <c r="JH88" s="54"/>
      <c r="JI88" s="54"/>
      <c r="JJ88" s="54"/>
      <c r="JK88" s="54"/>
      <c r="JL88" s="54"/>
      <c r="JM88" s="54"/>
      <c r="JO88" s="54"/>
      <c r="JP88" s="54"/>
      <c r="JQ88" s="54"/>
      <c r="JS88" s="54"/>
      <c r="JT88" s="54"/>
      <c r="JU88" s="54"/>
      <c r="JW88" s="54"/>
      <c r="JX88" s="54"/>
      <c r="JY88" s="54"/>
      <c r="KA88" s="54"/>
      <c r="KB88" s="54"/>
      <c r="KC88" s="54"/>
      <c r="KE88" s="54"/>
      <c r="KF88" s="54"/>
      <c r="KG88" s="54"/>
      <c r="KI88" s="54"/>
      <c r="KJ88" s="54"/>
      <c r="KK88" s="54"/>
      <c r="KM88" s="54"/>
      <c r="KN88" s="54"/>
      <c r="KO88" s="54"/>
    </row>
    <row r="89" ht="12" customHeight="1" spans="2:301" s="101" customFormat="1" x14ac:dyDescent="0.25">
      <c r="B89" s="102"/>
      <c r="J89" s="78">
        <f>A.IIOPEX!K91+100%</f>
        <v>1</v>
      </c>
      <c r="K89" s="78">
        <f>$K$8</f>
        <v>1</v>
      </c>
      <c r="L89" s="78">
        <f>A.IIOPEX!K91+100%</f>
        <v>1</v>
      </c>
      <c r="M89" s="103"/>
      <c r="N89" s="78">
        <v>1</v>
      </c>
      <c r="O89" s="78">
        <v>1</v>
      </c>
      <c r="P89" s="78">
        <v>1</v>
      </c>
      <c r="Q89" s="103"/>
      <c r="R89" s="78">
        <f>N89</f>
        <v>1</v>
      </c>
      <c r="S89" s="78">
        <v>1</v>
      </c>
      <c r="T89" s="78">
        <f>P89</f>
        <v>1</v>
      </c>
      <c r="U89" s="103"/>
      <c r="V89" s="78">
        <f>R89</f>
        <v>1</v>
      </c>
      <c r="W89" s="78">
        <v>1</v>
      </c>
      <c r="X89" s="78">
        <f>T89</f>
        <v>1</v>
      </c>
      <c r="Y89" s="103"/>
      <c r="Z89" s="78">
        <v>1</v>
      </c>
      <c r="AA89" s="78">
        <v>1</v>
      </c>
      <c r="AB89" s="78">
        <f>X89</f>
        <v>1</v>
      </c>
      <c r="AC89" s="103"/>
      <c r="AD89" s="78">
        <f>Z89</f>
        <v>1</v>
      </c>
      <c r="AE89" s="78">
        <v>1</v>
      </c>
      <c r="AF89" s="78">
        <f>AB89</f>
        <v>1</v>
      </c>
      <c r="AG89" s="103"/>
      <c r="AH89" s="78">
        <f>A.IIOPEX!M91+100%</f>
        <v>1</v>
      </c>
      <c r="AI89" s="78">
        <v>1</v>
      </c>
      <c r="AJ89" s="78">
        <f>A.IIOPEX!M91+100%</f>
        <v>1</v>
      </c>
      <c r="AK89" s="103"/>
      <c r="AL89" s="78">
        <v>1</v>
      </c>
      <c r="AM89" s="78">
        <v>1</v>
      </c>
      <c r="AN89" s="78">
        <v>1</v>
      </c>
      <c r="AO89" s="103"/>
      <c r="AP89" s="78">
        <f>AL89</f>
        <v>1</v>
      </c>
      <c r="AQ89" s="78">
        <v>1</v>
      </c>
      <c r="AR89" s="78">
        <f>AN89</f>
        <v>1</v>
      </c>
      <c r="AS89" s="103"/>
      <c r="AT89" s="78">
        <f>AP89</f>
        <v>1</v>
      </c>
      <c r="AU89" s="78">
        <v>1</v>
      </c>
      <c r="AV89" s="78">
        <f>AR89</f>
        <v>1</v>
      </c>
      <c r="AW89" s="103"/>
      <c r="AX89" s="78">
        <f>AT89</f>
        <v>1</v>
      </c>
      <c r="AY89" s="78">
        <v>1</v>
      </c>
      <c r="AZ89" s="78">
        <f>AV89</f>
        <v>1</v>
      </c>
      <c r="BA89" s="103"/>
      <c r="BB89" s="78">
        <f>AX89</f>
        <v>1</v>
      </c>
      <c r="BC89" s="78">
        <v>1</v>
      </c>
      <c r="BD89" s="78">
        <f>AZ89</f>
        <v>1</v>
      </c>
      <c r="BE89" s="103"/>
      <c r="BF89" s="78">
        <f>BB89</f>
        <v>1</v>
      </c>
      <c r="BG89" s="78">
        <v>1</v>
      </c>
      <c r="BH89" s="78">
        <f>BD89</f>
        <v>1</v>
      </c>
      <c r="BI89" s="103"/>
      <c r="BJ89" s="78">
        <f>BF89</f>
        <v>1</v>
      </c>
      <c r="BK89" s="78">
        <v>1</v>
      </c>
      <c r="BL89" s="78">
        <f>BH89</f>
        <v>1</v>
      </c>
      <c r="BM89" s="103"/>
      <c r="BN89" s="79">
        <f>BJ89</f>
        <v>1</v>
      </c>
      <c r="BO89" s="79">
        <v>1</v>
      </c>
      <c r="BP89" s="78">
        <f>BL89</f>
        <v>1</v>
      </c>
      <c r="BQ89" s="103"/>
      <c r="BR89" s="78">
        <f>BN89</f>
        <v>1</v>
      </c>
      <c r="BS89" s="78">
        <v>1</v>
      </c>
      <c r="BT89" s="78">
        <f>BP89</f>
        <v>1</v>
      </c>
      <c r="BU89" s="103"/>
      <c r="BV89" s="78">
        <v>1</v>
      </c>
      <c r="BW89" s="78">
        <v>1</v>
      </c>
      <c r="BX89" s="78">
        <f>BT89</f>
        <v>1</v>
      </c>
      <c r="BY89" s="103"/>
      <c r="BZ89" s="78">
        <f>BV89</f>
        <v>1</v>
      </c>
      <c r="CA89" s="78">
        <v>1</v>
      </c>
      <c r="CB89" s="78">
        <f>BX89</f>
        <v>1</v>
      </c>
      <c r="CC89" s="103"/>
      <c r="CD89" s="78">
        <f>A.IIOPEX!O91+100%</f>
        <v>1</v>
      </c>
      <c r="CE89" s="78">
        <v>1</v>
      </c>
      <c r="CF89" s="78">
        <f>A.IIOPEX!O91+100%</f>
        <v>1</v>
      </c>
      <c r="CG89" s="103"/>
      <c r="CH89" s="78">
        <v>1</v>
      </c>
      <c r="CI89" s="78">
        <v>1</v>
      </c>
      <c r="CJ89" s="78">
        <v>1</v>
      </c>
      <c r="CK89" s="103"/>
      <c r="CL89" s="78">
        <f>CH89</f>
        <v>1</v>
      </c>
      <c r="CM89" s="78">
        <v>1</v>
      </c>
      <c r="CN89" s="78">
        <f>CJ89</f>
        <v>1</v>
      </c>
      <c r="CO89" s="103"/>
      <c r="CP89" s="78">
        <f>CL89</f>
        <v>1</v>
      </c>
      <c r="CQ89" s="78">
        <v>1</v>
      </c>
      <c r="CR89" s="78">
        <f>CN89</f>
        <v>1</v>
      </c>
      <c r="CS89" s="103"/>
      <c r="CT89" s="78">
        <f>CP89</f>
        <v>1</v>
      </c>
      <c r="CU89" s="78">
        <v>1</v>
      </c>
      <c r="CV89" s="78">
        <f>CR89</f>
        <v>1</v>
      </c>
      <c r="CW89" s="103"/>
      <c r="CX89" s="78">
        <f>CT89</f>
        <v>1</v>
      </c>
      <c r="CY89" s="78">
        <v>1</v>
      </c>
      <c r="CZ89" s="78">
        <f>CV89</f>
        <v>1</v>
      </c>
      <c r="DA89" s="103"/>
      <c r="DB89" s="78">
        <f>CX89</f>
        <v>1</v>
      </c>
      <c r="DC89" s="78">
        <v>1</v>
      </c>
      <c r="DD89" s="78">
        <f>CZ89</f>
        <v>1</v>
      </c>
      <c r="DE89" s="103"/>
      <c r="DF89" s="78">
        <f>DB89</f>
        <v>1</v>
      </c>
      <c r="DG89" s="78">
        <v>1</v>
      </c>
      <c r="DH89" s="78">
        <f>DD89</f>
        <v>1</v>
      </c>
      <c r="DI89" s="103"/>
      <c r="DJ89" s="79">
        <f>DF89</f>
        <v>1</v>
      </c>
      <c r="DK89" s="79">
        <v>1</v>
      </c>
      <c r="DL89" s="78">
        <f>DH89</f>
        <v>1</v>
      </c>
      <c r="DM89" s="103"/>
      <c r="DN89" s="78">
        <f>DJ89</f>
        <v>1</v>
      </c>
      <c r="DO89" s="78">
        <v>1</v>
      </c>
      <c r="DP89" s="78">
        <f>DL89</f>
        <v>1</v>
      </c>
      <c r="DQ89" s="103"/>
      <c r="DR89" s="78">
        <v>1</v>
      </c>
      <c r="DS89" s="78">
        <v>1</v>
      </c>
      <c r="DT89" s="78">
        <f>DP89</f>
        <v>1</v>
      </c>
      <c r="DU89" s="103"/>
      <c r="DV89" s="78">
        <f>DR89</f>
        <v>1</v>
      </c>
      <c r="DW89" s="78">
        <v>1</v>
      </c>
      <c r="DX89" s="78">
        <f>DT89</f>
        <v>1</v>
      </c>
      <c r="DY89" s="103"/>
      <c r="DZ89" s="78">
        <f>A.IIOPEX!Q91+100%</f>
        <v>1</v>
      </c>
      <c r="EA89" s="78">
        <v>1</v>
      </c>
      <c r="EB89" s="78">
        <f>A.IIOPEX!Q91+100%</f>
        <v>1</v>
      </c>
      <c r="EC89" s="103"/>
      <c r="ED89" s="78">
        <v>1</v>
      </c>
      <c r="EE89" s="78">
        <v>1</v>
      </c>
      <c r="EF89" s="78">
        <v>1</v>
      </c>
      <c r="EG89" s="103"/>
      <c r="EH89" s="78">
        <f>ED89</f>
        <v>1</v>
      </c>
      <c r="EI89" s="78">
        <v>1</v>
      </c>
      <c r="EJ89" s="78">
        <f>EF89</f>
        <v>1</v>
      </c>
      <c r="EK89" s="103"/>
      <c r="EL89" s="78">
        <f>EH89</f>
        <v>1</v>
      </c>
      <c r="EM89" s="78">
        <v>1</v>
      </c>
      <c r="EN89" s="78">
        <f>EJ89</f>
        <v>1</v>
      </c>
      <c r="EO89" s="103"/>
      <c r="EP89" s="78">
        <f>EL89</f>
        <v>1</v>
      </c>
      <c r="EQ89" s="78">
        <v>1</v>
      </c>
      <c r="ER89" s="78">
        <f>EN89</f>
        <v>1</v>
      </c>
      <c r="ES89" s="103"/>
      <c r="ET89" s="78">
        <f>EP89</f>
        <v>1</v>
      </c>
      <c r="EU89" s="78">
        <v>1</v>
      </c>
      <c r="EV89" s="78">
        <f>ER89</f>
        <v>1</v>
      </c>
      <c r="EW89" s="103"/>
      <c r="EX89" s="78">
        <f>ET89</f>
        <v>1</v>
      </c>
      <c r="EY89" s="78">
        <v>1</v>
      </c>
      <c r="EZ89" s="78">
        <f>EV89</f>
        <v>1</v>
      </c>
      <c r="FA89" s="103"/>
      <c r="FB89" s="78">
        <f>EX89</f>
        <v>1</v>
      </c>
      <c r="FC89" s="78">
        <v>1</v>
      </c>
      <c r="FD89" s="78">
        <f>EZ89</f>
        <v>1</v>
      </c>
      <c r="FE89" s="103"/>
      <c r="FF89" s="79">
        <f>FB89</f>
        <v>1</v>
      </c>
      <c r="FG89" s="79">
        <v>1</v>
      </c>
      <c r="FH89" s="78">
        <f>FD89</f>
        <v>1</v>
      </c>
      <c r="FI89" s="103"/>
      <c r="FJ89" s="78">
        <f>A.IIOPEX!S91+100%</f>
        <v>1</v>
      </c>
      <c r="FK89" s="78">
        <v>1</v>
      </c>
      <c r="FL89" s="78">
        <f>FH89</f>
        <v>1</v>
      </c>
      <c r="FM89" s="103"/>
      <c r="FN89" s="78">
        <v>1</v>
      </c>
      <c r="FO89" s="78">
        <v>1</v>
      </c>
      <c r="FP89" s="78">
        <f>FL89</f>
        <v>1</v>
      </c>
      <c r="FQ89" s="103"/>
      <c r="FR89" s="78">
        <f>FN89</f>
        <v>1</v>
      </c>
      <c r="FS89" s="78">
        <v>1</v>
      </c>
      <c r="FT89" s="78">
        <f>FP89</f>
        <v>1</v>
      </c>
      <c r="FU89" s="103"/>
      <c r="FV89" s="78">
        <f>FR89</f>
        <v>1</v>
      </c>
      <c r="FW89" s="78">
        <v>1</v>
      </c>
      <c r="FX89" s="78">
        <f>A.IIOPEX!S91+100%</f>
        <v>1</v>
      </c>
      <c r="FY89" s="103"/>
      <c r="FZ89" s="78">
        <f>FV89</f>
        <v>1</v>
      </c>
      <c r="GA89" s="78">
        <v>1</v>
      </c>
      <c r="GB89" s="78">
        <v>1</v>
      </c>
      <c r="GC89" s="103"/>
      <c r="GD89" s="78">
        <f>FZ89</f>
        <v>1</v>
      </c>
      <c r="GE89" s="78">
        <v>1</v>
      </c>
      <c r="GF89" s="78">
        <f>GB89</f>
        <v>1</v>
      </c>
      <c r="GG89" s="103"/>
      <c r="GH89" s="78">
        <f>GD89</f>
        <v>1</v>
      </c>
      <c r="GI89" s="78">
        <v>1</v>
      </c>
      <c r="GJ89" s="78">
        <f>GF89</f>
        <v>1</v>
      </c>
      <c r="GK89" s="103"/>
      <c r="GL89" s="78">
        <f>GH89</f>
        <v>1</v>
      </c>
      <c r="GM89" s="78">
        <v>1</v>
      </c>
      <c r="GN89" s="78">
        <f>GJ89</f>
        <v>1</v>
      </c>
      <c r="GO89" s="103"/>
      <c r="GP89" s="78">
        <f>GL89</f>
        <v>1</v>
      </c>
      <c r="GQ89" s="78">
        <v>1</v>
      </c>
      <c r="GR89" s="78">
        <f>GN89</f>
        <v>1</v>
      </c>
      <c r="GS89" s="103"/>
      <c r="GT89" s="78">
        <f>GP89</f>
        <v>1</v>
      </c>
      <c r="GU89" s="78">
        <v>1</v>
      </c>
      <c r="GV89" s="78">
        <f>GR89</f>
        <v>1</v>
      </c>
      <c r="GW89" s="103"/>
      <c r="GX89" s="78">
        <f>GT89</f>
        <v>1</v>
      </c>
      <c r="GY89" s="78">
        <v>1</v>
      </c>
      <c r="GZ89" s="78">
        <f>GV89</f>
        <v>1</v>
      </c>
      <c r="HA89" s="103"/>
      <c r="HB89" s="79">
        <f>GX89</f>
        <v>1</v>
      </c>
      <c r="HC89" s="79">
        <v>1</v>
      </c>
      <c r="HD89" s="78">
        <f>GZ89</f>
        <v>1</v>
      </c>
      <c r="HE89" s="103"/>
      <c r="HF89" s="78">
        <f>A.IIOPEX!U91+100%</f>
        <v>1</v>
      </c>
      <c r="HG89" s="78">
        <v>1</v>
      </c>
      <c r="HH89" s="78">
        <f>HD89</f>
        <v>1</v>
      </c>
      <c r="HI89" s="103"/>
      <c r="HJ89" s="78">
        <v>1</v>
      </c>
      <c r="HK89" s="78">
        <v>1</v>
      </c>
      <c r="HL89" s="78">
        <f>HH89</f>
        <v>1</v>
      </c>
      <c r="HM89" s="103"/>
      <c r="HN89" s="78">
        <f>HJ89</f>
        <v>1</v>
      </c>
      <c r="HO89" s="78">
        <v>1</v>
      </c>
      <c r="HP89" s="78">
        <f>HL89</f>
        <v>1</v>
      </c>
      <c r="HQ89" s="103"/>
      <c r="HR89" s="78">
        <f>HN89</f>
        <v>1</v>
      </c>
      <c r="HS89" s="78">
        <v>1</v>
      </c>
      <c r="HT89" s="78">
        <f>A.IIOPEX!U91+100%</f>
        <v>1</v>
      </c>
      <c r="HU89" s="103"/>
      <c r="HV89" s="78">
        <f>HR89</f>
        <v>1</v>
      </c>
      <c r="HW89" s="78">
        <v>1</v>
      </c>
      <c r="HX89" s="78">
        <v>1</v>
      </c>
      <c r="HY89" s="103"/>
      <c r="HZ89" s="78">
        <f>HV89</f>
        <v>1</v>
      </c>
      <c r="IA89" s="78">
        <v>1</v>
      </c>
      <c r="IB89" s="78">
        <f>HX89</f>
        <v>1</v>
      </c>
      <c r="IC89" s="103"/>
      <c r="ID89" s="78">
        <f>HZ89</f>
        <v>1</v>
      </c>
      <c r="IE89" s="78">
        <v>1</v>
      </c>
      <c r="IF89" s="78">
        <f>IB89</f>
        <v>1</v>
      </c>
      <c r="IG89" s="103"/>
      <c r="IH89" s="78">
        <f>ID89</f>
        <v>1</v>
      </c>
      <c r="II89" s="78">
        <v>1</v>
      </c>
      <c r="IJ89" s="78">
        <f>IF89</f>
        <v>1</v>
      </c>
      <c r="IK89" s="103"/>
      <c r="IL89" s="78">
        <f>IH89</f>
        <v>1</v>
      </c>
      <c r="IM89" s="78">
        <v>1</v>
      </c>
      <c r="IN89" s="78">
        <f>IJ89</f>
        <v>1</v>
      </c>
      <c r="IO89" s="103"/>
      <c r="IP89" s="78">
        <f>IL89</f>
        <v>1</v>
      </c>
      <c r="IQ89" s="78">
        <v>1</v>
      </c>
      <c r="IR89" s="78">
        <f>IN89</f>
        <v>1</v>
      </c>
      <c r="IS89" s="103"/>
      <c r="IT89" s="78">
        <f>IP89</f>
        <v>1</v>
      </c>
      <c r="IU89" s="78">
        <v>1</v>
      </c>
      <c r="IV89" s="78">
        <f>IR89</f>
        <v>1</v>
      </c>
      <c r="IW89" s="103"/>
      <c r="IX89" s="79">
        <f>IT89</f>
        <v>1</v>
      </c>
      <c r="IY89" s="79">
        <v>1</v>
      </c>
      <c r="IZ89" s="78">
        <f>IV89</f>
        <v>1</v>
      </c>
      <c r="JA89" s="103"/>
      <c r="JB89" s="78" t="e">
        <f>A.IIOPEX!#REF!+100%</f>
        <v>#REF!</v>
      </c>
      <c r="JC89" s="78">
        <v>1</v>
      </c>
      <c r="JD89" s="78">
        <f>IZ89</f>
        <v>1</v>
      </c>
      <c r="JE89" s="103"/>
      <c r="JF89" s="78" t="e">
        <f>JB89</f>
        <v>#REF!</v>
      </c>
      <c r="JG89" s="78">
        <v>1</v>
      </c>
      <c r="JH89" s="78">
        <f>JD89</f>
        <v>1</v>
      </c>
      <c r="JI89" s="103"/>
      <c r="JJ89" s="79" t="e">
        <f>JF89</f>
        <v>#REF!</v>
      </c>
      <c r="JK89" s="79">
        <v>1</v>
      </c>
      <c r="JL89" s="78">
        <f>JH89</f>
        <v>1</v>
      </c>
      <c r="JM89" s="103"/>
      <c r="JO89" s="78">
        <f>'A.I Revenue Streams - P2'!DU79+100%</f>
        <v>1</v>
      </c>
      <c r="JP89" s="78">
        <v>1</v>
      </c>
      <c r="JQ89" s="103"/>
      <c r="JS89" s="78">
        <f>'A.I Revenue Streams - P2'!DY79+100%</f>
        <v>1</v>
      </c>
      <c r="JT89" s="78">
        <v>1</v>
      </c>
      <c r="JU89" s="103"/>
      <c r="JW89" s="78">
        <f>'A.I Revenue Streams - P2'!EC79+100%</f>
        <v>1</v>
      </c>
      <c r="JX89" s="78">
        <v>1</v>
      </c>
      <c r="JY89" s="103"/>
      <c r="KA89" s="78">
        <f>'A.I Revenue Streams - P2'!EG79+100%</f>
        <v>1</v>
      </c>
      <c r="KB89" s="78">
        <v>1</v>
      </c>
      <c r="KC89" s="103"/>
      <c r="KE89" s="78">
        <f>'A.I Revenue Streams - P2'!EK79+100%</f>
        <v>1</v>
      </c>
      <c r="KF89" s="78">
        <v>1</v>
      </c>
      <c r="KG89" s="103"/>
      <c r="KI89" s="78">
        <f>'A.I Revenue Streams - P2'!EO79+100%</f>
        <v>1</v>
      </c>
      <c r="KJ89" s="78">
        <v>1</v>
      </c>
      <c r="KK89" s="103"/>
      <c r="KM89" s="78">
        <f>'A.I Revenue Streams - P2'!ES79+100%</f>
        <v>1</v>
      </c>
      <c r="KN89" s="78">
        <v>1</v>
      </c>
      <c r="KO89" s="103"/>
    </row>
    <row r="90" ht="18.75" customHeight="1" spans="2:301" x14ac:dyDescent="0.25">
      <c r="B90" s="5">
        <v>7</v>
      </c>
      <c r="C90" s="27">
        <f>A.IIOPEX!D90</f>
        <v>0</v>
      </c>
      <c r="D90" s="27"/>
      <c r="E90" s="28"/>
      <c r="F90" s="51"/>
      <c r="G90" s="51"/>
      <c r="H90" s="51"/>
      <c r="I90" s="54"/>
      <c r="J90" s="51"/>
      <c r="K90" s="51"/>
      <c r="L90" s="51"/>
      <c r="M90" s="54"/>
      <c r="N90" s="51"/>
      <c r="O90" s="51"/>
      <c r="P90" s="51"/>
      <c r="Q90" s="54"/>
      <c r="R90" s="51"/>
      <c r="S90" s="51"/>
      <c r="T90" s="51"/>
      <c r="U90" s="54"/>
      <c r="V90" s="51"/>
      <c r="W90" s="51"/>
      <c r="X90" s="51"/>
      <c r="Y90" s="54"/>
      <c r="Z90" s="51"/>
      <c r="AA90" s="51"/>
      <c r="AB90" s="51"/>
      <c r="AC90" s="54"/>
      <c r="AD90" s="51"/>
      <c r="AE90" s="51"/>
      <c r="AF90" s="51"/>
      <c r="AG90" s="54"/>
      <c r="AH90" s="51"/>
      <c r="AI90" s="51"/>
      <c r="AJ90" s="51"/>
      <c r="AK90" s="54"/>
      <c r="AL90" s="51"/>
      <c r="AM90" s="51"/>
      <c r="AN90" s="51"/>
      <c r="AO90" s="54"/>
      <c r="AP90" s="51"/>
      <c r="AQ90" s="51"/>
      <c r="AR90" s="51"/>
      <c r="AS90" s="54"/>
      <c r="AT90" s="51"/>
      <c r="AU90" s="51"/>
      <c r="AV90" s="51"/>
      <c r="AW90" s="54"/>
      <c r="AX90" s="51"/>
      <c r="AY90" s="51"/>
      <c r="AZ90" s="51"/>
      <c r="BA90" s="54"/>
      <c r="BB90" s="51"/>
      <c r="BC90" s="51"/>
      <c r="BD90" s="51"/>
      <c r="BE90" s="54"/>
      <c r="BF90" s="51"/>
      <c r="BG90" s="51"/>
      <c r="BH90" s="51"/>
      <c r="BI90" s="54"/>
      <c r="BJ90" s="51"/>
      <c r="BK90" s="51"/>
      <c r="BL90" s="51"/>
      <c r="BM90" s="54"/>
      <c r="BN90" s="51"/>
      <c r="BO90" s="51"/>
      <c r="BP90" s="51"/>
      <c r="BQ90" s="54"/>
      <c r="BR90" s="51"/>
      <c r="BS90" s="51"/>
      <c r="BT90" s="51"/>
      <c r="BU90" s="54"/>
      <c r="BV90" s="51"/>
      <c r="BW90" s="51"/>
      <c r="BX90" s="51"/>
      <c r="BY90" s="54"/>
      <c r="BZ90" s="51"/>
      <c r="CA90" s="51"/>
      <c r="CB90" s="51"/>
      <c r="CC90" s="54"/>
      <c r="CD90" s="51"/>
      <c r="CE90" s="51"/>
      <c r="CF90" s="51"/>
      <c r="CG90" s="54"/>
      <c r="CH90" s="51"/>
      <c r="CI90" s="51"/>
      <c r="CJ90" s="51"/>
      <c r="CK90" s="54"/>
      <c r="CL90" s="51"/>
      <c r="CM90" s="51"/>
      <c r="CN90" s="51"/>
      <c r="CO90" s="54"/>
      <c r="CP90" s="51"/>
      <c r="CQ90" s="51"/>
      <c r="CR90" s="51"/>
      <c r="CS90" s="54"/>
      <c r="CT90" s="51"/>
      <c r="CU90" s="51"/>
      <c r="CV90" s="51"/>
      <c r="CW90" s="54"/>
      <c r="CX90" s="51"/>
      <c r="CY90" s="51"/>
      <c r="CZ90" s="51"/>
      <c r="DA90" s="54"/>
      <c r="DB90" s="51"/>
      <c r="DC90" s="51"/>
      <c r="DD90" s="51"/>
      <c r="DE90" s="54"/>
      <c r="DF90" s="51"/>
      <c r="DG90" s="51"/>
      <c r="DH90" s="51"/>
      <c r="DI90" s="54"/>
      <c r="DJ90" s="51"/>
      <c r="DK90" s="51"/>
      <c r="DL90" s="51"/>
      <c r="DM90" s="54"/>
      <c r="DN90" s="51"/>
      <c r="DO90" s="51"/>
      <c r="DP90" s="51"/>
      <c r="DQ90" s="54"/>
      <c r="DR90" s="51"/>
      <c r="DS90" s="51"/>
      <c r="DT90" s="51"/>
      <c r="DU90" s="54"/>
      <c r="DV90" s="51"/>
      <c r="DW90" s="51"/>
      <c r="DX90" s="51"/>
      <c r="DY90" s="54"/>
      <c r="DZ90" s="51"/>
      <c r="EA90" s="51"/>
      <c r="EB90" s="51"/>
      <c r="EC90" s="54"/>
      <c r="ED90" s="51"/>
      <c r="EE90" s="51"/>
      <c r="EF90" s="51"/>
      <c r="EG90" s="54"/>
      <c r="EH90" s="51"/>
      <c r="EI90" s="51"/>
      <c r="EJ90" s="51"/>
      <c r="EK90" s="54"/>
      <c r="EL90" s="51"/>
      <c r="EM90" s="51"/>
      <c r="EN90" s="51"/>
      <c r="EO90" s="54"/>
      <c r="EP90" s="51"/>
      <c r="EQ90" s="51"/>
      <c r="ER90" s="51"/>
      <c r="ES90" s="54"/>
      <c r="ET90" s="51"/>
      <c r="EU90" s="51"/>
      <c r="EV90" s="51"/>
      <c r="EW90" s="54"/>
      <c r="EX90" s="51"/>
      <c r="EY90" s="51"/>
      <c r="EZ90" s="51"/>
      <c r="FA90" s="54"/>
      <c r="FB90" s="51"/>
      <c r="FC90" s="51"/>
      <c r="FD90" s="51"/>
      <c r="FE90" s="54"/>
      <c r="FF90" s="51"/>
      <c r="FG90" s="51"/>
      <c r="FH90" s="51"/>
      <c r="FI90" s="54"/>
      <c r="FJ90" s="51"/>
      <c r="FK90" s="51"/>
      <c r="FL90" s="51"/>
      <c r="FM90" s="54"/>
      <c r="FN90" s="51"/>
      <c r="FO90" s="51"/>
      <c r="FP90" s="51"/>
      <c r="FQ90" s="54"/>
      <c r="FR90" s="51"/>
      <c r="FS90" s="51"/>
      <c r="FT90" s="51"/>
      <c r="FU90" s="54"/>
      <c r="FV90" s="51"/>
      <c r="FW90" s="51"/>
      <c r="FX90" s="51"/>
      <c r="FY90" s="54"/>
      <c r="FZ90" s="51"/>
      <c r="GA90" s="51"/>
      <c r="GB90" s="51"/>
      <c r="GC90" s="54"/>
      <c r="GD90" s="51"/>
      <c r="GE90" s="51"/>
      <c r="GF90" s="51"/>
      <c r="GG90" s="54"/>
      <c r="GH90" s="51"/>
      <c r="GI90" s="51"/>
      <c r="GJ90" s="51"/>
      <c r="GK90" s="54"/>
      <c r="GL90" s="51"/>
      <c r="GM90" s="51"/>
      <c r="GN90" s="51"/>
      <c r="GP90" s="51"/>
      <c r="GQ90" s="51"/>
      <c r="GR90" s="51"/>
      <c r="GS90" s="54"/>
      <c r="GT90" s="51"/>
      <c r="GU90" s="51"/>
      <c r="GV90" s="51"/>
      <c r="GW90" s="54"/>
      <c r="GX90" s="51"/>
      <c r="GY90" s="51"/>
      <c r="GZ90" s="51"/>
      <c r="HA90" s="54"/>
      <c r="HB90" s="51"/>
      <c r="HC90" s="51"/>
      <c r="HD90" s="51"/>
      <c r="HE90" s="54"/>
      <c r="HF90" s="51"/>
      <c r="HG90" s="51"/>
      <c r="HH90" s="51"/>
      <c r="HI90" s="54"/>
      <c r="HJ90" s="51"/>
      <c r="HK90" s="51"/>
      <c r="HL90" s="51"/>
      <c r="HM90" s="54"/>
      <c r="HN90" s="51"/>
      <c r="HO90" s="51"/>
      <c r="HP90" s="51"/>
      <c r="HQ90" s="54"/>
      <c r="HR90" s="51"/>
      <c r="HS90" s="51"/>
      <c r="HT90" s="51"/>
      <c r="HU90" s="54"/>
      <c r="HV90" s="51"/>
      <c r="HW90" s="51"/>
      <c r="HX90" s="51"/>
      <c r="HY90" s="54"/>
      <c r="HZ90" s="51"/>
      <c r="IA90" s="51"/>
      <c r="IB90" s="51"/>
      <c r="IC90" s="54"/>
      <c r="ID90" s="51"/>
      <c r="IE90" s="51"/>
      <c r="IF90" s="51"/>
      <c r="IG90" s="54"/>
      <c r="IH90" s="51"/>
      <c r="II90" s="51"/>
      <c r="IJ90" s="51"/>
      <c r="IL90" s="51"/>
      <c r="IM90" s="51"/>
      <c r="IN90" s="51"/>
      <c r="IO90" s="54"/>
      <c r="IP90" s="51"/>
      <c r="IQ90" s="51"/>
      <c r="IR90" s="51"/>
      <c r="IS90" s="54"/>
      <c r="IT90" s="51"/>
      <c r="IU90" s="51"/>
      <c r="IV90" s="51"/>
      <c r="IW90" s="54"/>
      <c r="IX90" s="51"/>
      <c r="IY90" s="51"/>
      <c r="IZ90" s="51"/>
      <c r="JA90" s="54"/>
      <c r="JB90" s="51"/>
      <c r="JC90" s="51"/>
      <c r="JD90" s="51"/>
      <c r="JE90" s="54"/>
      <c r="JF90" s="51"/>
      <c r="JG90" s="51"/>
      <c r="JH90" s="51"/>
      <c r="JI90" s="54"/>
      <c r="JJ90" s="51"/>
      <c r="JK90" s="51"/>
      <c r="JL90" s="51"/>
      <c r="JM90" s="54"/>
      <c r="JO90" s="80"/>
      <c r="JP90" s="80"/>
      <c r="JQ90" s="80"/>
      <c r="JS90" s="80"/>
      <c r="JT90" s="80"/>
      <c r="JU90" s="80"/>
      <c r="JW90" s="80"/>
      <c r="JX90" s="80"/>
      <c r="JY90" s="80"/>
      <c r="KA90" s="80"/>
      <c r="KB90" s="80"/>
      <c r="KC90" s="80"/>
      <c r="KE90" s="80"/>
      <c r="KF90" s="80"/>
      <c r="KG90" s="80"/>
      <c r="KI90" s="80"/>
      <c r="KJ90" s="80"/>
      <c r="KK90" s="80"/>
      <c r="KM90" s="80"/>
      <c r="KN90" s="80"/>
      <c r="KO90" s="80"/>
    </row>
    <row r="91" ht="18.75" customHeight="1" spans="2:301" x14ac:dyDescent="0.25">
      <c r="B91" s="5" t="str">
        <f>A.IIOPEX!C91</f>
        <v>7a</v>
      </c>
      <c r="C91" s="27"/>
      <c r="D91" s="29">
        <f>A.IIOPEX!E91</f>
        <v>0</v>
      </c>
      <c r="E91" s="30"/>
      <c r="F91" s="51">
        <v>1</v>
      </c>
      <c r="G91" s="51"/>
      <c r="H91" s="51">
        <f>A.IIOPEX!I91</f>
        <v>0</v>
      </c>
      <c r="I91" s="54"/>
      <c r="J91" s="51">
        <f>F91*$J$89</f>
        <v>1</v>
      </c>
      <c r="K91" s="51"/>
      <c r="L91" s="51">
        <f>H91*L$89</f>
        <v>0</v>
      </c>
      <c r="M91" s="54"/>
      <c r="N91" s="51">
        <f>J91*$N$89</f>
        <v>1</v>
      </c>
      <c r="O91" s="51">
        <v>0</v>
      </c>
      <c r="P91" s="51">
        <f>L91*P$89</f>
        <v>0</v>
      </c>
      <c r="Q91" s="54"/>
      <c r="R91" s="51">
        <f>N91*$R$89</f>
        <v>1</v>
      </c>
      <c r="S91" s="51">
        <v>0</v>
      </c>
      <c r="T91" s="51">
        <f>P91*T$89</f>
        <v>0</v>
      </c>
      <c r="U91" s="54"/>
      <c r="V91" s="51">
        <f>R91*$V$89</f>
        <v>1</v>
      </c>
      <c r="W91" s="51">
        <v>0</v>
      </c>
      <c r="X91" s="51">
        <f>T91*X$89</f>
        <v>0</v>
      </c>
      <c r="Y91" s="54"/>
      <c r="Z91" s="51">
        <f>V91*$Z$89</f>
        <v>1</v>
      </c>
      <c r="AA91" s="51">
        <v>0</v>
      </c>
      <c r="AB91" s="51">
        <f>X91*AB$89</f>
        <v>0</v>
      </c>
      <c r="AC91" s="54"/>
      <c r="AD91" s="51">
        <f>Z91*$AD$89</f>
        <v>1</v>
      </c>
      <c r="AE91" s="51">
        <v>0</v>
      </c>
      <c r="AF91" s="51">
        <f>AB91*AF$89</f>
        <v>0</v>
      </c>
      <c r="AG91" s="54"/>
      <c r="AH91" s="51">
        <f>AD91*$AH$89</f>
        <v>1</v>
      </c>
      <c r="AI91" s="51"/>
      <c r="AJ91" s="51">
        <f>AF91*AJ$89</f>
        <v>0</v>
      </c>
      <c r="AK91" s="54"/>
      <c r="AL91" s="51">
        <f>AH91*$AL$89</f>
        <v>1</v>
      </c>
      <c r="AM91" s="51"/>
      <c r="AN91" s="51">
        <f>AJ91*AN$89</f>
        <v>0</v>
      </c>
      <c r="AO91" s="54"/>
      <c r="AP91" s="51">
        <f>AL91*$AP$89</f>
        <v>1</v>
      </c>
      <c r="AQ91" s="51"/>
      <c r="AR91" s="51">
        <f>AN91*AR$89</f>
        <v>0</v>
      </c>
      <c r="AS91" s="54"/>
      <c r="AT91" s="51">
        <f>AP91*$AT$89</f>
        <v>1</v>
      </c>
      <c r="AU91" s="51"/>
      <c r="AV91" s="51">
        <f>AR91*AV$89</f>
        <v>0</v>
      </c>
      <c r="AW91" s="54"/>
      <c r="AX91" s="51">
        <f>AT91*$AX$89</f>
        <v>1</v>
      </c>
      <c r="AY91" s="51"/>
      <c r="AZ91" s="51">
        <f>AV91*AZ$89</f>
        <v>0</v>
      </c>
      <c r="BA91" s="54"/>
      <c r="BB91" s="51">
        <f>AX91*$BB$89</f>
        <v>1</v>
      </c>
      <c r="BC91" s="51"/>
      <c r="BD91" s="51">
        <f>AZ91*BD$89</f>
        <v>0</v>
      </c>
      <c r="BE91" s="54"/>
      <c r="BF91" s="51">
        <f>BB91*$BF$89</f>
        <v>1</v>
      </c>
      <c r="BG91" s="51"/>
      <c r="BH91" s="51">
        <f>BD91*BH$89</f>
        <v>0</v>
      </c>
      <c r="BI91" s="54"/>
      <c r="BJ91" s="51">
        <f>BF91*$BJ$89</f>
        <v>1</v>
      </c>
      <c r="BK91" s="51">
        <f>BG91*$BK$89</f>
        <v>0</v>
      </c>
      <c r="BL91" s="51">
        <f>BH91*BL$89</f>
        <v>0</v>
      </c>
      <c r="BM91" s="54"/>
      <c r="BN91" s="51">
        <f>BJ91*$BN$89</f>
        <v>1</v>
      </c>
      <c r="BO91" s="51">
        <f>BK91*$BO$89</f>
        <v>0</v>
      </c>
      <c r="BP91" s="51">
        <f>BL91*BP$89</f>
        <v>0</v>
      </c>
      <c r="BQ91" s="54"/>
      <c r="BR91" s="51">
        <f>BN91*$BR$89</f>
        <v>1</v>
      </c>
      <c r="BS91" s="51">
        <f>BO91*$BS$89</f>
        <v>0</v>
      </c>
      <c r="BT91" s="51">
        <f>BP91*BT$89</f>
        <v>0</v>
      </c>
      <c r="BU91" s="54"/>
      <c r="BV91" s="51">
        <f>BR91*$BV$89</f>
        <v>1</v>
      </c>
      <c r="BW91" s="51">
        <f>BS91*$BW$89</f>
        <v>0</v>
      </c>
      <c r="BX91" s="51">
        <f>BT91*BX$89</f>
        <v>0</v>
      </c>
      <c r="BY91" s="54"/>
      <c r="BZ91" s="51">
        <f>BV91*$BZ$89</f>
        <v>1</v>
      </c>
      <c r="CA91" s="51">
        <f>BW91*$CA$89</f>
        <v>0</v>
      </c>
      <c r="CB91" s="51">
        <f>BX91*CB$89</f>
        <v>0</v>
      </c>
      <c r="CC91" s="54"/>
      <c r="CD91" s="51">
        <f>BZ91*$CD$89</f>
        <v>1</v>
      </c>
      <c r="CE91" s="51">
        <f>CA91*$CE$89</f>
        <v>0</v>
      </c>
      <c r="CF91" s="51">
        <f>CB91*CF$89</f>
        <v>0</v>
      </c>
      <c r="CG91" s="54"/>
      <c r="CH91" s="51">
        <f>CD91*$CH$89</f>
        <v>1</v>
      </c>
      <c r="CI91" s="51">
        <f>CE91*$CI$89</f>
        <v>0</v>
      </c>
      <c r="CJ91" s="51">
        <f>CF91*CJ$89</f>
        <v>0</v>
      </c>
      <c r="CK91" s="54"/>
      <c r="CL91" s="51">
        <f>CH91*$CL$89</f>
        <v>1</v>
      </c>
      <c r="CM91" s="51">
        <f>CI91*$CM$89</f>
        <v>0</v>
      </c>
      <c r="CN91" s="51">
        <f>CJ91*CN$89</f>
        <v>0</v>
      </c>
      <c r="CO91" s="54"/>
      <c r="CP91" s="51">
        <f>CL91*$CP$89</f>
        <v>1</v>
      </c>
      <c r="CQ91" s="51">
        <f>CM91*$CQ$89</f>
        <v>0</v>
      </c>
      <c r="CR91" s="51">
        <f>CN91*CR$89</f>
        <v>0</v>
      </c>
      <c r="CS91" s="54"/>
      <c r="CT91" s="51">
        <f>CP91*$CT$89</f>
        <v>1</v>
      </c>
      <c r="CU91" s="51">
        <f>CQ91*$CU$89</f>
        <v>0</v>
      </c>
      <c r="CV91" s="51">
        <f>CR91*CV$89</f>
        <v>0</v>
      </c>
      <c r="CW91" s="54"/>
      <c r="CX91" s="51">
        <f>CT91*$CX$89</f>
        <v>1</v>
      </c>
      <c r="CY91" s="51">
        <f>CU91*$CY$89</f>
        <v>0</v>
      </c>
      <c r="CZ91" s="51">
        <f>CV91*CZ$89</f>
        <v>0</v>
      </c>
      <c r="DA91" s="54"/>
      <c r="DB91" s="51">
        <f>CX91*$DB$89</f>
        <v>1</v>
      </c>
      <c r="DC91" s="51">
        <f>CY91*$DC$89</f>
        <v>0</v>
      </c>
      <c r="DD91" s="51">
        <f>CZ91*DD$89</f>
        <v>0</v>
      </c>
      <c r="DE91" s="54"/>
      <c r="DF91" s="51">
        <f>DB91*$DF$89</f>
        <v>1</v>
      </c>
      <c r="DG91" s="51">
        <f>DC91*$DG$89</f>
        <v>0</v>
      </c>
      <c r="DH91" s="51">
        <f>DD91*DH$89</f>
        <v>0</v>
      </c>
      <c r="DI91" s="54"/>
      <c r="DJ91" s="51">
        <f>DF91*$DJ$89</f>
        <v>1</v>
      </c>
      <c r="DK91" s="51">
        <f>DG91*$DK$89</f>
        <v>0</v>
      </c>
      <c r="DL91" s="51">
        <f>DH91*DL$89</f>
        <v>0</v>
      </c>
      <c r="DM91" s="54"/>
      <c r="DN91" s="51">
        <f>DJ91*$DN$89</f>
        <v>1</v>
      </c>
      <c r="DO91" s="51">
        <f>DK91*$DO$89</f>
        <v>0</v>
      </c>
      <c r="DP91" s="51">
        <f>DL91*DP$89</f>
        <v>0</v>
      </c>
      <c r="DQ91" s="54"/>
      <c r="DR91" s="51">
        <f>DN91*$DR$89</f>
        <v>1</v>
      </c>
      <c r="DS91" s="51">
        <f>DO91*$DS$89</f>
        <v>0</v>
      </c>
      <c r="DT91" s="51">
        <f>DP91*DT$89</f>
        <v>0</v>
      </c>
      <c r="DU91" s="54"/>
      <c r="DV91" s="51">
        <f>DR91*$DV$89</f>
        <v>1</v>
      </c>
      <c r="DW91" s="51">
        <f>DS91*$DW$89</f>
        <v>0</v>
      </c>
      <c r="DX91" s="51">
        <f>DT91*DX$89</f>
        <v>0</v>
      </c>
      <c r="DY91" s="54"/>
      <c r="DZ91" s="51">
        <f>DV91*$DZ$89</f>
        <v>1</v>
      </c>
      <c r="EA91" s="51">
        <f>DW91*$EA$89</f>
        <v>0</v>
      </c>
      <c r="EB91" s="51">
        <f>DX91*EB$89</f>
        <v>0</v>
      </c>
      <c r="EC91" s="54"/>
      <c r="ED91" s="51">
        <f>DZ91*$ED$89</f>
        <v>1</v>
      </c>
      <c r="EE91" s="51">
        <f>EA91*$EE$89</f>
        <v>0</v>
      </c>
      <c r="EF91" s="51">
        <f>EB91*EF$89</f>
        <v>0</v>
      </c>
      <c r="EG91" s="54"/>
      <c r="EH91" s="51">
        <f>ED91*$EH$89</f>
        <v>1</v>
      </c>
      <c r="EI91" s="51">
        <f>EE91*$EI$89</f>
        <v>0</v>
      </c>
      <c r="EJ91" s="51">
        <f>EF91*EJ$89</f>
        <v>0</v>
      </c>
      <c r="EK91" s="54"/>
      <c r="EL91" s="51">
        <f>EH91*$EL$89</f>
        <v>1</v>
      </c>
      <c r="EM91" s="51">
        <f>EI91*$EM$89</f>
        <v>0</v>
      </c>
      <c r="EN91" s="51">
        <f>EJ91*EN$89</f>
        <v>0</v>
      </c>
      <c r="EO91" s="54"/>
      <c r="EP91" s="51">
        <f>EL91*$EP$89</f>
        <v>1</v>
      </c>
      <c r="EQ91" s="51">
        <f>EM91*$EQ$89</f>
        <v>0</v>
      </c>
      <c r="ER91" s="51">
        <f>EN91*ER$89</f>
        <v>0</v>
      </c>
      <c r="ES91" s="54"/>
      <c r="ET91" s="51">
        <f>EP91*$ET$89</f>
        <v>1</v>
      </c>
      <c r="EU91" s="51">
        <f>EQ91*$EU$89</f>
        <v>0</v>
      </c>
      <c r="EV91" s="51">
        <f>ER91*EV$89</f>
        <v>0</v>
      </c>
      <c r="EW91" s="54"/>
      <c r="EX91" s="51">
        <f>ET91*$EX$89</f>
        <v>1</v>
      </c>
      <c r="EY91" s="51">
        <f>EU91*$EY$89</f>
        <v>0</v>
      </c>
      <c r="EZ91" s="51">
        <f>EV91*EZ$89</f>
        <v>0</v>
      </c>
      <c r="FA91" s="54"/>
      <c r="FB91" s="51">
        <f>EX91*$FB$89</f>
        <v>1</v>
      </c>
      <c r="FC91" s="51">
        <f>EY91*$FC$89</f>
        <v>0</v>
      </c>
      <c r="FD91" s="51">
        <f>EZ91*FD$89</f>
        <v>0</v>
      </c>
      <c r="FE91" s="54"/>
      <c r="FF91" s="51">
        <f>FB91*$FF$89</f>
        <v>1</v>
      </c>
      <c r="FG91" s="51">
        <f>FC91*$FG$89</f>
        <v>0</v>
      </c>
      <c r="FH91" s="51">
        <f>FD91*FH$89</f>
        <v>0</v>
      </c>
      <c r="FI91" s="54"/>
      <c r="FJ91" s="51">
        <f>FF91*$FJ$89</f>
        <v>1</v>
      </c>
      <c r="FK91" s="51">
        <f>FG91*$FK$89</f>
        <v>0</v>
      </c>
      <c r="FL91" s="51">
        <f>FH91*FL$89</f>
        <v>0</v>
      </c>
      <c r="FM91" s="54"/>
      <c r="FN91" s="51">
        <f>FJ91*$FN$89</f>
        <v>1</v>
      </c>
      <c r="FO91" s="51">
        <f>FK91*$FO$89</f>
        <v>0</v>
      </c>
      <c r="FP91" s="51">
        <f>FL91*FP$89</f>
        <v>0</v>
      </c>
      <c r="FQ91" s="54"/>
      <c r="FR91" s="51">
        <f>FN91*$FR$89</f>
        <v>1</v>
      </c>
      <c r="FS91" s="51">
        <f>FO91*$FS$89</f>
        <v>0</v>
      </c>
      <c r="FT91" s="51">
        <f>FP91*FT$89</f>
        <v>0</v>
      </c>
      <c r="FU91" s="54"/>
      <c r="FV91" s="51">
        <f>FR91*$FV$89</f>
        <v>1</v>
      </c>
      <c r="FW91" s="51">
        <f>FS91*$FW$89</f>
        <v>0</v>
      </c>
      <c r="FX91" s="51">
        <f>FT91*FX$89</f>
        <v>0</v>
      </c>
      <c r="FY91" s="54"/>
      <c r="FZ91" s="51">
        <f>FV91*$FZ$89</f>
        <v>1</v>
      </c>
      <c r="GA91" s="51">
        <f>FW91*$GA$89</f>
        <v>0</v>
      </c>
      <c r="GB91" s="51">
        <f>FX91*GB$89</f>
        <v>0</v>
      </c>
      <c r="GC91" s="54"/>
      <c r="GD91" s="51">
        <f>FZ91*$GD$89</f>
        <v>1</v>
      </c>
      <c r="GE91" s="51">
        <f>GA91*$GE$89</f>
        <v>0</v>
      </c>
      <c r="GF91" s="51">
        <f>GB91*GF$89</f>
        <v>0</v>
      </c>
      <c r="GG91" s="54"/>
      <c r="GH91" s="51">
        <f>GD91*$GH$89</f>
        <v>1</v>
      </c>
      <c r="GI91" s="51">
        <f>GE91*$GI$89</f>
        <v>0</v>
      </c>
      <c r="GJ91" s="51">
        <f>GF91*GJ$89</f>
        <v>0</v>
      </c>
      <c r="GK91" s="54"/>
      <c r="GL91" s="51">
        <f>GH91*$GL$89</f>
        <v>1</v>
      </c>
      <c r="GM91" s="51">
        <f>GI91*$GM$89</f>
        <v>0</v>
      </c>
      <c r="GN91" s="51">
        <f>GJ91*GN$89</f>
        <v>0</v>
      </c>
      <c r="GP91" s="51">
        <f>GL91*$GP$89</f>
        <v>1</v>
      </c>
      <c r="GQ91" s="51">
        <f>GM91*$GQ$89</f>
        <v>0</v>
      </c>
      <c r="GR91" s="51">
        <f>GN91*GR$89</f>
        <v>0</v>
      </c>
      <c r="GS91" s="54"/>
      <c r="GT91" s="51">
        <f>GP91*$GT$89</f>
        <v>1</v>
      </c>
      <c r="GU91" s="51">
        <f>GQ91*$GU$89</f>
        <v>0</v>
      </c>
      <c r="GV91" s="51">
        <f>GR91*GV$89</f>
        <v>0</v>
      </c>
      <c r="GW91" s="54"/>
      <c r="GX91" s="51">
        <f>GT91*$GX$89</f>
        <v>1</v>
      </c>
      <c r="GY91" s="51">
        <f>GU91*$GY$89</f>
        <v>0</v>
      </c>
      <c r="GZ91" s="51">
        <f>GV91*GZ$89</f>
        <v>0</v>
      </c>
      <c r="HA91" s="54"/>
      <c r="HB91" s="51">
        <f>GX91*$HB$89</f>
        <v>1</v>
      </c>
      <c r="HC91" s="51">
        <f>GY91*$HC$89</f>
        <v>0</v>
      </c>
      <c r="HD91" s="51">
        <f>GZ91*HD$89</f>
        <v>0</v>
      </c>
      <c r="HE91" s="54"/>
      <c r="HF91" s="51">
        <f>HB91*$HF$89</f>
        <v>1</v>
      </c>
      <c r="HG91" s="51">
        <f>HC91*$HG$89</f>
        <v>0</v>
      </c>
      <c r="HH91" s="51">
        <f>HD91*HH$89</f>
        <v>0</v>
      </c>
      <c r="HI91" s="54"/>
      <c r="HJ91" s="51">
        <f>HF91*$HJ$89</f>
        <v>1</v>
      </c>
      <c r="HK91" s="51">
        <f>HG91*$HK$89</f>
        <v>0</v>
      </c>
      <c r="HL91" s="51">
        <f>HH91*HL$89</f>
        <v>0</v>
      </c>
      <c r="HM91" s="54"/>
      <c r="HN91" s="51">
        <f>HJ91*$HN$89</f>
        <v>1</v>
      </c>
      <c r="HO91" s="51">
        <f>HK91*$HO$89</f>
        <v>0</v>
      </c>
      <c r="HP91" s="51">
        <f>HL91*HP$89</f>
        <v>0</v>
      </c>
      <c r="HQ91" s="54"/>
      <c r="HR91" s="51">
        <f>HN91*$HR$89</f>
        <v>1</v>
      </c>
      <c r="HS91" s="51">
        <f>HO91*$HS$89</f>
        <v>0</v>
      </c>
      <c r="HT91" s="51">
        <f>HP91*HT$89</f>
        <v>0</v>
      </c>
      <c r="HU91" s="54"/>
      <c r="HV91" s="51">
        <f>HR91*$HV$89</f>
        <v>1</v>
      </c>
      <c r="HW91" s="51">
        <f>HS91*$HW$89</f>
        <v>0</v>
      </c>
      <c r="HX91" s="51">
        <f>HT91*HX$89</f>
        <v>0</v>
      </c>
      <c r="HY91" s="54"/>
      <c r="HZ91" s="51">
        <f>HV91*$HZ$89</f>
        <v>1</v>
      </c>
      <c r="IA91" s="51">
        <f>HW91*$IA$89</f>
        <v>0</v>
      </c>
      <c r="IB91" s="51">
        <f>HX91*IB$89</f>
        <v>0</v>
      </c>
      <c r="IC91" s="54"/>
      <c r="ID91" s="51">
        <f>HZ91*$ID$89</f>
        <v>1</v>
      </c>
      <c r="IE91" s="51">
        <f>IA91*$IE$89</f>
        <v>0</v>
      </c>
      <c r="IF91" s="51">
        <f>IB91*IF$89</f>
        <v>0</v>
      </c>
      <c r="IG91" s="54"/>
      <c r="IH91" s="51">
        <f>ID91*$IH$89</f>
        <v>1</v>
      </c>
      <c r="II91" s="51">
        <f>IE91*$II$89</f>
        <v>0</v>
      </c>
      <c r="IJ91" s="51">
        <f>IF91*IJ$89</f>
        <v>0</v>
      </c>
      <c r="IL91" s="51">
        <f>IH91*$IL$89</f>
        <v>1</v>
      </c>
      <c r="IM91" s="51">
        <f>II91*$IM$89</f>
        <v>0</v>
      </c>
      <c r="IN91" s="51">
        <f>IJ91*IN$89</f>
        <v>0</v>
      </c>
      <c r="IO91" s="54"/>
      <c r="IP91" s="51">
        <f>IL91*$IP$89</f>
        <v>1</v>
      </c>
      <c r="IQ91" s="51">
        <f>IM91*$IQ$89</f>
        <v>0</v>
      </c>
      <c r="IR91" s="51">
        <f>IN91*IR$89</f>
        <v>0</v>
      </c>
      <c r="IS91" s="54"/>
      <c r="IT91" s="51">
        <f>IP91*$IT$89</f>
        <v>1</v>
      </c>
      <c r="IU91" s="51">
        <f>IQ91*$IU$89</f>
        <v>0</v>
      </c>
      <c r="IV91" s="51">
        <f>IR91*IV$89</f>
        <v>0</v>
      </c>
      <c r="IW91" s="54"/>
      <c r="IX91" s="51">
        <f>IT91*$IX$89</f>
        <v>1</v>
      </c>
      <c r="IY91" s="51">
        <f>IU91*$IY$89</f>
        <v>0</v>
      </c>
      <c r="IZ91" s="51">
        <f>IV91*IZ$89</f>
        <v>0</v>
      </c>
      <c r="JA91" s="54"/>
      <c r="JB91" s="51" t="e">
        <f>IX91*$JB$89</f>
        <v>#REF!</v>
      </c>
      <c r="JC91" s="51">
        <f>IY91*$JC$89</f>
        <v>0</v>
      </c>
      <c r="JD91" s="51">
        <f>IZ91*JD$89</f>
        <v>0</v>
      </c>
      <c r="JE91" s="54"/>
      <c r="JF91" s="51" t="e">
        <f>JB91*$JF$89</f>
        <v>#REF!</v>
      </c>
      <c r="JG91" s="51">
        <f>JC91*$JG$89</f>
        <v>0</v>
      </c>
      <c r="JH91" s="51">
        <f>JD91*JH$89</f>
        <v>0</v>
      </c>
      <c r="JI91" s="54"/>
      <c r="JJ91" s="51" t="e">
        <f>JF91*$JJ$89</f>
        <v>#REF!</v>
      </c>
      <c r="JK91" s="51">
        <f>JG91*$JK$89</f>
        <v>0</v>
      </c>
      <c r="JL91" s="51">
        <f>JH91*JL$89</f>
        <v>0</v>
      </c>
      <c r="JM91" s="54"/>
      <c r="JO91" s="80"/>
      <c r="JP91" s="80"/>
      <c r="JQ91" s="80">
        <f t="shared" ref="JQ91:JQ96" si="1401">SUMIFS($F91:$JM91,$F$3:$JM$3,JO$5,$F$6:$JM$6,JQ$6)</f>
        <v>0</v>
      </c>
      <c r="JS91" s="80"/>
      <c r="JT91" s="80"/>
      <c r="JU91" s="80">
        <f t="shared" ref="JU91:JU96" si="1402">SUMIFS($F91:$JM91,$F$3:$JM$3,JS$5,$F$6:$JM$6,JU$6)</f>
        <v>0</v>
      </c>
      <c r="JW91" s="80"/>
      <c r="JX91" s="80"/>
      <c r="JY91" s="80">
        <f t="shared" ref="JY91:JY96" si="1403">SUMIFS($F91:$JM91,$F$3:$JM$3,JW$5,$F$6:$JM$6,JY$6)</f>
        <v>0</v>
      </c>
      <c r="KA91" s="80"/>
      <c r="KB91" s="80"/>
      <c r="KC91" s="80">
        <f t="shared" ref="KC91:KC96" si="1404">SUMIFS($F91:$JM91,$F$3:$JM$3,KA$5,$F$6:$JM$6,KC$6)</f>
        <v>0</v>
      </c>
      <c r="KE91" s="80"/>
      <c r="KF91" s="80"/>
      <c r="KG91" s="80">
        <f t="shared" ref="KG91:KG96" si="1405">SUMIFS($F91:$JM91,$F$3:$JM$3,KE$5,$F$6:$JM$6,KG$6)</f>
        <v>0</v>
      </c>
      <c r="KI91" s="80"/>
      <c r="KJ91" s="80"/>
      <c r="KK91" s="80">
        <f t="shared" ref="KK91:KK96" si="1406">SUMIFS($F91:$JM91,$F$3:$JM$3,KI$5,$F$6:$JM$6,KK$6)</f>
        <v>0</v>
      </c>
      <c r="KM91" s="80"/>
      <c r="KN91" s="80"/>
      <c r="KO91" s="80">
        <f t="shared" ref="KO91:KO96" si="1407">SUMIFS($F91:$JM91,$F$3:$JM$3,KM$5,$F$6:$JM$6,KO$6)</f>
        <v>0</v>
      </c>
    </row>
    <row r="92" ht="18.75" customHeight="1" spans="2:301" x14ac:dyDescent="0.25">
      <c r="B92" s="5" t="str">
        <f>A.IIOPEX!C92</f>
        <v>7b</v>
      </c>
      <c r="C92" s="27"/>
      <c r="D92" s="29">
        <f>A.IIOPEX!E92</f>
        <v>0</v>
      </c>
      <c r="E92" s="30"/>
      <c r="F92" s="51">
        <v>1</v>
      </c>
      <c r="G92" s="51"/>
      <c r="H92" s="51">
        <f>A.IIOPEX!I92</f>
        <v>0</v>
      </c>
      <c r="I92" s="54"/>
      <c r="J92" s="51">
        <f>F92*$J$89</f>
        <v>1</v>
      </c>
      <c r="K92" s="51"/>
      <c r="L92" s="51">
        <f t="shared" ref="L92:L95" si="1408">H92*L$89</f>
        <v>0</v>
      </c>
      <c r="M92" s="54"/>
      <c r="N92" s="51">
        <f>J92*$N$89</f>
        <v>1</v>
      </c>
      <c r="O92" s="51">
        <v>0</v>
      </c>
      <c r="P92" s="51">
        <f t="shared" ref="P92:P95" si="1409">L92*P$89</f>
        <v>0</v>
      </c>
      <c r="Q92" s="54"/>
      <c r="R92" s="51">
        <f>N92*$R$89</f>
        <v>1</v>
      </c>
      <c r="S92" s="51">
        <v>0</v>
      </c>
      <c r="T92" s="51">
        <f>P92*T$89</f>
        <v>0</v>
      </c>
      <c r="U92" s="54"/>
      <c r="V92" s="51">
        <f>R92*$V$89</f>
        <v>1</v>
      </c>
      <c r="W92" s="51">
        <v>0</v>
      </c>
      <c r="X92" s="51">
        <f>T92*X$89</f>
        <v>0</v>
      </c>
      <c r="Y92" s="54"/>
      <c r="Z92" s="51">
        <f>V92*$Z$89</f>
        <v>1</v>
      </c>
      <c r="AA92" s="51">
        <v>0</v>
      </c>
      <c r="AB92" s="51">
        <f>X92*AB$89</f>
        <v>0</v>
      </c>
      <c r="AC92" s="54"/>
      <c r="AD92" s="51">
        <f t="shared" ref="AD92:AD95" si="1410">Z92*$AD$89</f>
        <v>1</v>
      </c>
      <c r="AE92" s="51">
        <v>0</v>
      </c>
      <c r="AF92" s="51">
        <f>AB92*AF$89</f>
        <v>0</v>
      </c>
      <c r="AG92" s="54"/>
      <c r="AH92" s="51">
        <f t="shared" ref="AH92:AH95" si="1411">AD92*$AH$89</f>
        <v>1</v>
      </c>
      <c r="AI92" s="51"/>
      <c r="AJ92" s="51">
        <f>AF92*AJ$89</f>
        <v>0</v>
      </c>
      <c r="AK92" s="54"/>
      <c r="AL92" s="51">
        <f t="shared" ref="AL92:AL95" si="1412">AH92*$AL$89</f>
        <v>1</v>
      </c>
      <c r="AM92" s="51"/>
      <c r="AN92" s="51">
        <f>AJ92*AN$89</f>
        <v>0</v>
      </c>
      <c r="AO92" s="54"/>
      <c r="AP92" s="51">
        <f t="shared" ref="AP92:AP95" si="1413">AL92*$AP$89</f>
        <v>1</v>
      </c>
      <c r="AQ92" s="51"/>
      <c r="AR92" s="51">
        <f>AN92*AR$89</f>
        <v>0</v>
      </c>
      <c r="AS92" s="54"/>
      <c r="AT92" s="51">
        <f t="shared" ref="AT92:AT95" si="1414">AP92*$AT$89</f>
        <v>1</v>
      </c>
      <c r="AU92" s="51"/>
      <c r="AV92" s="51">
        <f>AR92*AV$89</f>
        <v>0</v>
      </c>
      <c r="AW92" s="54"/>
      <c r="AX92" s="51">
        <f t="shared" ref="AX92:AX95" si="1415">AT92*$AX$89</f>
        <v>1</v>
      </c>
      <c r="AY92" s="51"/>
      <c r="AZ92" s="51">
        <f>AV92*AZ$89</f>
        <v>0</v>
      </c>
      <c r="BA92" s="54"/>
      <c r="BB92" s="51">
        <f>AX92*$BB$89</f>
        <v>1</v>
      </c>
      <c r="BC92" s="51"/>
      <c r="BD92" s="51">
        <f>AZ92*BD$89</f>
        <v>0</v>
      </c>
      <c r="BE92" s="54"/>
      <c r="BF92" s="51">
        <f t="shared" ref="BF92:BF95" si="1416">BB92*$BF$89</f>
        <v>1</v>
      </c>
      <c r="BG92" s="51"/>
      <c r="BH92" s="51">
        <f>BD92*BH$89</f>
        <v>0</v>
      </c>
      <c r="BI92" s="54"/>
      <c r="BJ92" s="51">
        <f t="shared" ref="BJ92:BJ95" si="1417">BF92*$BJ$89</f>
        <v>1</v>
      </c>
      <c r="BK92" s="51">
        <f t="shared" ref="BK92:BK95" si="1418">BG92*$BK$89</f>
        <v>0</v>
      </c>
      <c r="BL92" s="51">
        <f>BH92*BL$89</f>
        <v>0</v>
      </c>
      <c r="BM92" s="54"/>
      <c r="BN92" s="51">
        <f t="shared" ref="BN92:BN95" si="1419">BJ92*$BN$89</f>
        <v>1</v>
      </c>
      <c r="BO92" s="51">
        <f t="shared" ref="BO92:BO95" si="1420">BK92*$BO$89</f>
        <v>0</v>
      </c>
      <c r="BP92" s="51">
        <f>BL92*BP$89</f>
        <v>0</v>
      </c>
      <c r="BQ92" s="54"/>
      <c r="BR92" s="51">
        <f t="shared" ref="BR92:BR95" si="1421">BN92*$BR$89</f>
        <v>1</v>
      </c>
      <c r="BS92" s="51">
        <f t="shared" ref="BS92:BS95" si="1422">BO92*$BS$89</f>
        <v>0</v>
      </c>
      <c r="BT92" s="51">
        <f>BP92*BT$89</f>
        <v>0</v>
      </c>
      <c r="BU92" s="54"/>
      <c r="BV92" s="51">
        <f t="shared" ref="BV92:BV95" si="1423">BR92*$BV$89</f>
        <v>1</v>
      </c>
      <c r="BW92" s="51">
        <f t="shared" ref="BW92:BW95" si="1424">BS92*$BW$89</f>
        <v>0</v>
      </c>
      <c r="BX92" s="51">
        <f>BT92*BX$89</f>
        <v>0</v>
      </c>
      <c r="BY92" s="54"/>
      <c r="BZ92" s="51">
        <f t="shared" ref="BZ92:BZ95" si="1425">BV92*$BZ$89</f>
        <v>1</v>
      </c>
      <c r="CA92" s="51">
        <f t="shared" ref="CA92:CA95" si="1426">BW92*$CA$89</f>
        <v>0</v>
      </c>
      <c r="CB92" s="51">
        <f>BX92*CB$89</f>
        <v>0</v>
      </c>
      <c r="CC92" s="54"/>
      <c r="CD92" s="51">
        <f t="shared" ref="CD92:CD95" si="1427">BZ92*$CD$89</f>
        <v>1</v>
      </c>
      <c r="CE92" s="51">
        <f t="shared" ref="CE92:CE95" si="1428">CA92*$CE$89</f>
        <v>0</v>
      </c>
      <c r="CF92" s="51">
        <f>CB92*CF$89</f>
        <v>0</v>
      </c>
      <c r="CG92" s="54"/>
      <c r="CH92" s="51">
        <f t="shared" ref="CH92:CH95" si="1429">CD92*$CH$89</f>
        <v>1</v>
      </c>
      <c r="CI92" s="51">
        <f t="shared" ref="CI92:CI95" si="1430">CE92*$CI$89</f>
        <v>0</v>
      </c>
      <c r="CJ92" s="51">
        <f>CF92*CJ$89</f>
        <v>0</v>
      </c>
      <c r="CK92" s="54"/>
      <c r="CL92" s="51">
        <f t="shared" ref="CL92:CL95" si="1431">CH92*$CL$89</f>
        <v>1</v>
      </c>
      <c r="CM92" s="51">
        <f t="shared" ref="CM92:CM95" si="1432">CI92*$CM$89</f>
        <v>0</v>
      </c>
      <c r="CN92" s="51">
        <f>CJ92*CN$89</f>
        <v>0</v>
      </c>
      <c r="CO92" s="54"/>
      <c r="CP92" s="51">
        <f t="shared" ref="CP92:CP95" si="1433">CL92*$CP$89</f>
        <v>1</v>
      </c>
      <c r="CQ92" s="51">
        <f t="shared" ref="CQ92:CQ95" si="1434">CM92*$CQ$89</f>
        <v>0</v>
      </c>
      <c r="CR92" s="51">
        <f>CN92*CR$89</f>
        <v>0</v>
      </c>
      <c r="CS92" s="54"/>
      <c r="CT92" s="51">
        <f t="shared" ref="CT92:CT95" si="1435">CP92*$CT$89</f>
        <v>1</v>
      </c>
      <c r="CU92" s="51">
        <f t="shared" ref="CU92:CU95" si="1436">CQ92*$CU$89</f>
        <v>0</v>
      </c>
      <c r="CV92" s="51">
        <f>CR92*CV$89</f>
        <v>0</v>
      </c>
      <c r="CW92" s="54"/>
      <c r="CX92" s="51">
        <f>CT92*$CX$89</f>
        <v>1</v>
      </c>
      <c r="CY92" s="51">
        <f>CU92*$CY$89</f>
        <v>0</v>
      </c>
      <c r="CZ92" s="51">
        <f>CV92*CZ$89</f>
        <v>0</v>
      </c>
      <c r="DA92" s="54"/>
      <c r="DB92" s="51">
        <f t="shared" ref="DB92:DB95" si="1437">CX92*$DB$89</f>
        <v>1</v>
      </c>
      <c r="DC92" s="51">
        <f t="shared" ref="DC92:DC95" si="1438">CY92*$DC$89</f>
        <v>0</v>
      </c>
      <c r="DD92" s="51">
        <f>CZ92*DD$89</f>
        <v>0</v>
      </c>
      <c r="DE92" s="54"/>
      <c r="DF92" s="51">
        <f t="shared" ref="DF92:DF95" si="1439">DB92*$DF$89</f>
        <v>1</v>
      </c>
      <c r="DG92" s="51">
        <f t="shared" ref="DG92:DG95" si="1440">DC92*$DG$89</f>
        <v>0</v>
      </c>
      <c r="DH92" s="51">
        <f>DD92*DH$89</f>
        <v>0</v>
      </c>
      <c r="DI92" s="54"/>
      <c r="DJ92" s="51">
        <f t="shared" ref="DJ92:DJ95" si="1441">DF92*$DJ$89</f>
        <v>1</v>
      </c>
      <c r="DK92" s="51">
        <f t="shared" ref="DK92:DK95" si="1442">DG92*$DK$89</f>
        <v>0</v>
      </c>
      <c r="DL92" s="51">
        <f>DH92*DL$89</f>
        <v>0</v>
      </c>
      <c r="DM92" s="54"/>
      <c r="DN92" s="51">
        <f t="shared" ref="DN92:DN95" si="1443">DJ92*$DN$89</f>
        <v>1</v>
      </c>
      <c r="DO92" s="51">
        <f t="shared" ref="DO92:DO95" si="1444">DK92*$DO$89</f>
        <v>0</v>
      </c>
      <c r="DP92" s="51">
        <f>DL92*DP$89</f>
        <v>0</v>
      </c>
      <c r="DQ92" s="54"/>
      <c r="DR92" s="51">
        <f t="shared" ref="DR92:DR95" si="1445">DN92*$DR$89</f>
        <v>1</v>
      </c>
      <c r="DS92" s="51">
        <f t="shared" ref="DS92:DS95" si="1446">DO92*$DS$89</f>
        <v>0</v>
      </c>
      <c r="DT92" s="51">
        <f>DP92*DT$89</f>
        <v>0</v>
      </c>
      <c r="DU92" s="54"/>
      <c r="DV92" s="51">
        <f t="shared" ref="DV92:DV95" si="1447">DR92*$DV$89</f>
        <v>1</v>
      </c>
      <c r="DW92" s="51">
        <f t="shared" ref="DW92:DW95" si="1448">DS92*$DW$89</f>
        <v>0</v>
      </c>
      <c r="DX92" s="51">
        <f>DT92*DX$89</f>
        <v>0</v>
      </c>
      <c r="DY92" s="54"/>
      <c r="DZ92" s="51">
        <f t="shared" ref="DZ92:DZ95" si="1449">DV92*$DZ$89</f>
        <v>1</v>
      </c>
      <c r="EA92" s="51">
        <f t="shared" ref="EA92:EA95" si="1450">DW92*$EA$89</f>
        <v>0</v>
      </c>
      <c r="EB92" s="51">
        <f>DX92*EB$89</f>
        <v>0</v>
      </c>
      <c r="EC92" s="54"/>
      <c r="ED92" s="51">
        <f t="shared" ref="ED92:ED95" si="1451">DZ92*$ED$89</f>
        <v>1</v>
      </c>
      <c r="EE92" s="51">
        <f t="shared" ref="EE92:EE95" si="1452">EA92*$EE$89</f>
        <v>0</v>
      </c>
      <c r="EF92" s="51">
        <f>EB92*EF$89</f>
        <v>0</v>
      </c>
      <c r="EG92" s="54"/>
      <c r="EH92" s="51">
        <f t="shared" ref="EH92:EH95" si="1453">ED92*$EH$89</f>
        <v>1</v>
      </c>
      <c r="EI92" s="51">
        <f t="shared" ref="EI92:EI95" si="1454">EE92*$EI$89</f>
        <v>0</v>
      </c>
      <c r="EJ92" s="51">
        <f>EF92*EJ$89</f>
        <v>0</v>
      </c>
      <c r="EK92" s="54"/>
      <c r="EL92" s="51">
        <f t="shared" ref="EL92:EL95" si="1455">EH92*$EL$89</f>
        <v>1</v>
      </c>
      <c r="EM92" s="51">
        <f t="shared" ref="EM92:EM95" si="1456">EI92*$EM$89</f>
        <v>0</v>
      </c>
      <c r="EN92" s="51">
        <f>EJ92*EN$89</f>
        <v>0</v>
      </c>
      <c r="EO92" s="54"/>
      <c r="EP92" s="51">
        <f t="shared" ref="EP92:EP95" si="1457">EL92*$EP$89</f>
        <v>1</v>
      </c>
      <c r="EQ92" s="51">
        <f t="shared" ref="EQ92:EQ95" si="1458">EM92*$EQ$89</f>
        <v>0</v>
      </c>
      <c r="ER92" s="51">
        <f>EN92*ER$89</f>
        <v>0</v>
      </c>
      <c r="ES92" s="54"/>
      <c r="ET92" s="51">
        <f>EP92*$ET$89</f>
        <v>1</v>
      </c>
      <c r="EU92" s="51">
        <f>EQ92*$EU$89</f>
        <v>0</v>
      </c>
      <c r="EV92" s="51">
        <f>ER92*EV$89</f>
        <v>0</v>
      </c>
      <c r="EW92" s="54"/>
      <c r="EX92" s="51">
        <f t="shared" ref="EX92:EX95" si="1459">ET92*$EX$89</f>
        <v>1</v>
      </c>
      <c r="EY92" s="51">
        <f t="shared" ref="EY92:EY95" si="1460">EU92*$EY$89</f>
        <v>0</v>
      </c>
      <c r="EZ92" s="51">
        <f>EV92*EZ$89</f>
        <v>0</v>
      </c>
      <c r="FA92" s="54"/>
      <c r="FB92" s="51">
        <f t="shared" ref="FB92:FB95" si="1461">EX92*$FB$89</f>
        <v>1</v>
      </c>
      <c r="FC92" s="51">
        <f t="shared" ref="FC92:FC95" si="1462">EY92*$FC$89</f>
        <v>0</v>
      </c>
      <c r="FD92" s="51">
        <f>EZ92*FD$89</f>
        <v>0</v>
      </c>
      <c r="FE92" s="54"/>
      <c r="FF92" s="51">
        <f t="shared" ref="FF92:FF95" si="1463">FB92*$FF$89</f>
        <v>1</v>
      </c>
      <c r="FG92" s="51">
        <f t="shared" ref="FG92:FG95" si="1464">FC92*$FG$89</f>
        <v>0</v>
      </c>
      <c r="FH92" s="51">
        <f>FD92*FH$89</f>
        <v>0</v>
      </c>
      <c r="FI92" s="54"/>
      <c r="FJ92" s="51">
        <f t="shared" ref="FJ92:FJ95" si="1465">FF92*$FJ$89</f>
        <v>1</v>
      </c>
      <c r="FK92" s="51">
        <f t="shared" ref="FK92:FK95" si="1466">FG92*$FK$89</f>
        <v>0</v>
      </c>
      <c r="FL92" s="51">
        <f>FH92*FL$89</f>
        <v>0</v>
      </c>
      <c r="FM92" s="54"/>
      <c r="FN92" s="51">
        <f t="shared" ref="FN92:FN95" si="1467">FJ92*$FN$89</f>
        <v>1</v>
      </c>
      <c r="FO92" s="51">
        <f t="shared" ref="FO92:FO95" si="1468">FK92*$FO$89</f>
        <v>0</v>
      </c>
      <c r="FP92" s="51">
        <f>FL92*FP$89</f>
        <v>0</v>
      </c>
      <c r="FQ92" s="54"/>
      <c r="FR92" s="51">
        <f t="shared" ref="FR92:FR95" si="1469">FN92*$FR$89</f>
        <v>1</v>
      </c>
      <c r="FS92" s="51">
        <f t="shared" ref="FS92:FS95" si="1470">FO92*$FS$89</f>
        <v>0</v>
      </c>
      <c r="FT92" s="51">
        <f>FP92*FT$89</f>
        <v>0</v>
      </c>
      <c r="FU92" s="54"/>
      <c r="FV92" s="51">
        <f t="shared" ref="FV92:FV95" si="1471">FR92*$FV$89</f>
        <v>1</v>
      </c>
      <c r="FW92" s="51">
        <f t="shared" ref="FW92:FW95" si="1472">FS92*$FW$89</f>
        <v>0</v>
      </c>
      <c r="FX92" s="51">
        <f>FT92*FX$89</f>
        <v>0</v>
      </c>
      <c r="FY92" s="54"/>
      <c r="FZ92" s="51">
        <f t="shared" ref="FZ92:FZ95" si="1473">FV92*$FZ$89</f>
        <v>1</v>
      </c>
      <c r="GA92" s="51">
        <f t="shared" ref="GA92:GA95" si="1474">FW92*$GA$89</f>
        <v>0</v>
      </c>
      <c r="GB92" s="51">
        <f>FX92*GB$89</f>
        <v>0</v>
      </c>
      <c r="GC92" s="54"/>
      <c r="GD92" s="51">
        <f t="shared" ref="GD92:GD95" si="1475">FZ92*$GD$89</f>
        <v>1</v>
      </c>
      <c r="GE92" s="51">
        <f t="shared" ref="GE92:GE95" si="1476">GA92*$GE$89</f>
        <v>0</v>
      </c>
      <c r="GF92" s="51">
        <f>GB92*GF$89</f>
        <v>0</v>
      </c>
      <c r="GG92" s="54"/>
      <c r="GH92" s="51">
        <f t="shared" ref="GH92:GH95" si="1477">GD92*$GH$89</f>
        <v>1</v>
      </c>
      <c r="GI92" s="51">
        <f t="shared" ref="GI92:GI95" si="1478">GE92*$GI$89</f>
        <v>0</v>
      </c>
      <c r="GJ92" s="51">
        <f>GF92*GJ$89</f>
        <v>0</v>
      </c>
      <c r="GK92" s="54"/>
      <c r="GL92" s="51">
        <f t="shared" ref="GL92:GL95" si="1479">GH92*$GL$89</f>
        <v>1</v>
      </c>
      <c r="GM92" s="51">
        <f t="shared" ref="GM92:GM95" si="1480">GI92*$GM$89</f>
        <v>0</v>
      </c>
      <c r="GN92" s="51">
        <f>GJ92*GN$89</f>
        <v>0</v>
      </c>
      <c r="GP92" s="51">
        <f>GL92*$GP$89</f>
        <v>1</v>
      </c>
      <c r="GQ92" s="51">
        <f>GM92*$GQ$89</f>
        <v>0</v>
      </c>
      <c r="GR92" s="51">
        <f>GN92*GR$89</f>
        <v>0</v>
      </c>
      <c r="GS92" s="54"/>
      <c r="GT92" s="51">
        <f t="shared" ref="GT92:GT95" si="1481">GP92*$GT$89</f>
        <v>1</v>
      </c>
      <c r="GU92" s="51">
        <f t="shared" ref="GU92:GU95" si="1482">GQ92*$GU$89</f>
        <v>0</v>
      </c>
      <c r="GV92" s="51">
        <f>GR92*GV$89</f>
        <v>0</v>
      </c>
      <c r="GW92" s="54"/>
      <c r="GX92" s="51">
        <f t="shared" ref="GX92:GX95" si="1483">GT92*$GX$89</f>
        <v>1</v>
      </c>
      <c r="GY92" s="51">
        <f t="shared" ref="GY92:GY95" si="1484">GU92*$GY$89</f>
        <v>0</v>
      </c>
      <c r="GZ92" s="51">
        <f>GV92*GZ$89</f>
        <v>0</v>
      </c>
      <c r="HA92" s="54"/>
      <c r="HB92" s="51">
        <f t="shared" ref="HB92:HB95" si="1485">GX92*$HB$89</f>
        <v>1</v>
      </c>
      <c r="HC92" s="51">
        <f t="shared" ref="HC92:HC95" si="1486">GY92*$HC$89</f>
        <v>0</v>
      </c>
      <c r="HD92" s="51">
        <f>GZ92*HD$89</f>
        <v>0</v>
      </c>
      <c r="HE92" s="54"/>
      <c r="HF92" s="51">
        <f t="shared" ref="HF92:HF95" si="1487">HB92*$HF$89</f>
        <v>1</v>
      </c>
      <c r="HG92" s="51">
        <f t="shared" ref="HG92:HG95" si="1488">HC92*$HG$89</f>
        <v>0</v>
      </c>
      <c r="HH92" s="51">
        <f>HD92*HH$89</f>
        <v>0</v>
      </c>
      <c r="HI92" s="54"/>
      <c r="HJ92" s="51">
        <f t="shared" ref="HJ92:HJ95" si="1489">HF92*$HJ$89</f>
        <v>1</v>
      </c>
      <c r="HK92" s="51">
        <f t="shared" ref="HK92:HK95" si="1490">HG92*$HK$89</f>
        <v>0</v>
      </c>
      <c r="HL92" s="51">
        <f>HH92*HL$89</f>
        <v>0</v>
      </c>
      <c r="HM92" s="54"/>
      <c r="HN92" s="51">
        <f t="shared" ref="HN92:HN95" si="1491">HJ92*$HN$89</f>
        <v>1</v>
      </c>
      <c r="HO92" s="51">
        <f t="shared" ref="HO92:HO95" si="1492">HK92*$HO$89</f>
        <v>0</v>
      </c>
      <c r="HP92" s="51">
        <f>HL92*HP$89</f>
        <v>0</v>
      </c>
      <c r="HQ92" s="54"/>
      <c r="HR92" s="51">
        <f t="shared" ref="HR92:HR95" si="1493">HN92*$HR$89</f>
        <v>1</v>
      </c>
      <c r="HS92" s="51">
        <f t="shared" ref="HS92:HS95" si="1494">HO92*$HS$89</f>
        <v>0</v>
      </c>
      <c r="HT92" s="51">
        <f>HP92*HT$89</f>
        <v>0</v>
      </c>
      <c r="HU92" s="54"/>
      <c r="HV92" s="51">
        <f t="shared" ref="HV92:HV95" si="1495">HR92*$HV$89</f>
        <v>1</v>
      </c>
      <c r="HW92" s="51">
        <f t="shared" ref="HW92:HW95" si="1496">HS92*$HW$89</f>
        <v>0</v>
      </c>
      <c r="HX92" s="51">
        <f>HT92*HX$89</f>
        <v>0</v>
      </c>
      <c r="HY92" s="54"/>
      <c r="HZ92" s="51">
        <f t="shared" ref="HZ92:HZ95" si="1497">HV92*$HZ$89</f>
        <v>1</v>
      </c>
      <c r="IA92" s="51">
        <f t="shared" ref="IA92:IA95" si="1498">HW92*$IA$89</f>
        <v>0</v>
      </c>
      <c r="IB92" s="51">
        <f>HX92*IB$89</f>
        <v>0</v>
      </c>
      <c r="IC92" s="54"/>
      <c r="ID92" s="51">
        <f t="shared" ref="ID92:ID95" si="1499">HZ92*$ID$89</f>
        <v>1</v>
      </c>
      <c r="IE92" s="51">
        <f t="shared" ref="IE92:IE95" si="1500">IA92*$IE$89</f>
        <v>0</v>
      </c>
      <c r="IF92" s="51">
        <f>IB92*IF$89</f>
        <v>0</v>
      </c>
      <c r="IG92" s="54"/>
      <c r="IH92" s="51">
        <f t="shared" ref="IH92:IH95" si="1501">ID92*$IH$89</f>
        <v>1</v>
      </c>
      <c r="II92" s="51">
        <f t="shared" ref="II92:II95" si="1502">IE92*$II$89</f>
        <v>0</v>
      </c>
      <c r="IJ92" s="51">
        <f>IF92*IJ$89</f>
        <v>0</v>
      </c>
      <c r="IL92" s="51">
        <f>IH92*$IL$89</f>
        <v>1</v>
      </c>
      <c r="IM92" s="51">
        <f>II92*$IM$89</f>
        <v>0</v>
      </c>
      <c r="IN92" s="51">
        <f>IJ92*IN$89</f>
        <v>0</v>
      </c>
      <c r="IO92" s="54"/>
      <c r="IP92" s="51">
        <f t="shared" ref="IP92:IP95" si="1503">IL92*$IP$89</f>
        <v>1</v>
      </c>
      <c r="IQ92" s="51">
        <f t="shared" ref="IQ92:IQ95" si="1504">IM92*$IQ$89</f>
        <v>0</v>
      </c>
      <c r="IR92" s="51">
        <f>IN92*IR$89</f>
        <v>0</v>
      </c>
      <c r="IS92" s="54"/>
      <c r="IT92" s="51">
        <f t="shared" ref="IT92:IT95" si="1505">IP92*$IT$89</f>
        <v>1</v>
      </c>
      <c r="IU92" s="51">
        <f t="shared" ref="IU92:IU95" si="1506">IQ92*$IU$89</f>
        <v>0</v>
      </c>
      <c r="IV92" s="51">
        <f>IR92*IV$89</f>
        <v>0</v>
      </c>
      <c r="IW92" s="54"/>
      <c r="IX92" s="51">
        <f t="shared" ref="IX92:IX95" si="1507">IT92*$IX$89</f>
        <v>1</v>
      </c>
      <c r="IY92" s="51">
        <f t="shared" ref="IY92:IY95" si="1508">IU92*$IY$89</f>
        <v>0</v>
      </c>
      <c r="IZ92" s="51">
        <f>IV92*IZ$89</f>
        <v>0</v>
      </c>
      <c r="JA92" s="54"/>
      <c r="JB92" s="51" t="e">
        <f t="shared" ref="JB92:JB95" si="1509">IX92*$JB$89</f>
        <v>#REF!</v>
      </c>
      <c r="JC92" s="51">
        <f t="shared" ref="JC92:JC95" si="1510">IY92*$JC$89</f>
        <v>0</v>
      </c>
      <c r="JD92" s="51">
        <f>IZ92*JD$89</f>
        <v>0</v>
      </c>
      <c r="JE92" s="54"/>
      <c r="JF92" s="51" t="e">
        <f t="shared" ref="JF92:JF95" si="1511">JB92*$JF$89</f>
        <v>#REF!</v>
      </c>
      <c r="JG92" s="51">
        <f t="shared" ref="JG92:JG95" si="1512">JC92*$JG$89</f>
        <v>0</v>
      </c>
      <c r="JH92" s="51">
        <f>JD92*JH$89</f>
        <v>0</v>
      </c>
      <c r="JI92" s="54"/>
      <c r="JJ92" s="51" t="e">
        <f t="shared" ref="JJ92:JJ95" si="1513">JF92*$JJ$89</f>
        <v>#REF!</v>
      </c>
      <c r="JK92" s="51">
        <f t="shared" ref="JK92:JK95" si="1514">JG92*$JK$89</f>
        <v>0</v>
      </c>
      <c r="JL92" s="51">
        <f>JH92*JL$89</f>
        <v>0</v>
      </c>
      <c r="JM92" s="54"/>
      <c r="JO92" s="80"/>
      <c r="JP92" s="80"/>
      <c r="JQ92" s="80">
        <f t="shared" si="1401"/>
        <v>0</v>
      </c>
      <c r="JS92" s="80"/>
      <c r="JT92" s="80"/>
      <c r="JU92" s="80">
        <f t="shared" si="1402"/>
        <v>0</v>
      </c>
      <c r="JW92" s="80"/>
      <c r="JX92" s="80"/>
      <c r="JY92" s="80">
        <f t="shared" si="1403"/>
        <v>0</v>
      </c>
      <c r="KA92" s="80"/>
      <c r="KB92" s="80"/>
      <c r="KC92" s="80">
        <f t="shared" si="1404"/>
        <v>0</v>
      </c>
      <c r="KE92" s="80"/>
      <c r="KF92" s="80"/>
      <c r="KG92" s="80">
        <f t="shared" si="1405"/>
        <v>0</v>
      </c>
      <c r="KI92" s="80"/>
      <c r="KJ92" s="80"/>
      <c r="KK92" s="80">
        <f t="shared" si="1406"/>
        <v>0</v>
      </c>
      <c r="KM92" s="80"/>
      <c r="KN92" s="80"/>
      <c r="KO92" s="80">
        <f t="shared" si="1407"/>
        <v>0</v>
      </c>
    </row>
    <row r="93" ht="18.75" customHeight="1" spans="2:301" x14ac:dyDescent="0.25">
      <c r="B93" s="5" t="str">
        <f>A.IIOPEX!C93</f>
        <v>7c</v>
      </c>
      <c r="C93" s="27"/>
      <c r="D93" s="29">
        <f>A.IIOPEX!E93</f>
        <v>0</v>
      </c>
      <c r="E93" s="30"/>
      <c r="F93" s="51">
        <v>1</v>
      </c>
      <c r="G93" s="51"/>
      <c r="H93" s="51">
        <f>A.IIOPEX!I93</f>
        <v>0</v>
      </c>
      <c r="I93" s="54"/>
      <c r="J93" s="51">
        <f>F93*$J$89</f>
        <v>1</v>
      </c>
      <c r="K93" s="51"/>
      <c r="L93" s="51">
        <f>H93*L$89</f>
        <v>0</v>
      </c>
      <c r="M93" s="54"/>
      <c r="N93" s="51">
        <f>J93*$N$89</f>
        <v>1</v>
      </c>
      <c r="O93" s="51">
        <v>0</v>
      </c>
      <c r="P93" s="51">
        <f>L93*P$89</f>
        <v>0</v>
      </c>
      <c r="Q93" s="54"/>
      <c r="R93" s="51">
        <f>N93*$R$89</f>
        <v>1</v>
      </c>
      <c r="S93" s="51">
        <v>0</v>
      </c>
      <c r="T93" s="51">
        <f>P93*T$89</f>
        <v>0</v>
      </c>
      <c r="U93" s="54"/>
      <c r="V93" s="51">
        <f>R93*$V$89</f>
        <v>1</v>
      </c>
      <c r="W93" s="51">
        <v>0</v>
      </c>
      <c r="X93" s="51">
        <f>T93*X$89</f>
        <v>0</v>
      </c>
      <c r="Y93" s="54"/>
      <c r="Z93" s="51">
        <f>V93*$Z$89</f>
        <v>1</v>
      </c>
      <c r="AA93" s="51">
        <v>0</v>
      </c>
      <c r="AB93" s="51">
        <f>X93*AB$89</f>
        <v>0</v>
      </c>
      <c r="AC93" s="54"/>
      <c r="AD93" s="51">
        <f t="shared" si="1410"/>
        <v>1</v>
      </c>
      <c r="AE93" s="51">
        <v>0</v>
      </c>
      <c r="AF93" s="51">
        <f>AB93*AF$89</f>
        <v>0</v>
      </c>
      <c r="AG93" s="54"/>
      <c r="AH93" s="51">
        <f t="shared" si="1411"/>
        <v>1</v>
      </c>
      <c r="AI93" s="51"/>
      <c r="AJ93" s="51">
        <f>AF93*AJ$89</f>
        <v>0</v>
      </c>
      <c r="AK93" s="54"/>
      <c r="AL93" s="51">
        <f t="shared" si="1412"/>
        <v>1</v>
      </c>
      <c r="AM93" s="51"/>
      <c r="AN93" s="51">
        <f>AJ93*AN$89</f>
        <v>0</v>
      </c>
      <c r="AO93" s="54"/>
      <c r="AP93" s="51">
        <f t="shared" si="1413"/>
        <v>1</v>
      </c>
      <c r="AQ93" s="51"/>
      <c r="AR93" s="51">
        <f>AN93*AR$89</f>
        <v>0</v>
      </c>
      <c r="AS93" s="54"/>
      <c r="AT93" s="51">
        <f t="shared" si="1414"/>
        <v>1</v>
      </c>
      <c r="AU93" s="51"/>
      <c r="AV93" s="51">
        <f>AR93*AV$89</f>
        <v>0</v>
      </c>
      <c r="AW93" s="54"/>
      <c r="AX93" s="51">
        <f t="shared" si="1415"/>
        <v>1</v>
      </c>
      <c r="AY93" s="51"/>
      <c r="AZ93" s="51">
        <f>AV93*AZ$89</f>
        <v>0</v>
      </c>
      <c r="BA93" s="54"/>
      <c r="BB93" s="51">
        <f>AX93*$BB$89</f>
        <v>1</v>
      </c>
      <c r="BC93" s="51"/>
      <c r="BD93" s="51">
        <f>AZ93*BD$89</f>
        <v>0</v>
      </c>
      <c r="BE93" s="54"/>
      <c r="BF93" s="51">
        <f t="shared" si="1416"/>
        <v>1</v>
      </c>
      <c r="BG93" s="51"/>
      <c r="BH93" s="51">
        <f>BD93*BH$89</f>
        <v>0</v>
      </c>
      <c r="BI93" s="54"/>
      <c r="BJ93" s="51">
        <f t="shared" si="1417"/>
        <v>1</v>
      </c>
      <c r="BK93" s="51">
        <f t="shared" si="1418"/>
        <v>0</v>
      </c>
      <c r="BL93" s="51">
        <f>BH93*BL$89</f>
        <v>0</v>
      </c>
      <c r="BM93" s="54"/>
      <c r="BN93" s="51">
        <f t="shared" si="1419"/>
        <v>1</v>
      </c>
      <c r="BO93" s="51">
        <f t="shared" si="1420"/>
        <v>0</v>
      </c>
      <c r="BP93" s="51">
        <f>BL93*BP$89</f>
        <v>0</v>
      </c>
      <c r="BQ93" s="54"/>
      <c r="BR93" s="51">
        <f t="shared" si="1421"/>
        <v>1</v>
      </c>
      <c r="BS93" s="51">
        <f t="shared" si="1422"/>
        <v>0</v>
      </c>
      <c r="BT93" s="51">
        <f>BP93*BT$89</f>
        <v>0</v>
      </c>
      <c r="BU93" s="54"/>
      <c r="BV93" s="51">
        <f t="shared" si="1423"/>
        <v>1</v>
      </c>
      <c r="BW93" s="51">
        <f t="shared" si="1424"/>
        <v>0</v>
      </c>
      <c r="BX93" s="51">
        <f>BT93*BX$89</f>
        <v>0</v>
      </c>
      <c r="BY93" s="54"/>
      <c r="BZ93" s="51">
        <f t="shared" si="1425"/>
        <v>1</v>
      </c>
      <c r="CA93" s="51">
        <f t="shared" si="1426"/>
        <v>0</v>
      </c>
      <c r="CB93" s="51">
        <f>BX93*CB$89</f>
        <v>0</v>
      </c>
      <c r="CC93" s="54"/>
      <c r="CD93" s="51">
        <f t="shared" si="1427"/>
        <v>1</v>
      </c>
      <c r="CE93" s="51">
        <f t="shared" si="1428"/>
        <v>0</v>
      </c>
      <c r="CF93" s="51">
        <f>CB93*CF$89</f>
        <v>0</v>
      </c>
      <c r="CG93" s="54"/>
      <c r="CH93" s="51">
        <f t="shared" si="1429"/>
        <v>1</v>
      </c>
      <c r="CI93" s="51">
        <f t="shared" si="1430"/>
        <v>0</v>
      </c>
      <c r="CJ93" s="51">
        <f>CF93*CJ$89</f>
        <v>0</v>
      </c>
      <c r="CK93" s="54"/>
      <c r="CL93" s="51">
        <f t="shared" si="1431"/>
        <v>1</v>
      </c>
      <c r="CM93" s="51">
        <f t="shared" si="1432"/>
        <v>0</v>
      </c>
      <c r="CN93" s="51">
        <f>CJ93*CN$89</f>
        <v>0</v>
      </c>
      <c r="CO93" s="54"/>
      <c r="CP93" s="51">
        <f t="shared" si="1433"/>
        <v>1</v>
      </c>
      <c r="CQ93" s="51">
        <f t="shared" si="1434"/>
        <v>0</v>
      </c>
      <c r="CR93" s="51">
        <f>CN93*CR$89</f>
        <v>0</v>
      </c>
      <c r="CS93" s="54"/>
      <c r="CT93" s="51">
        <f t="shared" si="1435"/>
        <v>1</v>
      </c>
      <c r="CU93" s="51">
        <f t="shared" si="1436"/>
        <v>0</v>
      </c>
      <c r="CV93" s="51">
        <f>CR93*CV$89</f>
        <v>0</v>
      </c>
      <c r="CW93" s="54"/>
      <c r="CX93" s="51">
        <f>CT93*$CX$89</f>
        <v>1</v>
      </c>
      <c r="CY93" s="51">
        <f>CU93*$CY$89</f>
        <v>0</v>
      </c>
      <c r="CZ93" s="51">
        <f>CV93*CZ$89</f>
        <v>0</v>
      </c>
      <c r="DA93" s="54"/>
      <c r="DB93" s="51">
        <f t="shared" si="1437"/>
        <v>1</v>
      </c>
      <c r="DC93" s="51">
        <f t="shared" si="1438"/>
        <v>0</v>
      </c>
      <c r="DD93" s="51">
        <f>CZ93*DD$89</f>
        <v>0</v>
      </c>
      <c r="DE93" s="54"/>
      <c r="DF93" s="51">
        <f t="shared" si="1439"/>
        <v>1</v>
      </c>
      <c r="DG93" s="51">
        <f t="shared" si="1440"/>
        <v>0</v>
      </c>
      <c r="DH93" s="51">
        <f>DD93*DH$89</f>
        <v>0</v>
      </c>
      <c r="DI93" s="54"/>
      <c r="DJ93" s="51">
        <f t="shared" si="1441"/>
        <v>1</v>
      </c>
      <c r="DK93" s="51">
        <f t="shared" si="1442"/>
        <v>0</v>
      </c>
      <c r="DL93" s="51">
        <f>DH93*DL$89</f>
        <v>0</v>
      </c>
      <c r="DM93" s="54"/>
      <c r="DN93" s="51">
        <f t="shared" si="1443"/>
        <v>1</v>
      </c>
      <c r="DO93" s="51">
        <f t="shared" si="1444"/>
        <v>0</v>
      </c>
      <c r="DP93" s="51">
        <f>DL93*DP$89</f>
        <v>0</v>
      </c>
      <c r="DQ93" s="54"/>
      <c r="DR93" s="51">
        <f t="shared" si="1445"/>
        <v>1</v>
      </c>
      <c r="DS93" s="51">
        <f t="shared" si="1446"/>
        <v>0</v>
      </c>
      <c r="DT93" s="51">
        <f>DP93*DT$89</f>
        <v>0</v>
      </c>
      <c r="DU93" s="54"/>
      <c r="DV93" s="51">
        <f t="shared" si="1447"/>
        <v>1</v>
      </c>
      <c r="DW93" s="51">
        <f t="shared" si="1448"/>
        <v>0</v>
      </c>
      <c r="DX93" s="51">
        <f>DT93*DX$89</f>
        <v>0</v>
      </c>
      <c r="DY93" s="54"/>
      <c r="DZ93" s="51">
        <f t="shared" si="1449"/>
        <v>1</v>
      </c>
      <c r="EA93" s="51">
        <f t="shared" si="1450"/>
        <v>0</v>
      </c>
      <c r="EB93" s="51">
        <f>DX93*EB$89</f>
        <v>0</v>
      </c>
      <c r="EC93" s="54"/>
      <c r="ED93" s="51">
        <f t="shared" si="1451"/>
        <v>1</v>
      </c>
      <c r="EE93" s="51">
        <f t="shared" si="1452"/>
        <v>0</v>
      </c>
      <c r="EF93" s="51">
        <f>EB93*EF$89</f>
        <v>0</v>
      </c>
      <c r="EG93" s="54"/>
      <c r="EH93" s="51">
        <f t="shared" si="1453"/>
        <v>1</v>
      </c>
      <c r="EI93" s="51">
        <f t="shared" si="1454"/>
        <v>0</v>
      </c>
      <c r="EJ93" s="51">
        <f>EF93*EJ$89</f>
        <v>0</v>
      </c>
      <c r="EK93" s="54"/>
      <c r="EL93" s="51">
        <f t="shared" si="1455"/>
        <v>1</v>
      </c>
      <c r="EM93" s="51">
        <f t="shared" si="1456"/>
        <v>0</v>
      </c>
      <c r="EN93" s="51">
        <f>EJ93*EN$89</f>
        <v>0</v>
      </c>
      <c r="EO93" s="54"/>
      <c r="EP93" s="51">
        <f t="shared" si="1457"/>
        <v>1</v>
      </c>
      <c r="EQ93" s="51">
        <f t="shared" si="1458"/>
        <v>0</v>
      </c>
      <c r="ER93" s="51">
        <f>EN93*ER$89</f>
        <v>0</v>
      </c>
      <c r="ES93" s="54"/>
      <c r="ET93" s="51">
        <f>EP93*$ET$89</f>
        <v>1</v>
      </c>
      <c r="EU93" s="51">
        <f>EQ93*$EU$89</f>
        <v>0</v>
      </c>
      <c r="EV93" s="51">
        <f>ER93*EV$89</f>
        <v>0</v>
      </c>
      <c r="EW93" s="54"/>
      <c r="EX93" s="51">
        <f t="shared" si="1459"/>
        <v>1</v>
      </c>
      <c r="EY93" s="51">
        <f t="shared" si="1460"/>
        <v>0</v>
      </c>
      <c r="EZ93" s="51">
        <f>EV93*EZ$89</f>
        <v>0</v>
      </c>
      <c r="FA93" s="54"/>
      <c r="FB93" s="51">
        <f t="shared" si="1461"/>
        <v>1</v>
      </c>
      <c r="FC93" s="51">
        <f t="shared" si="1462"/>
        <v>0</v>
      </c>
      <c r="FD93" s="51">
        <f>EZ93*FD$89</f>
        <v>0</v>
      </c>
      <c r="FE93" s="54"/>
      <c r="FF93" s="51">
        <f t="shared" si="1463"/>
        <v>1</v>
      </c>
      <c r="FG93" s="51">
        <f t="shared" si="1464"/>
        <v>0</v>
      </c>
      <c r="FH93" s="51">
        <f>FD93*FH$89</f>
        <v>0</v>
      </c>
      <c r="FI93" s="54"/>
      <c r="FJ93" s="51">
        <f t="shared" si="1465"/>
        <v>1</v>
      </c>
      <c r="FK93" s="51">
        <f t="shared" si="1466"/>
        <v>0</v>
      </c>
      <c r="FL93" s="51">
        <f>FH93*FL$89</f>
        <v>0</v>
      </c>
      <c r="FM93" s="54"/>
      <c r="FN93" s="51">
        <f t="shared" si="1467"/>
        <v>1</v>
      </c>
      <c r="FO93" s="51">
        <f t="shared" si="1468"/>
        <v>0</v>
      </c>
      <c r="FP93" s="51">
        <f>FL93*FP$89</f>
        <v>0</v>
      </c>
      <c r="FQ93" s="54"/>
      <c r="FR93" s="51">
        <f t="shared" si="1469"/>
        <v>1</v>
      </c>
      <c r="FS93" s="51">
        <f t="shared" si="1470"/>
        <v>0</v>
      </c>
      <c r="FT93" s="51">
        <f>FP93*FT$89</f>
        <v>0</v>
      </c>
      <c r="FU93" s="54"/>
      <c r="FV93" s="51">
        <f t="shared" si="1471"/>
        <v>1</v>
      </c>
      <c r="FW93" s="51">
        <f t="shared" si="1472"/>
        <v>0</v>
      </c>
      <c r="FX93" s="51">
        <f>FT93*FX$89</f>
        <v>0</v>
      </c>
      <c r="FY93" s="54"/>
      <c r="FZ93" s="51">
        <f t="shared" si="1473"/>
        <v>1</v>
      </c>
      <c r="GA93" s="51">
        <f t="shared" si="1474"/>
        <v>0</v>
      </c>
      <c r="GB93" s="51">
        <f>FX93*GB$89</f>
        <v>0</v>
      </c>
      <c r="GC93" s="54"/>
      <c r="GD93" s="51">
        <f t="shared" si="1475"/>
        <v>1</v>
      </c>
      <c r="GE93" s="51">
        <f t="shared" si="1476"/>
        <v>0</v>
      </c>
      <c r="GF93" s="51">
        <f>GB93*GF$89</f>
        <v>0</v>
      </c>
      <c r="GG93" s="54"/>
      <c r="GH93" s="51">
        <f t="shared" si="1477"/>
        <v>1</v>
      </c>
      <c r="GI93" s="51">
        <f t="shared" si="1478"/>
        <v>0</v>
      </c>
      <c r="GJ93" s="51">
        <f>GF93*GJ$89</f>
        <v>0</v>
      </c>
      <c r="GK93" s="54"/>
      <c r="GL93" s="51">
        <f t="shared" si="1479"/>
        <v>1</v>
      </c>
      <c r="GM93" s="51">
        <f t="shared" si="1480"/>
        <v>0</v>
      </c>
      <c r="GN93" s="51">
        <f>GJ93*GN$89</f>
        <v>0</v>
      </c>
      <c r="GP93" s="51">
        <f>GL93*$GP$89</f>
        <v>1</v>
      </c>
      <c r="GQ93" s="51">
        <f>GM93*$GQ$89</f>
        <v>0</v>
      </c>
      <c r="GR93" s="51">
        <f>GN93*GR$89</f>
        <v>0</v>
      </c>
      <c r="GS93" s="54"/>
      <c r="GT93" s="51">
        <f t="shared" si="1481"/>
        <v>1</v>
      </c>
      <c r="GU93" s="51">
        <f t="shared" si="1482"/>
        <v>0</v>
      </c>
      <c r="GV93" s="51">
        <f>GR93*GV$89</f>
        <v>0</v>
      </c>
      <c r="GW93" s="54"/>
      <c r="GX93" s="51">
        <f t="shared" si="1483"/>
        <v>1</v>
      </c>
      <c r="GY93" s="51">
        <f t="shared" si="1484"/>
        <v>0</v>
      </c>
      <c r="GZ93" s="51">
        <f>GV93*GZ$89</f>
        <v>0</v>
      </c>
      <c r="HA93" s="54"/>
      <c r="HB93" s="51">
        <f t="shared" si="1485"/>
        <v>1</v>
      </c>
      <c r="HC93" s="51">
        <f t="shared" si="1486"/>
        <v>0</v>
      </c>
      <c r="HD93" s="51">
        <f>GZ93*HD$89</f>
        <v>0</v>
      </c>
      <c r="HE93" s="54"/>
      <c r="HF93" s="51">
        <f t="shared" si="1487"/>
        <v>1</v>
      </c>
      <c r="HG93" s="51">
        <f t="shared" si="1488"/>
        <v>0</v>
      </c>
      <c r="HH93" s="51">
        <f>HD93*HH$89</f>
        <v>0</v>
      </c>
      <c r="HI93" s="54"/>
      <c r="HJ93" s="51">
        <f t="shared" si="1489"/>
        <v>1</v>
      </c>
      <c r="HK93" s="51">
        <f t="shared" si="1490"/>
        <v>0</v>
      </c>
      <c r="HL93" s="51">
        <f>HH93*HL$89</f>
        <v>0</v>
      </c>
      <c r="HM93" s="54"/>
      <c r="HN93" s="51">
        <f t="shared" si="1491"/>
        <v>1</v>
      </c>
      <c r="HO93" s="51">
        <f t="shared" si="1492"/>
        <v>0</v>
      </c>
      <c r="HP93" s="51">
        <f>HL93*HP$89</f>
        <v>0</v>
      </c>
      <c r="HQ93" s="54"/>
      <c r="HR93" s="51">
        <f t="shared" si="1493"/>
        <v>1</v>
      </c>
      <c r="HS93" s="51">
        <f t="shared" si="1494"/>
        <v>0</v>
      </c>
      <c r="HT93" s="51">
        <f>HP93*HT$89</f>
        <v>0</v>
      </c>
      <c r="HU93" s="54"/>
      <c r="HV93" s="51">
        <f t="shared" si="1495"/>
        <v>1</v>
      </c>
      <c r="HW93" s="51">
        <f t="shared" si="1496"/>
        <v>0</v>
      </c>
      <c r="HX93" s="51">
        <f>HT93*HX$89</f>
        <v>0</v>
      </c>
      <c r="HY93" s="54"/>
      <c r="HZ93" s="51">
        <f t="shared" si="1497"/>
        <v>1</v>
      </c>
      <c r="IA93" s="51">
        <f t="shared" si="1498"/>
        <v>0</v>
      </c>
      <c r="IB93" s="51">
        <f>HX93*IB$89</f>
        <v>0</v>
      </c>
      <c r="IC93" s="54"/>
      <c r="ID93" s="51">
        <f t="shared" si="1499"/>
        <v>1</v>
      </c>
      <c r="IE93" s="51">
        <f t="shared" si="1500"/>
        <v>0</v>
      </c>
      <c r="IF93" s="51">
        <f>IB93*IF$89</f>
        <v>0</v>
      </c>
      <c r="IG93" s="54"/>
      <c r="IH93" s="51">
        <f t="shared" si="1501"/>
        <v>1</v>
      </c>
      <c r="II93" s="51">
        <f t="shared" si="1502"/>
        <v>0</v>
      </c>
      <c r="IJ93" s="51">
        <f>IF93*IJ$89</f>
        <v>0</v>
      </c>
      <c r="IL93" s="51">
        <f>IH93*$IL$89</f>
        <v>1</v>
      </c>
      <c r="IM93" s="51">
        <f>II93*$IM$89</f>
        <v>0</v>
      </c>
      <c r="IN93" s="51">
        <f>IJ93*IN$89</f>
        <v>0</v>
      </c>
      <c r="IO93" s="54"/>
      <c r="IP93" s="51">
        <f t="shared" si="1503"/>
        <v>1</v>
      </c>
      <c r="IQ93" s="51">
        <f t="shared" si="1504"/>
        <v>0</v>
      </c>
      <c r="IR93" s="51">
        <f>IN93*IR$89</f>
        <v>0</v>
      </c>
      <c r="IS93" s="54"/>
      <c r="IT93" s="51">
        <f t="shared" si="1505"/>
        <v>1</v>
      </c>
      <c r="IU93" s="51">
        <f t="shared" si="1506"/>
        <v>0</v>
      </c>
      <c r="IV93" s="51">
        <f>IR93*IV$89</f>
        <v>0</v>
      </c>
      <c r="IW93" s="54"/>
      <c r="IX93" s="51">
        <f t="shared" si="1507"/>
        <v>1</v>
      </c>
      <c r="IY93" s="51">
        <f t="shared" si="1508"/>
        <v>0</v>
      </c>
      <c r="IZ93" s="51">
        <f>IV93*IZ$89</f>
        <v>0</v>
      </c>
      <c r="JA93" s="54"/>
      <c r="JB93" s="51" t="e">
        <f t="shared" si="1509"/>
        <v>#REF!</v>
      </c>
      <c r="JC93" s="51">
        <f t="shared" si="1510"/>
        <v>0</v>
      </c>
      <c r="JD93" s="51">
        <f>IZ93*JD$89</f>
        <v>0</v>
      </c>
      <c r="JE93" s="54"/>
      <c r="JF93" s="51" t="e">
        <f t="shared" si="1511"/>
        <v>#REF!</v>
      </c>
      <c r="JG93" s="51">
        <f t="shared" si="1512"/>
        <v>0</v>
      </c>
      <c r="JH93" s="51">
        <f>JD93*JH$89</f>
        <v>0</v>
      </c>
      <c r="JI93" s="54"/>
      <c r="JJ93" s="51" t="e">
        <f t="shared" si="1513"/>
        <v>#REF!</v>
      </c>
      <c r="JK93" s="51">
        <f t="shared" si="1514"/>
        <v>0</v>
      </c>
      <c r="JL93" s="51">
        <f>JH93*JL$89</f>
        <v>0</v>
      </c>
      <c r="JM93" s="54"/>
      <c r="JO93" s="80"/>
      <c r="JP93" s="80"/>
      <c r="JQ93" s="80">
        <f t="shared" si="1401"/>
        <v>0</v>
      </c>
      <c r="JS93" s="80"/>
      <c r="JT93" s="80"/>
      <c r="JU93" s="80">
        <f t="shared" si="1402"/>
        <v>0</v>
      </c>
      <c r="JW93" s="80"/>
      <c r="JX93" s="80"/>
      <c r="JY93" s="80">
        <f t="shared" si="1403"/>
        <v>0</v>
      </c>
      <c r="KA93" s="80"/>
      <c r="KB93" s="80"/>
      <c r="KC93" s="80">
        <f t="shared" si="1404"/>
        <v>0</v>
      </c>
      <c r="KE93" s="80"/>
      <c r="KF93" s="80"/>
      <c r="KG93" s="80">
        <f t="shared" si="1405"/>
        <v>0</v>
      </c>
      <c r="KI93" s="80"/>
      <c r="KJ93" s="80"/>
      <c r="KK93" s="80">
        <f t="shared" si="1406"/>
        <v>0</v>
      </c>
      <c r="KM93" s="80"/>
      <c r="KN93" s="80"/>
      <c r="KO93" s="80">
        <f t="shared" si="1407"/>
        <v>0</v>
      </c>
    </row>
    <row r="94" ht="18.75" customHeight="1" spans="2:301" x14ac:dyDescent="0.25">
      <c r="B94" s="5" t="str">
        <f>A.IIOPEX!C94</f>
        <v>7d</v>
      </c>
      <c r="C94" s="27"/>
      <c r="D94" s="29">
        <f>A.IIOPEX!E94</f>
        <v>0</v>
      </c>
      <c r="E94" s="30"/>
      <c r="F94" s="51">
        <v>1</v>
      </c>
      <c r="G94" s="51"/>
      <c r="H94" s="51">
        <f>A.IIOPEX!I94</f>
        <v>0</v>
      </c>
      <c r="I94" s="54"/>
      <c r="J94" s="51">
        <f>F94*$J$89</f>
        <v>1</v>
      </c>
      <c r="K94" s="51"/>
      <c r="L94" s="51">
        <f t="shared" si="1408"/>
        <v>0</v>
      </c>
      <c r="M94" s="54"/>
      <c r="N94" s="51">
        <f>J94*$N$89</f>
        <v>1</v>
      </c>
      <c r="O94" s="51">
        <v>0</v>
      </c>
      <c r="P94" s="51">
        <f t="shared" si="1409"/>
        <v>0</v>
      </c>
      <c r="Q94" s="54"/>
      <c r="R94" s="51">
        <f>N94*$R$89</f>
        <v>1</v>
      </c>
      <c r="S94" s="51">
        <v>0</v>
      </c>
      <c r="T94" s="51">
        <f t="shared" ref="T94:T95" si="1515">P94*T$89</f>
        <v>0</v>
      </c>
      <c r="U94" s="54"/>
      <c r="V94" s="51">
        <f>R94*$V$89</f>
        <v>1</v>
      </c>
      <c r="W94" s="51">
        <v>0</v>
      </c>
      <c r="X94" s="51">
        <f t="shared" ref="X94:X95" si="1516">T94*X$89</f>
        <v>0</v>
      </c>
      <c r="Y94" s="54"/>
      <c r="Z94" s="51">
        <f>V94*$Z$89</f>
        <v>1</v>
      </c>
      <c r="AA94" s="51">
        <v>0</v>
      </c>
      <c r="AB94" s="51">
        <f t="shared" ref="AB94:AB95" si="1517">X94*AB$89</f>
        <v>0</v>
      </c>
      <c r="AC94" s="54"/>
      <c r="AD94" s="51">
        <f t="shared" si="1410"/>
        <v>1</v>
      </c>
      <c r="AE94" s="51">
        <v>0</v>
      </c>
      <c r="AF94" s="51">
        <f t="shared" ref="AF94:AF95" si="1518">AB94*AF$89</f>
        <v>0</v>
      </c>
      <c r="AG94" s="54"/>
      <c r="AH94" s="51">
        <f t="shared" si="1411"/>
        <v>1</v>
      </c>
      <c r="AI94" s="51"/>
      <c r="AJ94" s="51">
        <f t="shared" ref="AJ94:AJ95" si="1519">AF94*AJ$89</f>
        <v>0</v>
      </c>
      <c r="AK94" s="54"/>
      <c r="AL94" s="51">
        <f t="shared" si="1412"/>
        <v>1</v>
      </c>
      <c r="AM94" s="51"/>
      <c r="AN94" s="51">
        <f t="shared" ref="AN94:AN95" si="1520">AJ94*AN$89</f>
        <v>0</v>
      </c>
      <c r="AO94" s="54"/>
      <c r="AP94" s="51">
        <f t="shared" si="1413"/>
        <v>1</v>
      </c>
      <c r="AQ94" s="51"/>
      <c r="AR94" s="51">
        <f t="shared" ref="AR94:AR95" si="1521">AN94*AR$89</f>
        <v>0</v>
      </c>
      <c r="AS94" s="54"/>
      <c r="AT94" s="51">
        <f t="shared" si="1414"/>
        <v>1</v>
      </c>
      <c r="AU94" s="51"/>
      <c r="AV94" s="51">
        <f t="shared" ref="AV94:AV95" si="1522">AR94*AV$89</f>
        <v>0</v>
      </c>
      <c r="AW94" s="54"/>
      <c r="AX94" s="51">
        <f t="shared" si="1415"/>
        <v>1</v>
      </c>
      <c r="AY94" s="51"/>
      <c r="AZ94" s="51">
        <f t="shared" ref="AZ94:AZ95" si="1523">AV94*AZ$89</f>
        <v>0</v>
      </c>
      <c r="BA94" s="54"/>
      <c r="BB94" s="51">
        <f>AX94*$BB$89</f>
        <v>1</v>
      </c>
      <c r="BC94" s="51"/>
      <c r="BD94" s="51">
        <f t="shared" ref="BD94:BD95" si="1524">AZ94*BD$89</f>
        <v>0</v>
      </c>
      <c r="BE94" s="54"/>
      <c r="BF94" s="51">
        <f t="shared" si="1416"/>
        <v>1</v>
      </c>
      <c r="BG94" s="51"/>
      <c r="BH94" s="51">
        <f t="shared" ref="BH94:BH95" si="1525">BD94*BH$89</f>
        <v>0</v>
      </c>
      <c r="BI94" s="54"/>
      <c r="BJ94" s="51">
        <f t="shared" si="1417"/>
        <v>1</v>
      </c>
      <c r="BK94" s="51">
        <f t="shared" si="1418"/>
        <v>0</v>
      </c>
      <c r="BL94" s="51">
        <f t="shared" ref="BL94:BL95" si="1526">BH94*BL$89</f>
        <v>0</v>
      </c>
      <c r="BM94" s="54"/>
      <c r="BN94" s="51">
        <f t="shared" si="1419"/>
        <v>1</v>
      </c>
      <c r="BO94" s="51">
        <f t="shared" si="1420"/>
        <v>0</v>
      </c>
      <c r="BP94" s="51">
        <f t="shared" ref="BP94:BP95" si="1527">BL94*BP$89</f>
        <v>0</v>
      </c>
      <c r="BQ94" s="54"/>
      <c r="BR94" s="51">
        <f t="shared" si="1421"/>
        <v>1</v>
      </c>
      <c r="BS94" s="51">
        <f t="shared" si="1422"/>
        <v>0</v>
      </c>
      <c r="BT94" s="51">
        <f t="shared" ref="BT94:BT95" si="1528">BP94*BT$89</f>
        <v>0</v>
      </c>
      <c r="BU94" s="54"/>
      <c r="BV94" s="51">
        <f t="shared" si="1423"/>
        <v>1</v>
      </c>
      <c r="BW94" s="51">
        <f t="shared" si="1424"/>
        <v>0</v>
      </c>
      <c r="BX94" s="51">
        <f t="shared" ref="BX94:BX95" si="1529">BT94*BX$89</f>
        <v>0</v>
      </c>
      <c r="BY94" s="54"/>
      <c r="BZ94" s="51">
        <f t="shared" si="1425"/>
        <v>1</v>
      </c>
      <c r="CA94" s="51">
        <f t="shared" si="1426"/>
        <v>0</v>
      </c>
      <c r="CB94" s="51">
        <f t="shared" ref="CB94:CB95" si="1530">BX94*CB$89</f>
        <v>0</v>
      </c>
      <c r="CC94" s="54"/>
      <c r="CD94" s="51">
        <f t="shared" si="1427"/>
        <v>1</v>
      </c>
      <c r="CE94" s="51">
        <f t="shared" si="1428"/>
        <v>0</v>
      </c>
      <c r="CF94" s="51">
        <f t="shared" ref="CF94:CF95" si="1531">CB94*CF$89</f>
        <v>0</v>
      </c>
      <c r="CG94" s="54"/>
      <c r="CH94" s="51">
        <f t="shared" si="1429"/>
        <v>1</v>
      </c>
      <c r="CI94" s="51">
        <f t="shared" si="1430"/>
        <v>0</v>
      </c>
      <c r="CJ94" s="51">
        <f t="shared" ref="CJ94:CJ95" si="1532">CF94*CJ$89</f>
        <v>0</v>
      </c>
      <c r="CK94" s="54"/>
      <c r="CL94" s="51">
        <f t="shared" si="1431"/>
        <v>1</v>
      </c>
      <c r="CM94" s="51">
        <f t="shared" si="1432"/>
        <v>0</v>
      </c>
      <c r="CN94" s="51">
        <f t="shared" ref="CN94:CN95" si="1533">CJ94*CN$89</f>
        <v>0</v>
      </c>
      <c r="CO94" s="54"/>
      <c r="CP94" s="51">
        <f t="shared" si="1433"/>
        <v>1</v>
      </c>
      <c r="CQ94" s="51">
        <f t="shared" si="1434"/>
        <v>0</v>
      </c>
      <c r="CR94" s="51">
        <f t="shared" ref="CR94:CR95" si="1534">CN94*CR$89</f>
        <v>0</v>
      </c>
      <c r="CS94" s="54"/>
      <c r="CT94" s="51">
        <f t="shared" si="1435"/>
        <v>1</v>
      </c>
      <c r="CU94" s="51">
        <f t="shared" si="1436"/>
        <v>0</v>
      </c>
      <c r="CV94" s="51">
        <f t="shared" ref="CV94:CV95" si="1535">CR94*CV$89</f>
        <v>0</v>
      </c>
      <c r="CW94" s="54"/>
      <c r="CX94" s="51">
        <f>CT94*$CX$89</f>
        <v>1</v>
      </c>
      <c r="CY94" s="51">
        <f>CU94*$CY$89</f>
        <v>0</v>
      </c>
      <c r="CZ94" s="51">
        <f t="shared" ref="CZ94:CZ95" si="1536">CV94*CZ$89</f>
        <v>0</v>
      </c>
      <c r="DA94" s="54"/>
      <c r="DB94" s="51">
        <f t="shared" si="1437"/>
        <v>1</v>
      </c>
      <c r="DC94" s="51">
        <f t="shared" si="1438"/>
        <v>0</v>
      </c>
      <c r="DD94" s="51">
        <f t="shared" ref="DD94:DD95" si="1537">CZ94*DD$89</f>
        <v>0</v>
      </c>
      <c r="DE94" s="54"/>
      <c r="DF94" s="51">
        <f t="shared" si="1439"/>
        <v>1</v>
      </c>
      <c r="DG94" s="51">
        <f t="shared" si="1440"/>
        <v>0</v>
      </c>
      <c r="DH94" s="51">
        <f t="shared" ref="DH94:DH95" si="1538">DD94*DH$89</f>
        <v>0</v>
      </c>
      <c r="DI94" s="54"/>
      <c r="DJ94" s="51">
        <f t="shared" si="1441"/>
        <v>1</v>
      </c>
      <c r="DK94" s="51">
        <f t="shared" si="1442"/>
        <v>0</v>
      </c>
      <c r="DL94" s="51">
        <f t="shared" ref="DL94:DL95" si="1539">DH94*DL$89</f>
        <v>0</v>
      </c>
      <c r="DM94" s="54"/>
      <c r="DN94" s="51">
        <f t="shared" si="1443"/>
        <v>1</v>
      </c>
      <c r="DO94" s="51">
        <f t="shared" si="1444"/>
        <v>0</v>
      </c>
      <c r="DP94" s="51">
        <f t="shared" ref="DP94:DP95" si="1540">DL94*DP$89</f>
        <v>0</v>
      </c>
      <c r="DQ94" s="54"/>
      <c r="DR94" s="51">
        <f t="shared" si="1445"/>
        <v>1</v>
      </c>
      <c r="DS94" s="51">
        <f t="shared" si="1446"/>
        <v>0</v>
      </c>
      <c r="DT94" s="51">
        <f t="shared" ref="DT94:DT95" si="1541">DP94*DT$89</f>
        <v>0</v>
      </c>
      <c r="DU94" s="54"/>
      <c r="DV94" s="51">
        <f t="shared" si="1447"/>
        <v>1</v>
      </c>
      <c r="DW94" s="51">
        <f t="shared" si="1448"/>
        <v>0</v>
      </c>
      <c r="DX94" s="51">
        <f t="shared" ref="DX94:DX95" si="1542">DT94*DX$89</f>
        <v>0</v>
      </c>
      <c r="DY94" s="54"/>
      <c r="DZ94" s="51">
        <f t="shared" si="1449"/>
        <v>1</v>
      </c>
      <c r="EA94" s="51">
        <f t="shared" si="1450"/>
        <v>0</v>
      </c>
      <c r="EB94" s="51">
        <f t="shared" ref="EB94:EB95" si="1543">DX94*EB$89</f>
        <v>0</v>
      </c>
      <c r="EC94" s="54"/>
      <c r="ED94" s="51">
        <f t="shared" si="1451"/>
        <v>1</v>
      </c>
      <c r="EE94" s="51">
        <f t="shared" si="1452"/>
        <v>0</v>
      </c>
      <c r="EF94" s="51">
        <f t="shared" ref="EF94:EF95" si="1544">EB94*EF$89</f>
        <v>0</v>
      </c>
      <c r="EG94" s="54"/>
      <c r="EH94" s="51">
        <f t="shared" si="1453"/>
        <v>1</v>
      </c>
      <c r="EI94" s="51">
        <f t="shared" si="1454"/>
        <v>0</v>
      </c>
      <c r="EJ94" s="51">
        <f t="shared" ref="EJ94:EJ95" si="1545">EF94*EJ$89</f>
        <v>0</v>
      </c>
      <c r="EK94" s="54"/>
      <c r="EL94" s="51">
        <f t="shared" si="1455"/>
        <v>1</v>
      </c>
      <c r="EM94" s="51">
        <f t="shared" si="1456"/>
        <v>0</v>
      </c>
      <c r="EN94" s="51">
        <f t="shared" ref="EN94:EN95" si="1546">EJ94*EN$89</f>
        <v>0</v>
      </c>
      <c r="EO94" s="54"/>
      <c r="EP94" s="51">
        <f t="shared" si="1457"/>
        <v>1</v>
      </c>
      <c r="EQ94" s="51">
        <f t="shared" si="1458"/>
        <v>0</v>
      </c>
      <c r="ER94" s="51">
        <f t="shared" ref="ER94:ER95" si="1547">EN94*ER$89</f>
        <v>0</v>
      </c>
      <c r="ES94" s="54"/>
      <c r="ET94" s="51">
        <f>EP94*$ET$89</f>
        <v>1</v>
      </c>
      <c r="EU94" s="51">
        <f>EQ94*$EU$89</f>
        <v>0</v>
      </c>
      <c r="EV94" s="51">
        <f t="shared" ref="EV94:EV95" si="1548">ER94*EV$89</f>
        <v>0</v>
      </c>
      <c r="EW94" s="54"/>
      <c r="EX94" s="51">
        <f t="shared" si="1459"/>
        <v>1</v>
      </c>
      <c r="EY94" s="51">
        <f t="shared" si="1460"/>
        <v>0</v>
      </c>
      <c r="EZ94" s="51">
        <f t="shared" ref="EZ94:EZ95" si="1549">EV94*EZ$89</f>
        <v>0</v>
      </c>
      <c r="FA94" s="54"/>
      <c r="FB94" s="51">
        <f t="shared" si="1461"/>
        <v>1</v>
      </c>
      <c r="FC94" s="51">
        <f t="shared" si="1462"/>
        <v>0</v>
      </c>
      <c r="FD94" s="51">
        <f t="shared" ref="FD94:FD95" si="1550">EZ94*FD$89</f>
        <v>0</v>
      </c>
      <c r="FE94" s="54"/>
      <c r="FF94" s="51">
        <f t="shared" si="1463"/>
        <v>1</v>
      </c>
      <c r="FG94" s="51">
        <f t="shared" si="1464"/>
        <v>0</v>
      </c>
      <c r="FH94" s="51">
        <f t="shared" ref="FH94:FH95" si="1551">FD94*FH$89</f>
        <v>0</v>
      </c>
      <c r="FI94" s="54"/>
      <c r="FJ94" s="51">
        <f t="shared" si="1465"/>
        <v>1</v>
      </c>
      <c r="FK94" s="51">
        <f t="shared" si="1466"/>
        <v>0</v>
      </c>
      <c r="FL94" s="51">
        <f t="shared" ref="FL94:FL95" si="1552">FH94*FL$89</f>
        <v>0</v>
      </c>
      <c r="FM94" s="54"/>
      <c r="FN94" s="51">
        <f t="shared" si="1467"/>
        <v>1</v>
      </c>
      <c r="FO94" s="51">
        <f t="shared" si="1468"/>
        <v>0</v>
      </c>
      <c r="FP94" s="51">
        <f t="shared" ref="FP94:FP95" si="1553">FL94*FP$89</f>
        <v>0</v>
      </c>
      <c r="FQ94" s="54"/>
      <c r="FR94" s="51">
        <f t="shared" si="1469"/>
        <v>1</v>
      </c>
      <c r="FS94" s="51">
        <f t="shared" si="1470"/>
        <v>0</v>
      </c>
      <c r="FT94" s="51">
        <f t="shared" ref="FT94:FT95" si="1554">FP94*FT$89</f>
        <v>0</v>
      </c>
      <c r="FU94" s="54"/>
      <c r="FV94" s="51">
        <f t="shared" si="1471"/>
        <v>1</v>
      </c>
      <c r="FW94" s="51">
        <f t="shared" si="1472"/>
        <v>0</v>
      </c>
      <c r="FX94" s="51">
        <f t="shared" ref="FX94:FX95" si="1555">FT94*FX$89</f>
        <v>0</v>
      </c>
      <c r="FY94" s="54"/>
      <c r="FZ94" s="51">
        <f t="shared" si="1473"/>
        <v>1</v>
      </c>
      <c r="GA94" s="51">
        <f t="shared" si="1474"/>
        <v>0</v>
      </c>
      <c r="GB94" s="51">
        <f t="shared" ref="GB94:GB95" si="1556">FX94*GB$89</f>
        <v>0</v>
      </c>
      <c r="GC94" s="54"/>
      <c r="GD94" s="51">
        <f t="shared" si="1475"/>
        <v>1</v>
      </c>
      <c r="GE94" s="51">
        <f t="shared" si="1476"/>
        <v>0</v>
      </c>
      <c r="GF94" s="51">
        <f t="shared" ref="GF94:GF95" si="1557">GB94*GF$89</f>
        <v>0</v>
      </c>
      <c r="GG94" s="54"/>
      <c r="GH94" s="51">
        <f t="shared" si="1477"/>
        <v>1</v>
      </c>
      <c r="GI94" s="51">
        <f t="shared" si="1478"/>
        <v>0</v>
      </c>
      <c r="GJ94" s="51">
        <f t="shared" ref="GJ94:GJ95" si="1558">GF94*GJ$89</f>
        <v>0</v>
      </c>
      <c r="GK94" s="54"/>
      <c r="GL94" s="51">
        <f t="shared" si="1479"/>
        <v>1</v>
      </c>
      <c r="GM94" s="51">
        <f t="shared" si="1480"/>
        <v>0</v>
      </c>
      <c r="GN94" s="51">
        <f t="shared" ref="GN94:GN95" si="1559">GJ94*GN$89</f>
        <v>0</v>
      </c>
      <c r="GP94" s="51">
        <f>GL94*$GP$89</f>
        <v>1</v>
      </c>
      <c r="GQ94" s="51">
        <f>GM94*$GQ$89</f>
        <v>0</v>
      </c>
      <c r="GR94" s="51">
        <f t="shared" ref="GR94:GR95" si="1560">GN94*GR$89</f>
        <v>0</v>
      </c>
      <c r="GS94" s="54"/>
      <c r="GT94" s="51">
        <f t="shared" si="1481"/>
        <v>1</v>
      </c>
      <c r="GU94" s="51">
        <f t="shared" si="1482"/>
        <v>0</v>
      </c>
      <c r="GV94" s="51">
        <f t="shared" ref="GV94:GV95" si="1561">GR94*GV$89</f>
        <v>0</v>
      </c>
      <c r="GW94" s="54"/>
      <c r="GX94" s="51">
        <f t="shared" si="1483"/>
        <v>1</v>
      </c>
      <c r="GY94" s="51">
        <f t="shared" si="1484"/>
        <v>0</v>
      </c>
      <c r="GZ94" s="51">
        <f t="shared" ref="GZ94:GZ95" si="1562">GV94*GZ$89</f>
        <v>0</v>
      </c>
      <c r="HA94" s="54"/>
      <c r="HB94" s="51">
        <f t="shared" si="1485"/>
        <v>1</v>
      </c>
      <c r="HC94" s="51">
        <f t="shared" si="1486"/>
        <v>0</v>
      </c>
      <c r="HD94" s="51">
        <f t="shared" ref="HD94:HD95" si="1563">GZ94*HD$89</f>
        <v>0</v>
      </c>
      <c r="HE94" s="54"/>
      <c r="HF94" s="51">
        <f t="shared" si="1487"/>
        <v>1</v>
      </c>
      <c r="HG94" s="51">
        <f t="shared" si="1488"/>
        <v>0</v>
      </c>
      <c r="HH94" s="51">
        <f t="shared" ref="HH94:HH95" si="1564">HD94*HH$89</f>
        <v>0</v>
      </c>
      <c r="HI94" s="54"/>
      <c r="HJ94" s="51">
        <f t="shared" si="1489"/>
        <v>1</v>
      </c>
      <c r="HK94" s="51">
        <f t="shared" si="1490"/>
        <v>0</v>
      </c>
      <c r="HL94" s="51">
        <f t="shared" ref="HL94:HL95" si="1565">HH94*HL$89</f>
        <v>0</v>
      </c>
      <c r="HM94" s="54"/>
      <c r="HN94" s="51">
        <f t="shared" si="1491"/>
        <v>1</v>
      </c>
      <c r="HO94" s="51">
        <f t="shared" si="1492"/>
        <v>0</v>
      </c>
      <c r="HP94" s="51">
        <f t="shared" ref="HP94:HP95" si="1566">HL94*HP$89</f>
        <v>0</v>
      </c>
      <c r="HQ94" s="54"/>
      <c r="HR94" s="51">
        <f t="shared" si="1493"/>
        <v>1</v>
      </c>
      <c r="HS94" s="51">
        <f t="shared" si="1494"/>
        <v>0</v>
      </c>
      <c r="HT94" s="51">
        <f t="shared" ref="HT94:HT95" si="1567">HP94*HT$89</f>
        <v>0</v>
      </c>
      <c r="HU94" s="54"/>
      <c r="HV94" s="51">
        <f t="shared" si="1495"/>
        <v>1</v>
      </c>
      <c r="HW94" s="51">
        <f t="shared" si="1496"/>
        <v>0</v>
      </c>
      <c r="HX94" s="51">
        <f t="shared" ref="HX94:HX95" si="1568">HT94*HX$89</f>
        <v>0</v>
      </c>
      <c r="HY94" s="54"/>
      <c r="HZ94" s="51">
        <f t="shared" si="1497"/>
        <v>1</v>
      </c>
      <c r="IA94" s="51">
        <f t="shared" si="1498"/>
        <v>0</v>
      </c>
      <c r="IB94" s="51">
        <f t="shared" ref="IB94:IB95" si="1569">HX94*IB$89</f>
        <v>0</v>
      </c>
      <c r="IC94" s="54"/>
      <c r="ID94" s="51">
        <f t="shared" si="1499"/>
        <v>1</v>
      </c>
      <c r="IE94" s="51">
        <f t="shared" si="1500"/>
        <v>0</v>
      </c>
      <c r="IF94" s="51">
        <f t="shared" ref="IF94:IF95" si="1570">IB94*IF$89</f>
        <v>0</v>
      </c>
      <c r="IG94" s="54"/>
      <c r="IH94" s="51">
        <f t="shared" si="1501"/>
        <v>1</v>
      </c>
      <c r="II94" s="51">
        <f t="shared" si="1502"/>
        <v>0</v>
      </c>
      <c r="IJ94" s="51">
        <f t="shared" ref="IJ94:IJ95" si="1571">IF94*IJ$89</f>
        <v>0</v>
      </c>
      <c r="IL94" s="51">
        <f>IH94*$IL$89</f>
        <v>1</v>
      </c>
      <c r="IM94" s="51">
        <f>II94*$IM$89</f>
        <v>0</v>
      </c>
      <c r="IN94" s="51">
        <f t="shared" ref="IN94:IN95" si="1572">IJ94*IN$89</f>
        <v>0</v>
      </c>
      <c r="IO94" s="54"/>
      <c r="IP94" s="51">
        <f t="shared" si="1503"/>
        <v>1</v>
      </c>
      <c r="IQ94" s="51">
        <f t="shared" si="1504"/>
        <v>0</v>
      </c>
      <c r="IR94" s="51">
        <f t="shared" ref="IR94:IR95" si="1573">IN94*IR$89</f>
        <v>0</v>
      </c>
      <c r="IS94" s="54"/>
      <c r="IT94" s="51">
        <f t="shared" si="1505"/>
        <v>1</v>
      </c>
      <c r="IU94" s="51">
        <f t="shared" si="1506"/>
        <v>0</v>
      </c>
      <c r="IV94" s="51">
        <f t="shared" ref="IV94:IV95" si="1574">IR94*IV$89</f>
        <v>0</v>
      </c>
      <c r="IW94" s="54"/>
      <c r="IX94" s="51">
        <f t="shared" si="1507"/>
        <v>1</v>
      </c>
      <c r="IY94" s="51">
        <f t="shared" si="1508"/>
        <v>0</v>
      </c>
      <c r="IZ94" s="51">
        <f t="shared" ref="IZ94:IZ95" si="1575">IV94*IZ$89</f>
        <v>0</v>
      </c>
      <c r="JA94" s="54"/>
      <c r="JB94" s="51" t="e">
        <f t="shared" si="1509"/>
        <v>#REF!</v>
      </c>
      <c r="JC94" s="51">
        <f t="shared" si="1510"/>
        <v>0</v>
      </c>
      <c r="JD94" s="51">
        <f t="shared" ref="JD94:JD95" si="1576">IZ94*JD$89</f>
        <v>0</v>
      </c>
      <c r="JE94" s="54"/>
      <c r="JF94" s="51" t="e">
        <f t="shared" si="1511"/>
        <v>#REF!</v>
      </c>
      <c r="JG94" s="51">
        <f t="shared" si="1512"/>
        <v>0</v>
      </c>
      <c r="JH94" s="51">
        <f t="shared" ref="JH94:JH95" si="1577">JD94*JH$89</f>
        <v>0</v>
      </c>
      <c r="JI94" s="54"/>
      <c r="JJ94" s="51" t="e">
        <f t="shared" si="1513"/>
        <v>#REF!</v>
      </c>
      <c r="JK94" s="51">
        <f t="shared" si="1514"/>
        <v>0</v>
      </c>
      <c r="JL94" s="51">
        <f t="shared" ref="JL94:JL95" si="1578">JH94*JL$89</f>
        <v>0</v>
      </c>
      <c r="JM94" s="54"/>
      <c r="JO94" s="80"/>
      <c r="JP94" s="80"/>
      <c r="JQ94" s="80">
        <f t="shared" si="1401"/>
        <v>0</v>
      </c>
      <c r="JS94" s="80"/>
      <c r="JT94" s="80"/>
      <c r="JU94" s="80">
        <f t="shared" si="1402"/>
        <v>0</v>
      </c>
      <c r="JW94" s="80"/>
      <c r="JX94" s="80"/>
      <c r="JY94" s="80">
        <f t="shared" si="1403"/>
        <v>0</v>
      </c>
      <c r="KA94" s="80"/>
      <c r="KB94" s="80"/>
      <c r="KC94" s="80">
        <f t="shared" si="1404"/>
        <v>0</v>
      </c>
      <c r="KE94" s="80"/>
      <c r="KF94" s="80"/>
      <c r="KG94" s="80">
        <f t="shared" si="1405"/>
        <v>0</v>
      </c>
      <c r="KI94" s="80"/>
      <c r="KJ94" s="80"/>
      <c r="KK94" s="80">
        <f t="shared" si="1406"/>
        <v>0</v>
      </c>
      <c r="KM94" s="80"/>
      <c r="KN94" s="80"/>
      <c r="KO94" s="80">
        <f t="shared" si="1407"/>
        <v>0</v>
      </c>
    </row>
    <row r="95" ht="18.75" customHeight="1" spans="2:301" x14ac:dyDescent="0.25">
      <c r="B95" s="5" t="str">
        <f>A.IIOPEX!C95</f>
        <v>7e</v>
      </c>
      <c r="C95" s="27"/>
      <c r="D95" s="29">
        <f>A.IIOPEX!E95</f>
        <v>0</v>
      </c>
      <c r="E95" s="30"/>
      <c r="F95" s="51">
        <v>1</v>
      </c>
      <c r="G95" s="51"/>
      <c r="H95" s="51">
        <f>A.IIOPEX!I95</f>
        <v>0</v>
      </c>
      <c r="I95" s="54"/>
      <c r="J95" s="51">
        <f>F95*$J$89</f>
        <v>1</v>
      </c>
      <c r="K95" s="51"/>
      <c r="L95" s="51">
        <f t="shared" si="1408"/>
        <v>0</v>
      </c>
      <c r="M95" s="54"/>
      <c r="N95" s="51">
        <f>J95*$N$89</f>
        <v>1</v>
      </c>
      <c r="O95" s="51">
        <v>0</v>
      </c>
      <c r="P95" s="51">
        <f t="shared" si="1409"/>
        <v>0</v>
      </c>
      <c r="Q95" s="54"/>
      <c r="R95" s="51">
        <f>N95*$R$89</f>
        <v>1</v>
      </c>
      <c r="S95" s="51">
        <v>0</v>
      </c>
      <c r="T95" s="51">
        <f t="shared" si="1515"/>
        <v>0</v>
      </c>
      <c r="U95" s="54"/>
      <c r="V95" s="51">
        <f>R95*$V$89</f>
        <v>1</v>
      </c>
      <c r="W95" s="51">
        <v>0</v>
      </c>
      <c r="X95" s="51">
        <f t="shared" si="1516"/>
        <v>0</v>
      </c>
      <c r="Y95" s="54"/>
      <c r="Z95" s="51">
        <f>V95*$Z$89</f>
        <v>1</v>
      </c>
      <c r="AA95" s="51">
        <v>0</v>
      </c>
      <c r="AB95" s="51">
        <f t="shared" si="1517"/>
        <v>0</v>
      </c>
      <c r="AC95" s="54"/>
      <c r="AD95" s="51">
        <f t="shared" si="1410"/>
        <v>1</v>
      </c>
      <c r="AE95" s="51">
        <v>0</v>
      </c>
      <c r="AF95" s="51">
        <f t="shared" si="1518"/>
        <v>0</v>
      </c>
      <c r="AG95" s="54"/>
      <c r="AH95" s="51">
        <f t="shared" si="1411"/>
        <v>1</v>
      </c>
      <c r="AI95" s="51"/>
      <c r="AJ95" s="51">
        <f t="shared" si="1519"/>
        <v>0</v>
      </c>
      <c r="AK95" s="54"/>
      <c r="AL95" s="51">
        <f t="shared" si="1412"/>
        <v>1</v>
      </c>
      <c r="AM95" s="51"/>
      <c r="AN95" s="51">
        <f t="shared" si="1520"/>
        <v>0</v>
      </c>
      <c r="AO95" s="54"/>
      <c r="AP95" s="51">
        <f t="shared" si="1413"/>
        <v>1</v>
      </c>
      <c r="AQ95" s="51"/>
      <c r="AR95" s="51">
        <f t="shared" si="1521"/>
        <v>0</v>
      </c>
      <c r="AS95" s="54"/>
      <c r="AT95" s="51">
        <f t="shared" si="1414"/>
        <v>1</v>
      </c>
      <c r="AU95" s="51"/>
      <c r="AV95" s="51">
        <f t="shared" si="1522"/>
        <v>0</v>
      </c>
      <c r="AW95" s="54"/>
      <c r="AX95" s="51">
        <f t="shared" si="1415"/>
        <v>1</v>
      </c>
      <c r="AY95" s="51"/>
      <c r="AZ95" s="51">
        <f t="shared" si="1523"/>
        <v>0</v>
      </c>
      <c r="BA95" s="54"/>
      <c r="BB95" s="51">
        <f>AX95*$BB$89</f>
        <v>1</v>
      </c>
      <c r="BC95" s="51"/>
      <c r="BD95" s="51">
        <f t="shared" si="1524"/>
        <v>0</v>
      </c>
      <c r="BE95" s="54"/>
      <c r="BF95" s="51">
        <f t="shared" si="1416"/>
        <v>1</v>
      </c>
      <c r="BG95" s="51"/>
      <c r="BH95" s="51">
        <f t="shared" si="1525"/>
        <v>0</v>
      </c>
      <c r="BI95" s="54"/>
      <c r="BJ95" s="51">
        <f t="shared" si="1417"/>
        <v>1</v>
      </c>
      <c r="BK95" s="51">
        <f t="shared" si="1418"/>
        <v>0</v>
      </c>
      <c r="BL95" s="51">
        <f t="shared" si="1526"/>
        <v>0</v>
      </c>
      <c r="BM95" s="54"/>
      <c r="BN95" s="51">
        <f t="shared" si="1419"/>
        <v>1</v>
      </c>
      <c r="BO95" s="51">
        <f t="shared" si="1420"/>
        <v>0</v>
      </c>
      <c r="BP95" s="51">
        <f t="shared" si="1527"/>
        <v>0</v>
      </c>
      <c r="BQ95" s="54"/>
      <c r="BR95" s="51">
        <f t="shared" si="1421"/>
        <v>1</v>
      </c>
      <c r="BS95" s="51">
        <f t="shared" si="1422"/>
        <v>0</v>
      </c>
      <c r="BT95" s="51">
        <f t="shared" si="1528"/>
        <v>0</v>
      </c>
      <c r="BU95" s="54"/>
      <c r="BV95" s="51">
        <f t="shared" si="1423"/>
        <v>1</v>
      </c>
      <c r="BW95" s="51">
        <f t="shared" si="1424"/>
        <v>0</v>
      </c>
      <c r="BX95" s="51">
        <f t="shared" si="1529"/>
        <v>0</v>
      </c>
      <c r="BY95" s="54"/>
      <c r="BZ95" s="51">
        <f t="shared" si="1425"/>
        <v>1</v>
      </c>
      <c r="CA95" s="51">
        <f t="shared" si="1426"/>
        <v>0</v>
      </c>
      <c r="CB95" s="51">
        <f t="shared" si="1530"/>
        <v>0</v>
      </c>
      <c r="CC95" s="54"/>
      <c r="CD95" s="51">
        <f t="shared" si="1427"/>
        <v>1</v>
      </c>
      <c r="CE95" s="51">
        <f t="shared" si="1428"/>
        <v>0</v>
      </c>
      <c r="CF95" s="51">
        <f t="shared" si="1531"/>
        <v>0</v>
      </c>
      <c r="CG95" s="54"/>
      <c r="CH95" s="51">
        <f t="shared" si="1429"/>
        <v>1</v>
      </c>
      <c r="CI95" s="51">
        <f t="shared" si="1430"/>
        <v>0</v>
      </c>
      <c r="CJ95" s="51">
        <f t="shared" si="1532"/>
        <v>0</v>
      </c>
      <c r="CK95" s="54"/>
      <c r="CL95" s="51">
        <f t="shared" si="1431"/>
        <v>1</v>
      </c>
      <c r="CM95" s="51">
        <f t="shared" si="1432"/>
        <v>0</v>
      </c>
      <c r="CN95" s="51">
        <f t="shared" si="1533"/>
        <v>0</v>
      </c>
      <c r="CO95" s="54"/>
      <c r="CP95" s="51">
        <f t="shared" si="1433"/>
        <v>1</v>
      </c>
      <c r="CQ95" s="51">
        <f t="shared" si="1434"/>
        <v>0</v>
      </c>
      <c r="CR95" s="51">
        <f t="shared" si="1534"/>
        <v>0</v>
      </c>
      <c r="CS95" s="54"/>
      <c r="CT95" s="51">
        <f t="shared" si="1435"/>
        <v>1</v>
      </c>
      <c r="CU95" s="51">
        <f t="shared" si="1436"/>
        <v>0</v>
      </c>
      <c r="CV95" s="51">
        <f t="shared" si="1535"/>
        <v>0</v>
      </c>
      <c r="CW95" s="54"/>
      <c r="CX95" s="51">
        <f>CT95*$CX$89</f>
        <v>1</v>
      </c>
      <c r="CY95" s="51">
        <f>CU95*$CY$89</f>
        <v>0</v>
      </c>
      <c r="CZ95" s="51">
        <f t="shared" si="1536"/>
        <v>0</v>
      </c>
      <c r="DA95" s="54"/>
      <c r="DB95" s="51">
        <f t="shared" si="1437"/>
        <v>1</v>
      </c>
      <c r="DC95" s="51">
        <f t="shared" si="1438"/>
        <v>0</v>
      </c>
      <c r="DD95" s="51">
        <f t="shared" si="1537"/>
        <v>0</v>
      </c>
      <c r="DE95" s="54"/>
      <c r="DF95" s="51">
        <f t="shared" si="1439"/>
        <v>1</v>
      </c>
      <c r="DG95" s="51">
        <f t="shared" si="1440"/>
        <v>0</v>
      </c>
      <c r="DH95" s="51">
        <f t="shared" si="1538"/>
        <v>0</v>
      </c>
      <c r="DI95" s="54"/>
      <c r="DJ95" s="51">
        <f t="shared" si="1441"/>
        <v>1</v>
      </c>
      <c r="DK95" s="51">
        <f t="shared" si="1442"/>
        <v>0</v>
      </c>
      <c r="DL95" s="51">
        <f t="shared" si="1539"/>
        <v>0</v>
      </c>
      <c r="DM95" s="54"/>
      <c r="DN95" s="51">
        <f t="shared" si="1443"/>
        <v>1</v>
      </c>
      <c r="DO95" s="51">
        <f t="shared" si="1444"/>
        <v>0</v>
      </c>
      <c r="DP95" s="51">
        <f t="shared" si="1540"/>
        <v>0</v>
      </c>
      <c r="DQ95" s="54"/>
      <c r="DR95" s="51">
        <f t="shared" si="1445"/>
        <v>1</v>
      </c>
      <c r="DS95" s="51">
        <f t="shared" si="1446"/>
        <v>0</v>
      </c>
      <c r="DT95" s="51">
        <f t="shared" si="1541"/>
        <v>0</v>
      </c>
      <c r="DU95" s="54"/>
      <c r="DV95" s="51">
        <f t="shared" si="1447"/>
        <v>1</v>
      </c>
      <c r="DW95" s="51">
        <f t="shared" si="1448"/>
        <v>0</v>
      </c>
      <c r="DX95" s="51">
        <f t="shared" si="1542"/>
        <v>0</v>
      </c>
      <c r="DY95" s="54"/>
      <c r="DZ95" s="51">
        <f t="shared" si="1449"/>
        <v>1</v>
      </c>
      <c r="EA95" s="51">
        <f t="shared" si="1450"/>
        <v>0</v>
      </c>
      <c r="EB95" s="51">
        <f t="shared" si="1543"/>
        <v>0</v>
      </c>
      <c r="EC95" s="54"/>
      <c r="ED95" s="51">
        <f t="shared" si="1451"/>
        <v>1</v>
      </c>
      <c r="EE95" s="51">
        <f t="shared" si="1452"/>
        <v>0</v>
      </c>
      <c r="EF95" s="51">
        <f t="shared" si="1544"/>
        <v>0</v>
      </c>
      <c r="EG95" s="54"/>
      <c r="EH95" s="51">
        <f t="shared" si="1453"/>
        <v>1</v>
      </c>
      <c r="EI95" s="51">
        <f t="shared" si="1454"/>
        <v>0</v>
      </c>
      <c r="EJ95" s="51">
        <f t="shared" si="1545"/>
        <v>0</v>
      </c>
      <c r="EK95" s="54"/>
      <c r="EL95" s="51">
        <f t="shared" si="1455"/>
        <v>1</v>
      </c>
      <c r="EM95" s="51">
        <f t="shared" si="1456"/>
        <v>0</v>
      </c>
      <c r="EN95" s="51">
        <f t="shared" si="1546"/>
        <v>0</v>
      </c>
      <c r="EO95" s="54"/>
      <c r="EP95" s="51">
        <f t="shared" si="1457"/>
        <v>1</v>
      </c>
      <c r="EQ95" s="51">
        <f t="shared" si="1458"/>
        <v>0</v>
      </c>
      <c r="ER95" s="51">
        <f t="shared" si="1547"/>
        <v>0</v>
      </c>
      <c r="ES95" s="54"/>
      <c r="ET95" s="51">
        <f>EP95*$ET$89</f>
        <v>1</v>
      </c>
      <c r="EU95" s="51">
        <f>EQ95*$EU$89</f>
        <v>0</v>
      </c>
      <c r="EV95" s="51">
        <f t="shared" si="1548"/>
        <v>0</v>
      </c>
      <c r="EW95" s="54"/>
      <c r="EX95" s="51">
        <f t="shared" si="1459"/>
        <v>1</v>
      </c>
      <c r="EY95" s="51">
        <f t="shared" si="1460"/>
        <v>0</v>
      </c>
      <c r="EZ95" s="51">
        <f t="shared" si="1549"/>
        <v>0</v>
      </c>
      <c r="FA95" s="54"/>
      <c r="FB95" s="51">
        <f t="shared" si="1461"/>
        <v>1</v>
      </c>
      <c r="FC95" s="51">
        <f t="shared" si="1462"/>
        <v>0</v>
      </c>
      <c r="FD95" s="51">
        <f t="shared" si="1550"/>
        <v>0</v>
      </c>
      <c r="FE95" s="54"/>
      <c r="FF95" s="51">
        <f t="shared" si="1463"/>
        <v>1</v>
      </c>
      <c r="FG95" s="51">
        <f t="shared" si="1464"/>
        <v>0</v>
      </c>
      <c r="FH95" s="51">
        <f t="shared" si="1551"/>
        <v>0</v>
      </c>
      <c r="FI95" s="54"/>
      <c r="FJ95" s="51">
        <f t="shared" si="1465"/>
        <v>1</v>
      </c>
      <c r="FK95" s="51">
        <f t="shared" si="1466"/>
        <v>0</v>
      </c>
      <c r="FL95" s="51">
        <f t="shared" si="1552"/>
        <v>0</v>
      </c>
      <c r="FM95" s="54"/>
      <c r="FN95" s="51">
        <f t="shared" si="1467"/>
        <v>1</v>
      </c>
      <c r="FO95" s="51">
        <f t="shared" si="1468"/>
        <v>0</v>
      </c>
      <c r="FP95" s="51">
        <f t="shared" si="1553"/>
        <v>0</v>
      </c>
      <c r="FQ95" s="54"/>
      <c r="FR95" s="51">
        <f t="shared" si="1469"/>
        <v>1</v>
      </c>
      <c r="FS95" s="51">
        <f t="shared" si="1470"/>
        <v>0</v>
      </c>
      <c r="FT95" s="51">
        <f t="shared" si="1554"/>
        <v>0</v>
      </c>
      <c r="FU95" s="54"/>
      <c r="FV95" s="51">
        <f t="shared" si="1471"/>
        <v>1</v>
      </c>
      <c r="FW95" s="51">
        <f t="shared" si="1472"/>
        <v>0</v>
      </c>
      <c r="FX95" s="51">
        <f t="shared" si="1555"/>
        <v>0</v>
      </c>
      <c r="FY95" s="54"/>
      <c r="FZ95" s="51">
        <f t="shared" si="1473"/>
        <v>1</v>
      </c>
      <c r="GA95" s="51">
        <f t="shared" si="1474"/>
        <v>0</v>
      </c>
      <c r="GB95" s="51">
        <f t="shared" si="1556"/>
        <v>0</v>
      </c>
      <c r="GC95" s="54"/>
      <c r="GD95" s="51">
        <f t="shared" si="1475"/>
        <v>1</v>
      </c>
      <c r="GE95" s="51">
        <f t="shared" si="1476"/>
        <v>0</v>
      </c>
      <c r="GF95" s="51">
        <f t="shared" si="1557"/>
        <v>0</v>
      </c>
      <c r="GG95" s="54"/>
      <c r="GH95" s="51">
        <f t="shared" si="1477"/>
        <v>1</v>
      </c>
      <c r="GI95" s="51">
        <f t="shared" si="1478"/>
        <v>0</v>
      </c>
      <c r="GJ95" s="51">
        <f t="shared" si="1558"/>
        <v>0</v>
      </c>
      <c r="GK95" s="54"/>
      <c r="GL95" s="51">
        <f t="shared" si="1479"/>
        <v>1</v>
      </c>
      <c r="GM95" s="51">
        <f t="shared" si="1480"/>
        <v>0</v>
      </c>
      <c r="GN95" s="51">
        <f t="shared" si="1559"/>
        <v>0</v>
      </c>
      <c r="GP95" s="51">
        <f>GL95*$GP$89</f>
        <v>1</v>
      </c>
      <c r="GQ95" s="51">
        <f>GM95*$GQ$89</f>
        <v>0</v>
      </c>
      <c r="GR95" s="51">
        <f t="shared" si="1560"/>
        <v>0</v>
      </c>
      <c r="GS95" s="54"/>
      <c r="GT95" s="51">
        <f t="shared" si="1481"/>
        <v>1</v>
      </c>
      <c r="GU95" s="51">
        <f t="shared" si="1482"/>
        <v>0</v>
      </c>
      <c r="GV95" s="51">
        <f t="shared" si="1561"/>
        <v>0</v>
      </c>
      <c r="GW95" s="54"/>
      <c r="GX95" s="51">
        <f t="shared" si="1483"/>
        <v>1</v>
      </c>
      <c r="GY95" s="51">
        <f t="shared" si="1484"/>
        <v>0</v>
      </c>
      <c r="GZ95" s="51">
        <f t="shared" si="1562"/>
        <v>0</v>
      </c>
      <c r="HA95" s="54"/>
      <c r="HB95" s="51">
        <f t="shared" si="1485"/>
        <v>1</v>
      </c>
      <c r="HC95" s="51">
        <f t="shared" si="1486"/>
        <v>0</v>
      </c>
      <c r="HD95" s="51">
        <f t="shared" si="1563"/>
        <v>0</v>
      </c>
      <c r="HE95" s="54"/>
      <c r="HF95" s="51">
        <f t="shared" si="1487"/>
        <v>1</v>
      </c>
      <c r="HG95" s="51">
        <f t="shared" si="1488"/>
        <v>0</v>
      </c>
      <c r="HH95" s="51">
        <f t="shared" si="1564"/>
        <v>0</v>
      </c>
      <c r="HI95" s="54"/>
      <c r="HJ95" s="51">
        <f t="shared" si="1489"/>
        <v>1</v>
      </c>
      <c r="HK95" s="51">
        <f t="shared" si="1490"/>
        <v>0</v>
      </c>
      <c r="HL95" s="51">
        <f t="shared" si="1565"/>
        <v>0</v>
      </c>
      <c r="HM95" s="54"/>
      <c r="HN95" s="51">
        <f t="shared" si="1491"/>
        <v>1</v>
      </c>
      <c r="HO95" s="51">
        <f t="shared" si="1492"/>
        <v>0</v>
      </c>
      <c r="HP95" s="51">
        <f t="shared" si="1566"/>
        <v>0</v>
      </c>
      <c r="HQ95" s="54"/>
      <c r="HR95" s="51">
        <f t="shared" si="1493"/>
        <v>1</v>
      </c>
      <c r="HS95" s="51">
        <f t="shared" si="1494"/>
        <v>0</v>
      </c>
      <c r="HT95" s="51">
        <f t="shared" si="1567"/>
        <v>0</v>
      </c>
      <c r="HU95" s="54"/>
      <c r="HV95" s="51">
        <f t="shared" si="1495"/>
        <v>1</v>
      </c>
      <c r="HW95" s="51">
        <f t="shared" si="1496"/>
        <v>0</v>
      </c>
      <c r="HX95" s="51">
        <f t="shared" si="1568"/>
        <v>0</v>
      </c>
      <c r="HY95" s="54"/>
      <c r="HZ95" s="51">
        <f t="shared" si="1497"/>
        <v>1</v>
      </c>
      <c r="IA95" s="51">
        <f t="shared" si="1498"/>
        <v>0</v>
      </c>
      <c r="IB95" s="51">
        <f t="shared" si="1569"/>
        <v>0</v>
      </c>
      <c r="IC95" s="54"/>
      <c r="ID95" s="51">
        <f t="shared" si="1499"/>
        <v>1</v>
      </c>
      <c r="IE95" s="51">
        <f t="shared" si="1500"/>
        <v>0</v>
      </c>
      <c r="IF95" s="51">
        <f t="shared" si="1570"/>
        <v>0</v>
      </c>
      <c r="IG95" s="54"/>
      <c r="IH95" s="51">
        <f t="shared" si="1501"/>
        <v>1</v>
      </c>
      <c r="II95" s="51">
        <f t="shared" si="1502"/>
        <v>0</v>
      </c>
      <c r="IJ95" s="51">
        <f t="shared" si="1571"/>
        <v>0</v>
      </c>
      <c r="IL95" s="51">
        <f>IH95*$IL$89</f>
        <v>1</v>
      </c>
      <c r="IM95" s="51">
        <f>II95*$IM$89</f>
        <v>0</v>
      </c>
      <c r="IN95" s="51">
        <f t="shared" si="1572"/>
        <v>0</v>
      </c>
      <c r="IO95" s="54"/>
      <c r="IP95" s="51">
        <f t="shared" si="1503"/>
        <v>1</v>
      </c>
      <c r="IQ95" s="51">
        <f t="shared" si="1504"/>
        <v>0</v>
      </c>
      <c r="IR95" s="51">
        <f t="shared" si="1573"/>
        <v>0</v>
      </c>
      <c r="IS95" s="54"/>
      <c r="IT95" s="51">
        <f t="shared" si="1505"/>
        <v>1</v>
      </c>
      <c r="IU95" s="51">
        <f t="shared" si="1506"/>
        <v>0</v>
      </c>
      <c r="IV95" s="51">
        <f t="shared" si="1574"/>
        <v>0</v>
      </c>
      <c r="IW95" s="54"/>
      <c r="IX95" s="51">
        <f t="shared" si="1507"/>
        <v>1</v>
      </c>
      <c r="IY95" s="51">
        <f t="shared" si="1508"/>
        <v>0</v>
      </c>
      <c r="IZ95" s="51">
        <f t="shared" si="1575"/>
        <v>0</v>
      </c>
      <c r="JA95" s="54"/>
      <c r="JB95" s="51" t="e">
        <f t="shared" si="1509"/>
        <v>#REF!</v>
      </c>
      <c r="JC95" s="51">
        <f t="shared" si="1510"/>
        <v>0</v>
      </c>
      <c r="JD95" s="51">
        <f t="shared" si="1576"/>
        <v>0</v>
      </c>
      <c r="JE95" s="54"/>
      <c r="JF95" s="51" t="e">
        <f t="shared" si="1511"/>
        <v>#REF!</v>
      </c>
      <c r="JG95" s="51">
        <f t="shared" si="1512"/>
        <v>0</v>
      </c>
      <c r="JH95" s="51">
        <f t="shared" si="1577"/>
        <v>0</v>
      </c>
      <c r="JI95" s="54"/>
      <c r="JJ95" s="51" t="e">
        <f t="shared" si="1513"/>
        <v>#REF!</v>
      </c>
      <c r="JK95" s="51">
        <f t="shared" si="1514"/>
        <v>0</v>
      </c>
      <c r="JL95" s="51">
        <f t="shared" si="1578"/>
        <v>0</v>
      </c>
      <c r="JM95" s="54"/>
      <c r="JO95" s="80"/>
      <c r="JP95" s="80"/>
      <c r="JQ95" s="80">
        <f t="shared" si="1401"/>
        <v>0</v>
      </c>
      <c r="JS95" s="80"/>
      <c r="JT95" s="80"/>
      <c r="JU95" s="80">
        <f t="shared" si="1402"/>
        <v>0</v>
      </c>
      <c r="JW95" s="80"/>
      <c r="JX95" s="80"/>
      <c r="JY95" s="80">
        <f t="shared" si="1403"/>
        <v>0</v>
      </c>
      <c r="KA95" s="80"/>
      <c r="KB95" s="80"/>
      <c r="KC95" s="80">
        <f t="shared" si="1404"/>
        <v>0</v>
      </c>
      <c r="KE95" s="80"/>
      <c r="KF95" s="80"/>
      <c r="KG95" s="80">
        <f t="shared" si="1405"/>
        <v>0</v>
      </c>
      <c r="KI95" s="80"/>
      <c r="KJ95" s="80"/>
      <c r="KK95" s="80">
        <f t="shared" si="1406"/>
        <v>0</v>
      </c>
      <c r="KM95" s="80"/>
      <c r="KN95" s="80"/>
      <c r="KO95" s="80">
        <f t="shared" si="1407"/>
        <v>0</v>
      </c>
    </row>
    <row r="96" ht="18.75" customHeight="1" spans="2:301" x14ac:dyDescent="0.25">
      <c r="B96" s="34" t="s">
        <v>58</v>
      </c>
      <c r="C96" s="34"/>
      <c r="D96" s="34"/>
      <c r="E96" s="30"/>
      <c r="F96" s="81">
        <f>SUM(F91:F95)</f>
        <v>5</v>
      </c>
      <c r="G96" s="81"/>
      <c r="H96" s="81">
        <f>SUM(H91:H95)</f>
        <v>0</v>
      </c>
      <c r="I96" s="81"/>
      <c r="J96" s="81">
        <f>SUM(J91:J95)</f>
        <v>5</v>
      </c>
      <c r="K96" s="81"/>
      <c r="L96" s="81">
        <f>SUM(L91:L95)</f>
        <v>0</v>
      </c>
      <c r="M96" s="81"/>
      <c r="N96" s="81">
        <f>SUM(N91:N95)</f>
        <v>5</v>
      </c>
      <c r="O96" s="81"/>
      <c r="P96" s="81">
        <f>SUM(P91:P95)</f>
        <v>0</v>
      </c>
      <c r="Q96" s="81"/>
      <c r="R96" s="81">
        <f>SUM(R91:R95)</f>
        <v>5</v>
      </c>
      <c r="S96" s="81"/>
      <c r="T96" s="81">
        <f>SUM(T91:T95)</f>
        <v>0</v>
      </c>
      <c r="U96" s="81"/>
      <c r="V96" s="81">
        <f>SUM(V91:V95)</f>
        <v>5</v>
      </c>
      <c r="W96" s="81"/>
      <c r="X96" s="81">
        <f>SUM(X91:X95)</f>
        <v>0</v>
      </c>
      <c r="Y96" s="81"/>
      <c r="Z96" s="81">
        <f>SUM(Z91:Z95)</f>
        <v>5</v>
      </c>
      <c r="AA96" s="81"/>
      <c r="AB96" s="81">
        <f>SUM(AB91:AB95)</f>
        <v>0</v>
      </c>
      <c r="AC96" s="81"/>
      <c r="AD96" s="81">
        <f>SUM(AD91:AD95)</f>
        <v>5</v>
      </c>
      <c r="AE96" s="81"/>
      <c r="AF96" s="81">
        <f>SUM(AF91:AF95)</f>
        <v>0</v>
      </c>
      <c r="AG96" s="81"/>
      <c r="AH96" s="81">
        <f>SUM(AH91:AH95)</f>
        <v>5</v>
      </c>
      <c r="AI96" s="81"/>
      <c r="AJ96" s="81">
        <f>SUM(AJ91:AJ95)</f>
        <v>0</v>
      </c>
      <c r="AK96" s="81"/>
      <c r="AL96" s="81">
        <f>SUM(AL91:AL95)</f>
        <v>5</v>
      </c>
      <c r="AM96" s="81"/>
      <c r="AN96" s="81">
        <f>SUM(AN91:AN95)</f>
        <v>0</v>
      </c>
      <c r="AO96" s="81"/>
      <c r="AP96" s="81">
        <f>SUM(AP91:AP95)</f>
        <v>5</v>
      </c>
      <c r="AQ96" s="81"/>
      <c r="AR96" s="81">
        <f>SUM(AR91:AR95)</f>
        <v>0</v>
      </c>
      <c r="AS96" s="81"/>
      <c r="AT96" s="81">
        <f>SUM(AT91:AT95)</f>
        <v>5</v>
      </c>
      <c r="AU96" s="81"/>
      <c r="AV96" s="81">
        <f>SUM(AV91:AV95)</f>
        <v>0</v>
      </c>
      <c r="AW96" s="81"/>
      <c r="AX96" s="81">
        <f>SUM(AX91:AX95)</f>
        <v>5</v>
      </c>
      <c r="AY96" s="81"/>
      <c r="AZ96" s="81">
        <f>SUM(AZ91:AZ95)</f>
        <v>0</v>
      </c>
      <c r="BA96" s="81"/>
      <c r="BB96" s="81">
        <f>SUM(BB91:BB95)</f>
        <v>5</v>
      </c>
      <c r="BC96" s="81"/>
      <c r="BD96" s="81">
        <f>SUM(BD91:BD95)</f>
        <v>0</v>
      </c>
      <c r="BE96" s="81"/>
      <c r="BF96" s="81">
        <f>SUM(BF91:BF95)</f>
        <v>5</v>
      </c>
      <c r="BG96" s="81"/>
      <c r="BH96" s="81">
        <f>SUM(BH91:BH95)</f>
        <v>0</v>
      </c>
      <c r="BI96" s="81"/>
      <c r="BJ96" s="81">
        <f>SUM(BJ91:BJ95)</f>
        <v>5</v>
      </c>
      <c r="BK96" s="81"/>
      <c r="BL96" s="81">
        <f>SUM(BL91:BL95)</f>
        <v>0</v>
      </c>
      <c r="BM96" s="81"/>
      <c r="BN96" s="81">
        <f>SUM(BN91:BN95)</f>
        <v>5</v>
      </c>
      <c r="BO96" s="81"/>
      <c r="BP96" s="81">
        <f>SUM(BP91:BP95)</f>
        <v>0</v>
      </c>
      <c r="BQ96" s="81"/>
      <c r="BR96" s="81">
        <f>SUM(BR91:BR95)</f>
        <v>5</v>
      </c>
      <c r="BS96" s="81"/>
      <c r="BT96" s="81">
        <f>SUM(BT91:BT95)</f>
        <v>0</v>
      </c>
      <c r="BU96" s="81"/>
      <c r="BV96" s="81">
        <f>SUM(BV91:BV95)</f>
        <v>5</v>
      </c>
      <c r="BW96" s="81"/>
      <c r="BX96" s="81">
        <f>SUM(BX91:BX95)</f>
        <v>0</v>
      </c>
      <c r="BY96" s="81"/>
      <c r="BZ96" s="81">
        <f>SUM(BZ91:BZ95)</f>
        <v>5</v>
      </c>
      <c r="CA96" s="81"/>
      <c r="CB96" s="81">
        <f>SUM(CB91:CB95)</f>
        <v>0</v>
      </c>
      <c r="CC96" s="81"/>
      <c r="CD96" s="81">
        <f>SUM(CD91:CD95)</f>
        <v>5</v>
      </c>
      <c r="CE96" s="81"/>
      <c r="CF96" s="81">
        <f>SUM(CF91:CF95)</f>
        <v>0</v>
      </c>
      <c r="CG96" s="81"/>
      <c r="CH96" s="81">
        <f>SUM(CH91:CH95)</f>
        <v>5</v>
      </c>
      <c r="CI96" s="81"/>
      <c r="CJ96" s="81">
        <f>SUM(CJ91:CJ95)</f>
        <v>0</v>
      </c>
      <c r="CK96" s="81"/>
      <c r="CL96" s="81">
        <f>SUM(CL91:CL95)</f>
        <v>5</v>
      </c>
      <c r="CM96" s="81"/>
      <c r="CN96" s="81">
        <f>SUM(CN91:CN95)</f>
        <v>0</v>
      </c>
      <c r="CO96" s="81"/>
      <c r="CP96" s="81">
        <f>SUM(CP91:CP95)</f>
        <v>5</v>
      </c>
      <c r="CQ96" s="81"/>
      <c r="CR96" s="81">
        <f>SUM(CR91:CR95)</f>
        <v>0</v>
      </c>
      <c r="CS96" s="81"/>
      <c r="CT96" s="81">
        <f>SUM(CT91:CT95)</f>
        <v>5</v>
      </c>
      <c r="CU96" s="81"/>
      <c r="CV96" s="81">
        <f>SUM(CV91:CV95)</f>
        <v>0</v>
      </c>
      <c r="CW96" s="81"/>
      <c r="CX96" s="81">
        <f>SUM(CX91:CX95)</f>
        <v>5</v>
      </c>
      <c r="CY96" s="81"/>
      <c r="CZ96" s="81">
        <f>SUM(CZ91:CZ95)</f>
        <v>0</v>
      </c>
      <c r="DA96" s="81"/>
      <c r="DB96" s="81">
        <f>SUM(DB91:DB95)</f>
        <v>5</v>
      </c>
      <c r="DC96" s="81"/>
      <c r="DD96" s="81">
        <f>SUM(DD91:DD95)</f>
        <v>0</v>
      </c>
      <c r="DE96" s="81"/>
      <c r="DF96" s="81">
        <f>SUM(DF91:DF95)</f>
        <v>5</v>
      </c>
      <c r="DG96" s="81"/>
      <c r="DH96" s="81">
        <f>SUM(DH91:DH95)</f>
        <v>0</v>
      </c>
      <c r="DI96" s="81"/>
      <c r="DJ96" s="81">
        <f>SUM(DJ91:DJ95)</f>
        <v>5</v>
      </c>
      <c r="DK96" s="81"/>
      <c r="DL96" s="81">
        <f>SUM(DL91:DL95)</f>
        <v>0</v>
      </c>
      <c r="DM96" s="81"/>
      <c r="DN96" s="81">
        <f>SUM(DN91:DN95)</f>
        <v>5</v>
      </c>
      <c r="DO96" s="81"/>
      <c r="DP96" s="81">
        <f>SUM(DP91:DP95)</f>
        <v>0</v>
      </c>
      <c r="DQ96" s="81"/>
      <c r="DR96" s="81">
        <f>SUM(DR91:DR95)</f>
        <v>5</v>
      </c>
      <c r="DS96" s="81"/>
      <c r="DT96" s="81">
        <f>SUM(DT91:DT95)</f>
        <v>0</v>
      </c>
      <c r="DU96" s="81"/>
      <c r="DV96" s="81">
        <f>SUM(DV91:DV95)</f>
        <v>5</v>
      </c>
      <c r="DW96" s="81"/>
      <c r="DX96" s="81">
        <f>SUM(DX91:DX95)</f>
        <v>0</v>
      </c>
      <c r="DY96" s="81"/>
      <c r="DZ96" s="81">
        <f>SUM(DZ91:DZ95)</f>
        <v>5</v>
      </c>
      <c r="EA96" s="81"/>
      <c r="EB96" s="81">
        <f>SUM(EB91:EB95)</f>
        <v>0</v>
      </c>
      <c r="EC96" s="81"/>
      <c r="ED96" s="81">
        <f>SUM(ED91:ED95)</f>
        <v>5</v>
      </c>
      <c r="EE96" s="81"/>
      <c r="EF96" s="81">
        <f>SUM(EF91:EF95)</f>
        <v>0</v>
      </c>
      <c r="EG96" s="81"/>
      <c r="EH96" s="81">
        <f>SUM(EH91:EH95)</f>
        <v>5</v>
      </c>
      <c r="EI96" s="81"/>
      <c r="EJ96" s="81">
        <f>SUM(EJ91:EJ95)</f>
        <v>0</v>
      </c>
      <c r="EK96" s="81"/>
      <c r="EL96" s="81">
        <f>SUM(EL91:EL95)</f>
        <v>5</v>
      </c>
      <c r="EM96" s="81"/>
      <c r="EN96" s="81">
        <f>SUM(EN91:EN95)</f>
        <v>0</v>
      </c>
      <c r="EO96" s="81"/>
      <c r="EP96" s="81">
        <f>SUM(EP91:EP95)</f>
        <v>5</v>
      </c>
      <c r="EQ96" s="81"/>
      <c r="ER96" s="81">
        <f>SUM(ER91:ER95)</f>
        <v>0</v>
      </c>
      <c r="ES96" s="81"/>
      <c r="ET96" s="81">
        <f>SUM(ET91:ET95)</f>
        <v>5</v>
      </c>
      <c r="EU96" s="81"/>
      <c r="EV96" s="81">
        <f>SUM(EV91:EV95)</f>
        <v>0</v>
      </c>
      <c r="EW96" s="81"/>
      <c r="EX96" s="81">
        <f>SUM(EX91:EX95)</f>
        <v>5</v>
      </c>
      <c r="EY96" s="81"/>
      <c r="EZ96" s="81">
        <f>SUM(EZ91:EZ95)</f>
        <v>0</v>
      </c>
      <c r="FA96" s="81"/>
      <c r="FB96" s="81">
        <f>SUM(FB91:FB95)</f>
        <v>5</v>
      </c>
      <c r="FC96" s="81"/>
      <c r="FD96" s="81">
        <f>SUM(FD91:FD95)</f>
        <v>0</v>
      </c>
      <c r="FE96" s="81"/>
      <c r="FF96" s="81">
        <f>SUM(FF91:FF95)</f>
        <v>5</v>
      </c>
      <c r="FG96" s="81"/>
      <c r="FH96" s="81">
        <f>SUM(FH91:FH95)</f>
        <v>0</v>
      </c>
      <c r="FI96" s="81"/>
      <c r="FJ96" s="81">
        <f>SUM(FJ91:FJ95)</f>
        <v>5</v>
      </c>
      <c r="FK96" s="81"/>
      <c r="FL96" s="81">
        <f>SUM(FL91:FL95)</f>
        <v>0</v>
      </c>
      <c r="FM96" s="81"/>
      <c r="FN96" s="81">
        <f>SUM(FN91:FN95)</f>
        <v>5</v>
      </c>
      <c r="FO96" s="81"/>
      <c r="FP96" s="81">
        <f>SUM(FP91:FP95)</f>
        <v>0</v>
      </c>
      <c r="FQ96" s="81"/>
      <c r="FR96" s="81">
        <f>SUM(FR91:FR95)</f>
        <v>5</v>
      </c>
      <c r="FS96" s="81"/>
      <c r="FT96" s="81">
        <f>SUM(FT91:FT95)</f>
        <v>0</v>
      </c>
      <c r="FU96" s="81"/>
      <c r="FV96" s="81">
        <f>SUM(FV91:FV95)</f>
        <v>5</v>
      </c>
      <c r="FW96" s="81"/>
      <c r="FX96" s="81">
        <f>SUM(FX91:FX95)</f>
        <v>0</v>
      </c>
      <c r="FY96" s="81"/>
      <c r="FZ96" s="81">
        <f>SUM(FZ91:FZ95)</f>
        <v>5</v>
      </c>
      <c r="GA96" s="81"/>
      <c r="GB96" s="81">
        <f>SUM(GB91:GB95)</f>
        <v>0</v>
      </c>
      <c r="GC96" s="81"/>
      <c r="GD96" s="81">
        <f>SUM(GD91:GD95)</f>
        <v>5</v>
      </c>
      <c r="GE96" s="81"/>
      <c r="GF96" s="81">
        <f>SUM(GF91:GF95)</f>
        <v>0</v>
      </c>
      <c r="GG96" s="81"/>
      <c r="GH96" s="81">
        <f>SUM(GH91:GH95)</f>
        <v>5</v>
      </c>
      <c r="GI96" s="81"/>
      <c r="GJ96" s="81">
        <f>SUM(GJ91:GJ95)</f>
        <v>0</v>
      </c>
      <c r="GK96" s="81"/>
      <c r="GL96" s="81">
        <f>SUM(GL91:GL95)</f>
        <v>5</v>
      </c>
      <c r="GM96" s="81"/>
      <c r="GN96" s="81">
        <f>SUM(GN91:GN95)</f>
        <v>0</v>
      </c>
      <c r="GO96" s="9"/>
      <c r="GP96" s="81">
        <f>SUM(GP91:GP95)</f>
        <v>5</v>
      </c>
      <c r="GQ96" s="81"/>
      <c r="GR96" s="81">
        <f>SUM(GR91:GR95)</f>
        <v>0</v>
      </c>
      <c r="GS96" s="81"/>
      <c r="GT96" s="81">
        <f>SUM(GT91:GT95)</f>
        <v>5</v>
      </c>
      <c r="GU96" s="81"/>
      <c r="GV96" s="81">
        <f>SUM(GV91:GV95)</f>
        <v>0</v>
      </c>
      <c r="GW96" s="81"/>
      <c r="GX96" s="81">
        <f>SUM(GX91:GX95)</f>
        <v>5</v>
      </c>
      <c r="GY96" s="81"/>
      <c r="GZ96" s="81">
        <f>SUM(GZ91:GZ95)</f>
        <v>0</v>
      </c>
      <c r="HA96" s="81"/>
      <c r="HB96" s="81">
        <f>SUM(HB91:HB95)</f>
        <v>5</v>
      </c>
      <c r="HC96" s="81"/>
      <c r="HD96" s="81">
        <f>SUM(HD91:HD95)</f>
        <v>0</v>
      </c>
      <c r="HE96" s="81"/>
      <c r="HF96" s="81">
        <f>SUM(HF91:HF95)</f>
        <v>5</v>
      </c>
      <c r="HG96" s="81"/>
      <c r="HH96" s="81">
        <f>SUM(HH91:HH95)</f>
        <v>0</v>
      </c>
      <c r="HI96" s="81"/>
      <c r="HJ96" s="81">
        <f>SUM(HJ91:HJ95)</f>
        <v>5</v>
      </c>
      <c r="HK96" s="81"/>
      <c r="HL96" s="81">
        <f>SUM(HL91:HL95)</f>
        <v>0</v>
      </c>
      <c r="HM96" s="81"/>
      <c r="HN96" s="81">
        <f>SUM(HN91:HN95)</f>
        <v>5</v>
      </c>
      <c r="HO96" s="81"/>
      <c r="HP96" s="81">
        <f>SUM(HP91:HP95)</f>
        <v>0</v>
      </c>
      <c r="HQ96" s="81"/>
      <c r="HR96" s="81">
        <f>SUM(HR91:HR95)</f>
        <v>5</v>
      </c>
      <c r="HS96" s="81"/>
      <c r="HT96" s="81">
        <f>SUM(HT91:HT95)</f>
        <v>0</v>
      </c>
      <c r="HU96" s="81"/>
      <c r="HV96" s="81">
        <f>SUM(HV91:HV95)</f>
        <v>5</v>
      </c>
      <c r="HW96" s="81"/>
      <c r="HX96" s="81">
        <f>SUM(HX91:HX95)</f>
        <v>0</v>
      </c>
      <c r="HY96" s="81"/>
      <c r="HZ96" s="81">
        <f>SUM(HZ91:HZ95)</f>
        <v>5</v>
      </c>
      <c r="IA96" s="81"/>
      <c r="IB96" s="81">
        <f>SUM(IB91:IB95)</f>
        <v>0</v>
      </c>
      <c r="IC96" s="81"/>
      <c r="ID96" s="81">
        <f>SUM(ID91:ID95)</f>
        <v>5</v>
      </c>
      <c r="IE96" s="81"/>
      <c r="IF96" s="81">
        <f>SUM(IF91:IF95)</f>
        <v>0</v>
      </c>
      <c r="IG96" s="81"/>
      <c r="IH96" s="81">
        <f>SUM(IH91:IH95)</f>
        <v>5</v>
      </c>
      <c r="II96" s="81"/>
      <c r="IJ96" s="81">
        <f>SUM(IJ91:IJ95)</f>
        <v>0</v>
      </c>
      <c r="IK96" s="9"/>
      <c r="IL96" s="81">
        <f>SUM(IL91:IL95)</f>
        <v>5</v>
      </c>
      <c r="IM96" s="81"/>
      <c r="IN96" s="81">
        <f>SUM(IN91:IN95)</f>
        <v>0</v>
      </c>
      <c r="IO96" s="81"/>
      <c r="IP96" s="81">
        <f>SUM(IP91:IP95)</f>
        <v>5</v>
      </c>
      <c r="IQ96" s="81"/>
      <c r="IR96" s="81">
        <f>SUM(IR91:IR95)</f>
        <v>0</v>
      </c>
      <c r="IS96" s="81"/>
      <c r="IT96" s="81">
        <f>SUM(IT91:IT95)</f>
        <v>5</v>
      </c>
      <c r="IU96" s="81"/>
      <c r="IV96" s="81">
        <f>SUM(IV91:IV95)</f>
        <v>0</v>
      </c>
      <c r="IW96" s="81"/>
      <c r="IX96" s="81">
        <f>SUM(IX91:IX95)</f>
        <v>5</v>
      </c>
      <c r="IY96" s="81"/>
      <c r="IZ96" s="81">
        <f>SUM(IZ91:IZ95)</f>
        <v>0</v>
      </c>
      <c r="JA96" s="81"/>
      <c r="JB96" s="81" t="e">
        <f>SUM(JB91:JB95)</f>
        <v>#REF!</v>
      </c>
      <c r="JC96" s="81"/>
      <c r="JD96" s="81">
        <f>SUM(JD91:JD95)</f>
        <v>0</v>
      </c>
      <c r="JE96" s="81"/>
      <c r="JF96" s="81" t="e">
        <f>SUM(JF91:JF95)</f>
        <v>#REF!</v>
      </c>
      <c r="JG96" s="81"/>
      <c r="JH96" s="81">
        <f>SUM(JH91:JH95)</f>
        <v>0</v>
      </c>
      <c r="JI96" s="81"/>
      <c r="JJ96" s="81" t="e">
        <f>SUM(JJ91:JJ95)</f>
        <v>#REF!</v>
      </c>
      <c r="JK96" s="81"/>
      <c r="JL96" s="81">
        <f>SUM(JL91:JL95)</f>
        <v>0</v>
      </c>
      <c r="JM96" s="81"/>
      <c r="JN96" s="9"/>
      <c r="JO96" s="81"/>
      <c r="JP96" s="81"/>
      <c r="JQ96" s="80">
        <f t="shared" si="1401"/>
        <v>0</v>
      </c>
      <c r="JS96" s="81"/>
      <c r="JT96" s="81"/>
      <c r="JU96" s="80">
        <f t="shared" si="1402"/>
        <v>0</v>
      </c>
      <c r="JW96" s="81"/>
      <c r="JX96" s="81"/>
      <c r="JY96" s="80">
        <f t="shared" si="1403"/>
        <v>0</v>
      </c>
      <c r="KA96" s="81"/>
      <c r="KB96" s="81"/>
      <c r="KC96" s="80">
        <f t="shared" si="1404"/>
        <v>0</v>
      </c>
      <c r="KE96" s="81"/>
      <c r="KF96" s="81"/>
      <c r="KG96" s="80">
        <f t="shared" si="1405"/>
        <v>0</v>
      </c>
      <c r="KI96" s="81"/>
      <c r="KJ96" s="81"/>
      <c r="KK96" s="80">
        <f t="shared" si="1406"/>
        <v>0</v>
      </c>
      <c r="KM96" s="81"/>
      <c r="KN96" s="81"/>
      <c r="KO96" s="80">
        <f t="shared" si="1407"/>
        <v>0</v>
      </c>
    </row>
    <row r="97" ht="9.75" customHeight="1" spans="2:301" x14ac:dyDescent="0.25">
      <c r="B97" s="9"/>
      <c r="C97" s="28"/>
      <c r="D97" s="30"/>
      <c r="E97" s="30"/>
      <c r="F97" s="54"/>
      <c r="G97" s="54"/>
      <c r="H97" s="54"/>
      <c r="I97" s="54"/>
      <c r="J97" s="54"/>
      <c r="K97" s="54"/>
      <c r="L97" s="54"/>
      <c r="M97" s="54"/>
      <c r="N97" s="54"/>
      <c r="O97" s="54"/>
      <c r="P97" s="54"/>
      <c r="Q97" s="54"/>
      <c r="R97" s="54"/>
      <c r="S97" s="54"/>
      <c r="T97" s="54"/>
      <c r="U97" s="54"/>
      <c r="V97" s="54"/>
      <c r="W97" s="54"/>
      <c r="X97" s="54"/>
      <c r="Y97" s="54"/>
      <c r="Z97" s="54"/>
      <c r="AA97" s="54"/>
      <c r="AB97" s="54"/>
      <c r="AC97" s="54"/>
      <c r="AD97" s="54"/>
      <c r="AE97" s="54"/>
      <c r="AF97" s="54"/>
      <c r="AG97" s="54"/>
      <c r="AH97" s="54"/>
      <c r="AI97" s="54"/>
      <c r="AJ97" s="54"/>
      <c r="AK97" s="54"/>
      <c r="AL97" s="54"/>
      <c r="AM97" s="54"/>
      <c r="AN97" s="54"/>
      <c r="AO97" s="54"/>
      <c r="AP97" s="54"/>
      <c r="AQ97" s="54"/>
      <c r="AR97" s="54"/>
      <c r="AS97" s="54"/>
      <c r="AT97" s="54"/>
      <c r="AU97" s="54"/>
      <c r="AV97" s="54"/>
      <c r="AW97" s="54"/>
      <c r="AX97" s="54"/>
      <c r="AY97" s="54"/>
      <c r="AZ97" s="54"/>
      <c r="BA97" s="54"/>
      <c r="BB97" s="54"/>
      <c r="BC97" s="54"/>
      <c r="BD97" s="54"/>
      <c r="BE97" s="54"/>
      <c r="BF97" s="54"/>
      <c r="BG97" s="54"/>
      <c r="BH97" s="54"/>
      <c r="BI97" s="54"/>
      <c r="BJ97" s="54"/>
      <c r="BK97" s="54"/>
      <c r="BL97" s="54"/>
      <c r="BM97" s="54"/>
      <c r="BN97" s="54"/>
      <c r="BO97" s="54"/>
      <c r="BP97" s="54"/>
      <c r="BQ97" s="54"/>
      <c r="BR97" s="54"/>
      <c r="BS97" s="54"/>
      <c r="BT97" s="54"/>
      <c r="BU97" s="54"/>
      <c r="BV97" s="54"/>
      <c r="BW97" s="54"/>
      <c r="BX97" s="54"/>
      <c r="BY97" s="54"/>
      <c r="BZ97" s="54"/>
      <c r="CA97" s="54"/>
      <c r="CB97" s="54"/>
      <c r="CC97" s="54"/>
      <c r="CD97" s="54"/>
      <c r="CE97" s="54"/>
      <c r="CF97" s="54"/>
      <c r="CG97" s="54"/>
      <c r="CH97" s="54"/>
      <c r="CI97" s="54"/>
      <c r="CJ97" s="54"/>
      <c r="CK97" s="54"/>
      <c r="CL97" s="54"/>
      <c r="CM97" s="54"/>
      <c r="CN97" s="54"/>
      <c r="CO97" s="54"/>
      <c r="CP97" s="54"/>
      <c r="CQ97" s="54"/>
      <c r="CR97" s="54"/>
      <c r="CS97" s="54"/>
      <c r="CT97" s="54"/>
      <c r="CU97" s="54"/>
      <c r="CV97" s="54"/>
      <c r="CW97" s="54"/>
      <c r="CX97" s="54"/>
      <c r="CY97" s="54"/>
      <c r="CZ97" s="54"/>
      <c r="DA97" s="54"/>
      <c r="DB97" s="54"/>
      <c r="DC97" s="54"/>
      <c r="DD97" s="54"/>
      <c r="DE97" s="54"/>
      <c r="DF97" s="54"/>
      <c r="DG97" s="54"/>
      <c r="DH97" s="54"/>
      <c r="DI97" s="54"/>
      <c r="DJ97" s="54"/>
      <c r="DK97" s="54"/>
      <c r="DL97" s="54"/>
      <c r="DM97" s="54"/>
      <c r="DN97" s="54"/>
      <c r="DO97" s="54"/>
      <c r="DP97" s="54"/>
      <c r="DQ97" s="54"/>
      <c r="DR97" s="54"/>
      <c r="DS97" s="54"/>
      <c r="DT97" s="54"/>
      <c r="DU97" s="54"/>
      <c r="DV97" s="54"/>
      <c r="DW97" s="54"/>
      <c r="DX97" s="54"/>
      <c r="DY97" s="54"/>
      <c r="DZ97" s="54"/>
      <c r="EA97" s="54"/>
      <c r="EB97" s="54"/>
      <c r="EC97" s="54"/>
      <c r="ED97" s="54"/>
      <c r="EE97" s="54"/>
      <c r="EF97" s="54"/>
      <c r="EG97" s="54"/>
      <c r="EH97" s="54"/>
      <c r="EI97" s="54"/>
      <c r="EJ97" s="54"/>
      <c r="EK97" s="54"/>
      <c r="EL97" s="54"/>
      <c r="EM97" s="54"/>
      <c r="EN97" s="54"/>
      <c r="EO97" s="54"/>
      <c r="EP97" s="54"/>
      <c r="EQ97" s="54"/>
      <c r="ER97" s="54"/>
      <c r="ES97" s="54"/>
      <c r="ET97" s="54"/>
      <c r="EU97" s="54"/>
      <c r="EV97" s="54"/>
      <c r="EW97" s="54"/>
      <c r="EX97" s="54"/>
      <c r="EY97" s="54"/>
      <c r="EZ97" s="54"/>
      <c r="FA97" s="54"/>
      <c r="FB97" s="54"/>
      <c r="FC97" s="54"/>
      <c r="FD97" s="54"/>
      <c r="FE97" s="54"/>
      <c r="FF97" s="54"/>
      <c r="FG97" s="54"/>
      <c r="FH97" s="54"/>
      <c r="FI97" s="54"/>
      <c r="FJ97" s="54"/>
      <c r="FK97" s="54"/>
      <c r="FL97" s="54"/>
      <c r="FM97" s="54"/>
      <c r="FN97" s="54"/>
      <c r="FO97" s="54"/>
      <c r="FP97" s="54"/>
      <c r="FQ97" s="54"/>
      <c r="FR97" s="54"/>
      <c r="FS97" s="54"/>
      <c r="FT97" s="54"/>
      <c r="FU97" s="54"/>
      <c r="FV97" s="54"/>
      <c r="FW97" s="54"/>
      <c r="FX97" s="54"/>
      <c r="FY97" s="54"/>
      <c r="FZ97" s="54"/>
      <c r="GA97" s="54"/>
      <c r="GB97" s="54"/>
      <c r="GC97" s="54"/>
      <c r="GD97" s="54"/>
      <c r="GE97" s="54"/>
      <c r="GF97" s="54"/>
      <c r="GG97" s="54"/>
      <c r="GH97" s="54"/>
      <c r="GI97" s="54"/>
      <c r="GJ97" s="54"/>
      <c r="GK97" s="54"/>
      <c r="GL97" s="54"/>
      <c r="GM97" s="54"/>
      <c r="GN97" s="54"/>
      <c r="GP97" s="54"/>
      <c r="GQ97" s="54"/>
      <c r="GR97" s="54"/>
      <c r="GS97" s="54"/>
      <c r="GT97" s="54"/>
      <c r="GU97" s="54"/>
      <c r="GV97" s="54"/>
      <c r="GW97" s="54"/>
      <c r="GX97" s="54"/>
      <c r="GY97" s="54"/>
      <c r="GZ97" s="54"/>
      <c r="HA97" s="54"/>
      <c r="HB97" s="54"/>
      <c r="HC97" s="54"/>
      <c r="HD97" s="54"/>
      <c r="HE97" s="54"/>
      <c r="HF97" s="54"/>
      <c r="HG97" s="54"/>
      <c r="HH97" s="54"/>
      <c r="HI97" s="54"/>
      <c r="HJ97" s="54"/>
      <c r="HK97" s="54"/>
      <c r="HL97" s="54"/>
      <c r="HM97" s="54"/>
      <c r="HN97" s="54"/>
      <c r="HO97" s="54"/>
      <c r="HP97" s="54"/>
      <c r="HQ97" s="54"/>
      <c r="HR97" s="54"/>
      <c r="HS97" s="54"/>
      <c r="HT97" s="54"/>
      <c r="HU97" s="54"/>
      <c r="HV97" s="54"/>
      <c r="HW97" s="54"/>
      <c r="HX97" s="54"/>
      <c r="HY97" s="54"/>
      <c r="HZ97" s="54"/>
      <c r="IA97" s="54"/>
      <c r="IB97" s="54"/>
      <c r="IC97" s="54"/>
      <c r="ID97" s="54"/>
      <c r="IE97" s="54"/>
      <c r="IF97" s="54"/>
      <c r="IG97" s="54"/>
      <c r="IH97" s="54"/>
      <c r="II97" s="54"/>
      <c r="IJ97" s="54"/>
      <c r="IL97" s="54"/>
      <c r="IM97" s="54"/>
      <c r="IN97" s="54"/>
      <c r="IO97" s="54"/>
      <c r="IP97" s="54"/>
      <c r="IQ97" s="54"/>
      <c r="IR97" s="54"/>
      <c r="IS97" s="54"/>
      <c r="IT97" s="54"/>
      <c r="IU97" s="54"/>
      <c r="IV97" s="54"/>
      <c r="IW97" s="54"/>
      <c r="IX97" s="54"/>
      <c r="IY97" s="54"/>
      <c r="IZ97" s="54"/>
      <c r="JA97" s="54"/>
      <c r="JB97" s="54"/>
      <c r="JC97" s="54"/>
      <c r="JD97" s="54"/>
      <c r="JE97" s="54"/>
      <c r="JF97" s="54"/>
      <c r="JG97" s="54"/>
      <c r="JH97" s="54"/>
      <c r="JI97" s="54"/>
      <c r="JJ97" s="54"/>
      <c r="JK97" s="54"/>
      <c r="JL97" s="54"/>
      <c r="JM97" s="54"/>
      <c r="JO97" s="54"/>
      <c r="JP97" s="54"/>
      <c r="JQ97" s="54"/>
      <c r="JS97" s="54"/>
      <c r="JT97" s="54"/>
      <c r="JU97" s="54"/>
      <c r="JW97" s="54"/>
      <c r="JX97" s="54"/>
      <c r="JY97" s="54"/>
      <c r="KA97" s="54"/>
      <c r="KB97" s="54"/>
      <c r="KC97" s="54"/>
      <c r="KE97" s="54"/>
      <c r="KF97" s="54"/>
      <c r="KG97" s="54"/>
      <c r="KI97" s="54"/>
      <c r="KJ97" s="54"/>
      <c r="KK97" s="54"/>
      <c r="KM97" s="54"/>
      <c r="KN97" s="54"/>
      <c r="KO97" s="54"/>
    </row>
    <row r="98" ht="12" customHeight="1" spans="2:301" s="101" customFormat="1" x14ac:dyDescent="0.25">
      <c r="B98" s="102"/>
      <c r="J98" s="78">
        <f>A.IIOPEX!K100+100%</f>
        <v>1</v>
      </c>
      <c r="K98" s="78">
        <f>$K$8</f>
        <v>1</v>
      </c>
      <c r="L98" s="78">
        <f>A.IIOPEX!K100+100%</f>
        <v>1</v>
      </c>
      <c r="M98" s="103"/>
      <c r="N98" s="78">
        <v>1</v>
      </c>
      <c r="O98" s="78">
        <v>1</v>
      </c>
      <c r="P98" s="78">
        <v>1</v>
      </c>
      <c r="Q98" s="103"/>
      <c r="R98" s="78">
        <f>N98</f>
        <v>1</v>
      </c>
      <c r="S98" s="78">
        <v>1</v>
      </c>
      <c r="T98" s="78">
        <f>P98</f>
        <v>1</v>
      </c>
      <c r="U98" s="103"/>
      <c r="V98" s="78">
        <f>R98</f>
        <v>1</v>
      </c>
      <c r="W98" s="78">
        <v>1</v>
      </c>
      <c r="X98" s="78">
        <f>T98</f>
        <v>1</v>
      </c>
      <c r="Y98" s="103"/>
      <c r="Z98" s="78">
        <v>1</v>
      </c>
      <c r="AA98" s="78">
        <v>1</v>
      </c>
      <c r="AB98" s="78">
        <f>X98</f>
        <v>1</v>
      </c>
      <c r="AC98" s="103"/>
      <c r="AD98" s="78">
        <f>Z98</f>
        <v>1</v>
      </c>
      <c r="AE98" s="78">
        <v>1</v>
      </c>
      <c r="AF98" s="78">
        <f>AB98</f>
        <v>1</v>
      </c>
      <c r="AG98" s="103"/>
      <c r="AH98" s="78">
        <f>A.IIOPEX!M100+100%</f>
        <v>1</v>
      </c>
      <c r="AI98" s="78">
        <v>1</v>
      </c>
      <c r="AJ98" s="78">
        <f>A.IIOPEX!M100+100%</f>
        <v>1</v>
      </c>
      <c r="AK98" s="103"/>
      <c r="AL98" s="78">
        <v>1</v>
      </c>
      <c r="AM98" s="78">
        <v>1</v>
      </c>
      <c r="AN98" s="78">
        <v>1</v>
      </c>
      <c r="AO98" s="103"/>
      <c r="AP98" s="78">
        <f>AL98</f>
        <v>1</v>
      </c>
      <c r="AQ98" s="78">
        <v>1</v>
      </c>
      <c r="AR98" s="78">
        <f>AN98</f>
        <v>1</v>
      </c>
      <c r="AS98" s="103"/>
      <c r="AT98" s="78">
        <f>AP98</f>
        <v>1</v>
      </c>
      <c r="AU98" s="78">
        <v>1</v>
      </c>
      <c r="AV98" s="78">
        <f>AR98</f>
        <v>1</v>
      </c>
      <c r="AW98" s="103"/>
      <c r="AX98" s="78">
        <f>AT98</f>
        <v>1</v>
      </c>
      <c r="AY98" s="78">
        <v>1</v>
      </c>
      <c r="AZ98" s="78">
        <f>AV98</f>
        <v>1</v>
      </c>
      <c r="BA98" s="103"/>
      <c r="BB98" s="78">
        <f>AX98</f>
        <v>1</v>
      </c>
      <c r="BC98" s="78">
        <v>1</v>
      </c>
      <c r="BD98" s="78">
        <f>AZ98</f>
        <v>1</v>
      </c>
      <c r="BE98" s="103"/>
      <c r="BF98" s="78">
        <f>BB98</f>
        <v>1</v>
      </c>
      <c r="BG98" s="78">
        <v>1</v>
      </c>
      <c r="BH98" s="78">
        <f>BD98</f>
        <v>1</v>
      </c>
      <c r="BI98" s="103"/>
      <c r="BJ98" s="78">
        <f>BF98</f>
        <v>1</v>
      </c>
      <c r="BK98" s="78">
        <v>1</v>
      </c>
      <c r="BL98" s="78">
        <f>BH98</f>
        <v>1</v>
      </c>
      <c r="BM98" s="103"/>
      <c r="BN98" s="79">
        <f>BJ98</f>
        <v>1</v>
      </c>
      <c r="BO98" s="79">
        <v>1</v>
      </c>
      <c r="BP98" s="78">
        <f>BL98</f>
        <v>1</v>
      </c>
      <c r="BQ98" s="103"/>
      <c r="BR98" s="78">
        <f>BN98</f>
        <v>1</v>
      </c>
      <c r="BS98" s="78">
        <v>1</v>
      </c>
      <c r="BT98" s="78">
        <f>BP98</f>
        <v>1</v>
      </c>
      <c r="BU98" s="103"/>
      <c r="BV98" s="78">
        <v>1</v>
      </c>
      <c r="BW98" s="78">
        <v>1</v>
      </c>
      <c r="BX98" s="78">
        <f>BT98</f>
        <v>1</v>
      </c>
      <c r="BY98" s="103"/>
      <c r="BZ98" s="78">
        <f>BV98</f>
        <v>1</v>
      </c>
      <c r="CA98" s="78">
        <v>1</v>
      </c>
      <c r="CB98" s="78">
        <f>BX98</f>
        <v>1</v>
      </c>
      <c r="CC98" s="103"/>
      <c r="CD98" s="78">
        <f>A.IIOPEX!O100+100%</f>
        <v>1</v>
      </c>
      <c r="CE98" s="78">
        <v>1</v>
      </c>
      <c r="CF98" s="78">
        <f>A.IIOPEX!O100+100%</f>
        <v>1</v>
      </c>
      <c r="CG98" s="103"/>
      <c r="CH98" s="78">
        <v>1</v>
      </c>
      <c r="CI98" s="78">
        <v>1</v>
      </c>
      <c r="CJ98" s="78">
        <v>1</v>
      </c>
      <c r="CK98" s="103"/>
      <c r="CL98" s="78">
        <f>CH98</f>
        <v>1</v>
      </c>
      <c r="CM98" s="78">
        <v>1</v>
      </c>
      <c r="CN98" s="78">
        <f>CJ98</f>
        <v>1</v>
      </c>
      <c r="CO98" s="103"/>
      <c r="CP98" s="78">
        <f>CL98</f>
        <v>1</v>
      </c>
      <c r="CQ98" s="78">
        <v>1</v>
      </c>
      <c r="CR98" s="78">
        <f>CN98</f>
        <v>1</v>
      </c>
      <c r="CS98" s="103"/>
      <c r="CT98" s="78">
        <f>CP98</f>
        <v>1</v>
      </c>
      <c r="CU98" s="78">
        <v>1</v>
      </c>
      <c r="CV98" s="78">
        <f>CR98</f>
        <v>1</v>
      </c>
      <c r="CW98" s="103"/>
      <c r="CX98" s="78">
        <f>CT98</f>
        <v>1</v>
      </c>
      <c r="CY98" s="78">
        <v>1</v>
      </c>
      <c r="CZ98" s="78">
        <f>CV98</f>
        <v>1</v>
      </c>
      <c r="DA98" s="103"/>
      <c r="DB98" s="78">
        <f>CX98</f>
        <v>1</v>
      </c>
      <c r="DC98" s="78">
        <v>1</v>
      </c>
      <c r="DD98" s="78">
        <f>CZ98</f>
        <v>1</v>
      </c>
      <c r="DE98" s="103"/>
      <c r="DF98" s="78">
        <f>DB98</f>
        <v>1</v>
      </c>
      <c r="DG98" s="78">
        <v>1</v>
      </c>
      <c r="DH98" s="78">
        <f>DD98</f>
        <v>1</v>
      </c>
      <c r="DI98" s="103"/>
      <c r="DJ98" s="79">
        <f>DF98</f>
        <v>1</v>
      </c>
      <c r="DK98" s="79">
        <v>1</v>
      </c>
      <c r="DL98" s="78">
        <f>DH98</f>
        <v>1</v>
      </c>
      <c r="DM98" s="103"/>
      <c r="DN98" s="78">
        <f>DJ98</f>
        <v>1</v>
      </c>
      <c r="DO98" s="78">
        <v>1</v>
      </c>
      <c r="DP98" s="78">
        <f>DL98</f>
        <v>1</v>
      </c>
      <c r="DQ98" s="103"/>
      <c r="DR98" s="78">
        <v>1</v>
      </c>
      <c r="DS98" s="78">
        <v>1</v>
      </c>
      <c r="DT98" s="78">
        <f>DP98</f>
        <v>1</v>
      </c>
      <c r="DU98" s="103"/>
      <c r="DV98" s="78">
        <f>DR98</f>
        <v>1</v>
      </c>
      <c r="DW98" s="78">
        <v>1</v>
      </c>
      <c r="DX98" s="78">
        <f>DT98</f>
        <v>1</v>
      </c>
      <c r="DY98" s="103"/>
      <c r="DZ98" s="78">
        <f>A.IIOPEX!Q100+100%</f>
        <v>1</v>
      </c>
      <c r="EA98" s="78">
        <v>1</v>
      </c>
      <c r="EB98" s="78">
        <f>A.IIOPEX!Q100+100%</f>
        <v>1</v>
      </c>
      <c r="EC98" s="103"/>
      <c r="ED98" s="78">
        <v>1</v>
      </c>
      <c r="EE98" s="78">
        <v>1</v>
      </c>
      <c r="EF98" s="78">
        <v>1</v>
      </c>
      <c r="EG98" s="103"/>
      <c r="EH98" s="78">
        <f>ED98</f>
        <v>1</v>
      </c>
      <c r="EI98" s="78">
        <v>1</v>
      </c>
      <c r="EJ98" s="78">
        <f>EF98</f>
        <v>1</v>
      </c>
      <c r="EK98" s="103"/>
      <c r="EL98" s="78">
        <f>EH98</f>
        <v>1</v>
      </c>
      <c r="EM98" s="78">
        <v>1</v>
      </c>
      <c r="EN98" s="78">
        <f>EJ98</f>
        <v>1</v>
      </c>
      <c r="EO98" s="103"/>
      <c r="EP98" s="78">
        <f>EL98</f>
        <v>1</v>
      </c>
      <c r="EQ98" s="78">
        <v>1</v>
      </c>
      <c r="ER98" s="78">
        <f>EN98</f>
        <v>1</v>
      </c>
      <c r="ES98" s="103"/>
      <c r="ET98" s="78">
        <f>EP98</f>
        <v>1</v>
      </c>
      <c r="EU98" s="78">
        <v>1</v>
      </c>
      <c r="EV98" s="78">
        <f>ER98</f>
        <v>1</v>
      </c>
      <c r="EW98" s="103"/>
      <c r="EX98" s="78">
        <f>ET98</f>
        <v>1</v>
      </c>
      <c r="EY98" s="78">
        <v>1</v>
      </c>
      <c r="EZ98" s="78">
        <f>EV98</f>
        <v>1</v>
      </c>
      <c r="FA98" s="103"/>
      <c r="FB98" s="78">
        <f>EX98</f>
        <v>1</v>
      </c>
      <c r="FC98" s="78">
        <v>1</v>
      </c>
      <c r="FD98" s="78">
        <f>EZ98</f>
        <v>1</v>
      </c>
      <c r="FE98" s="103"/>
      <c r="FF98" s="79">
        <f>FB98</f>
        <v>1</v>
      </c>
      <c r="FG98" s="79">
        <v>1</v>
      </c>
      <c r="FH98" s="78">
        <f>FD98</f>
        <v>1</v>
      </c>
      <c r="FI98" s="103"/>
      <c r="FJ98" s="78">
        <f>A.IIOPEX!S100+100%</f>
        <v>1</v>
      </c>
      <c r="FK98" s="78">
        <v>1</v>
      </c>
      <c r="FL98" s="78">
        <f>FH98</f>
        <v>1</v>
      </c>
      <c r="FM98" s="103"/>
      <c r="FN98" s="78">
        <v>1</v>
      </c>
      <c r="FO98" s="78">
        <v>1</v>
      </c>
      <c r="FP98" s="78">
        <f>FL98</f>
        <v>1</v>
      </c>
      <c r="FQ98" s="103"/>
      <c r="FR98" s="78">
        <f>FN98</f>
        <v>1</v>
      </c>
      <c r="FS98" s="78">
        <v>1</v>
      </c>
      <c r="FT98" s="78">
        <f>FP98</f>
        <v>1</v>
      </c>
      <c r="FU98" s="103"/>
      <c r="FV98" s="78">
        <f>FR98</f>
        <v>1</v>
      </c>
      <c r="FW98" s="78">
        <v>1</v>
      </c>
      <c r="FX98" s="78">
        <f>A.IIOPEX!S100+100%</f>
        <v>1</v>
      </c>
      <c r="FY98" s="103"/>
      <c r="FZ98" s="78">
        <f>FV98</f>
        <v>1</v>
      </c>
      <c r="GA98" s="78">
        <v>1</v>
      </c>
      <c r="GB98" s="78">
        <v>1</v>
      </c>
      <c r="GC98" s="103"/>
      <c r="GD98" s="78">
        <f>FZ98</f>
        <v>1</v>
      </c>
      <c r="GE98" s="78">
        <v>1</v>
      </c>
      <c r="GF98" s="78">
        <f>GB98</f>
        <v>1</v>
      </c>
      <c r="GG98" s="103"/>
      <c r="GH98" s="78">
        <f>GD98</f>
        <v>1</v>
      </c>
      <c r="GI98" s="78">
        <v>1</v>
      </c>
      <c r="GJ98" s="78">
        <f>GF98</f>
        <v>1</v>
      </c>
      <c r="GK98" s="103"/>
      <c r="GL98" s="78">
        <f>GH98</f>
        <v>1</v>
      </c>
      <c r="GM98" s="78">
        <v>1</v>
      </c>
      <c r="GN98" s="78">
        <f>GJ98</f>
        <v>1</v>
      </c>
      <c r="GO98" s="103"/>
      <c r="GP98" s="78">
        <f>GL98</f>
        <v>1</v>
      </c>
      <c r="GQ98" s="78">
        <v>1</v>
      </c>
      <c r="GR98" s="78">
        <f>GN98</f>
        <v>1</v>
      </c>
      <c r="GS98" s="103"/>
      <c r="GT98" s="78">
        <f>GP98</f>
        <v>1</v>
      </c>
      <c r="GU98" s="78">
        <v>1</v>
      </c>
      <c r="GV98" s="78">
        <f>GR98</f>
        <v>1</v>
      </c>
      <c r="GW98" s="103"/>
      <c r="GX98" s="78">
        <f>GT98</f>
        <v>1</v>
      </c>
      <c r="GY98" s="78">
        <v>1</v>
      </c>
      <c r="GZ98" s="78">
        <f>GV98</f>
        <v>1</v>
      </c>
      <c r="HA98" s="103"/>
      <c r="HB98" s="79">
        <f>GX98</f>
        <v>1</v>
      </c>
      <c r="HC98" s="79">
        <v>1</v>
      </c>
      <c r="HD98" s="78">
        <f>GZ98</f>
        <v>1</v>
      </c>
      <c r="HE98" s="103"/>
      <c r="HF98" s="78">
        <f>A.IIOPEX!U100+100%</f>
        <v>1</v>
      </c>
      <c r="HG98" s="78">
        <v>1</v>
      </c>
      <c r="HH98" s="78">
        <f>HD98</f>
        <v>1</v>
      </c>
      <c r="HI98" s="103"/>
      <c r="HJ98" s="78">
        <v>1</v>
      </c>
      <c r="HK98" s="78">
        <v>1</v>
      </c>
      <c r="HL98" s="78">
        <f>HH98</f>
        <v>1</v>
      </c>
      <c r="HM98" s="103"/>
      <c r="HN98" s="78">
        <f>HJ98</f>
        <v>1</v>
      </c>
      <c r="HO98" s="78">
        <v>1</v>
      </c>
      <c r="HP98" s="78">
        <f>HL98</f>
        <v>1</v>
      </c>
      <c r="HQ98" s="103"/>
      <c r="HR98" s="78">
        <f>HN98</f>
        <v>1</v>
      </c>
      <c r="HS98" s="78">
        <v>1</v>
      </c>
      <c r="HT98" s="78">
        <f>A.IIOPEX!U100+100%</f>
        <v>1</v>
      </c>
      <c r="HU98" s="103"/>
      <c r="HV98" s="78">
        <f>HR98</f>
        <v>1</v>
      </c>
      <c r="HW98" s="78">
        <v>1</v>
      </c>
      <c r="HX98" s="78">
        <v>1</v>
      </c>
      <c r="HY98" s="103"/>
      <c r="HZ98" s="78">
        <f>HV98</f>
        <v>1</v>
      </c>
      <c r="IA98" s="78">
        <v>1</v>
      </c>
      <c r="IB98" s="78">
        <f>HX98</f>
        <v>1</v>
      </c>
      <c r="IC98" s="103"/>
      <c r="ID98" s="78">
        <f>HZ98</f>
        <v>1</v>
      </c>
      <c r="IE98" s="78">
        <v>1</v>
      </c>
      <c r="IF98" s="78">
        <f>IB98</f>
        <v>1</v>
      </c>
      <c r="IG98" s="103"/>
      <c r="IH98" s="78">
        <f>ID98</f>
        <v>1</v>
      </c>
      <c r="II98" s="78">
        <v>1</v>
      </c>
      <c r="IJ98" s="78">
        <f>IF98</f>
        <v>1</v>
      </c>
      <c r="IK98" s="103"/>
      <c r="IL98" s="78">
        <f>IH98</f>
        <v>1</v>
      </c>
      <c r="IM98" s="78">
        <v>1</v>
      </c>
      <c r="IN98" s="78">
        <f>IJ98</f>
        <v>1</v>
      </c>
      <c r="IO98" s="103"/>
      <c r="IP98" s="78">
        <f>IL98</f>
        <v>1</v>
      </c>
      <c r="IQ98" s="78">
        <v>1</v>
      </c>
      <c r="IR98" s="78">
        <f>IN98</f>
        <v>1</v>
      </c>
      <c r="IS98" s="103"/>
      <c r="IT98" s="78">
        <f>IP98</f>
        <v>1</v>
      </c>
      <c r="IU98" s="78">
        <v>1</v>
      </c>
      <c r="IV98" s="78">
        <f>IR98</f>
        <v>1</v>
      </c>
      <c r="IW98" s="103"/>
      <c r="IX98" s="79">
        <f>IT98</f>
        <v>1</v>
      </c>
      <c r="IY98" s="79">
        <v>1</v>
      </c>
      <c r="IZ98" s="78">
        <f>IV98</f>
        <v>1</v>
      </c>
      <c r="JA98" s="103"/>
      <c r="JB98" s="78" t="e">
        <f>A.IIOPEX!#REF!+100%</f>
        <v>#REF!</v>
      </c>
      <c r="JC98" s="78">
        <v>1</v>
      </c>
      <c r="JD98" s="78">
        <f>IZ98</f>
        <v>1</v>
      </c>
      <c r="JE98" s="103"/>
      <c r="JF98" s="78">
        <v>1</v>
      </c>
      <c r="JG98" s="78">
        <v>1</v>
      </c>
      <c r="JH98" s="78">
        <f>JD98</f>
        <v>1</v>
      </c>
      <c r="JI98" s="103"/>
      <c r="JJ98" s="79">
        <f>JF98</f>
        <v>1</v>
      </c>
      <c r="JK98" s="79">
        <v>1</v>
      </c>
      <c r="JL98" s="78">
        <f>JH98</f>
        <v>1</v>
      </c>
      <c r="JM98" s="103"/>
      <c r="JO98" s="78">
        <f>'A.I Revenue Streams - P2'!DU88+100%</f>
        <v>1</v>
      </c>
      <c r="JP98" s="78">
        <v>1</v>
      </c>
      <c r="JQ98" s="103"/>
      <c r="JS98" s="78">
        <f>'A.I Revenue Streams - P2'!DY88+100%</f>
        <v>1</v>
      </c>
      <c r="JT98" s="78">
        <v>1</v>
      </c>
      <c r="JU98" s="103"/>
      <c r="JW98" s="78">
        <f>'A.I Revenue Streams - P2'!EC88+100%</f>
        <v>1</v>
      </c>
      <c r="JX98" s="78">
        <v>1</v>
      </c>
      <c r="JY98" s="103"/>
      <c r="KA98" s="78">
        <f>'A.I Revenue Streams - P2'!EG88+100%</f>
        <v>1</v>
      </c>
      <c r="KB98" s="78">
        <v>1</v>
      </c>
      <c r="KC98" s="103"/>
      <c r="KE98" s="78">
        <f>'A.I Revenue Streams - P2'!EK88+100%</f>
        <v>1</v>
      </c>
      <c r="KF98" s="78">
        <v>1</v>
      </c>
      <c r="KG98" s="103"/>
      <c r="KI98" s="78">
        <f>'A.I Revenue Streams - P2'!EO88+100%</f>
        <v>1</v>
      </c>
      <c r="KJ98" s="78">
        <v>1</v>
      </c>
      <c r="KK98" s="103"/>
      <c r="KM98" s="78">
        <f>'A.I Revenue Streams - P2'!ES88+100%</f>
        <v>1</v>
      </c>
      <c r="KN98" s="78">
        <v>1</v>
      </c>
      <c r="KO98" s="103"/>
    </row>
    <row r="99" ht="18.75" customHeight="1" spans="2:301" x14ac:dyDescent="0.25">
      <c r="B99" s="5">
        <v>8</v>
      </c>
      <c r="C99" s="27">
        <f>A.IIOPEX!D99</f>
        <v>0</v>
      </c>
      <c r="D99" s="27"/>
      <c r="E99" s="28"/>
      <c r="F99" s="51"/>
      <c r="G99" s="51"/>
      <c r="H99" s="51"/>
      <c r="I99" s="54"/>
      <c r="J99" s="51"/>
      <c r="K99" s="51"/>
      <c r="L99" s="51"/>
      <c r="M99" s="54"/>
      <c r="N99" s="51"/>
      <c r="O99" s="51"/>
      <c r="P99" s="51"/>
      <c r="Q99" s="54"/>
      <c r="R99" s="51"/>
      <c r="S99" s="51"/>
      <c r="T99" s="51"/>
      <c r="U99" s="54"/>
      <c r="V99" s="51"/>
      <c r="W99" s="51"/>
      <c r="X99" s="51"/>
      <c r="Y99" s="54"/>
      <c r="Z99" s="51"/>
      <c r="AA99" s="51"/>
      <c r="AB99" s="51"/>
      <c r="AC99" s="54"/>
      <c r="AD99" s="51"/>
      <c r="AE99" s="51"/>
      <c r="AF99" s="51"/>
      <c r="AG99" s="54"/>
      <c r="AH99" s="51"/>
      <c r="AI99" s="51"/>
      <c r="AJ99" s="51"/>
      <c r="AK99" s="54"/>
      <c r="AL99" s="51"/>
      <c r="AM99" s="51"/>
      <c r="AN99" s="51"/>
      <c r="AO99" s="54"/>
      <c r="AP99" s="51"/>
      <c r="AQ99" s="51"/>
      <c r="AR99" s="51"/>
      <c r="AS99" s="54"/>
      <c r="AT99" s="51"/>
      <c r="AU99" s="51"/>
      <c r="AV99" s="51"/>
      <c r="AW99" s="54"/>
      <c r="AX99" s="51"/>
      <c r="AY99" s="51"/>
      <c r="AZ99" s="51"/>
      <c r="BA99" s="54"/>
      <c r="BB99" s="51"/>
      <c r="BC99" s="51"/>
      <c r="BD99" s="51"/>
      <c r="BE99" s="54"/>
      <c r="BF99" s="51"/>
      <c r="BG99" s="51"/>
      <c r="BH99" s="51"/>
      <c r="BI99" s="54"/>
      <c r="BJ99" s="51"/>
      <c r="BK99" s="51"/>
      <c r="BL99" s="51"/>
      <c r="BM99" s="54"/>
      <c r="BN99" s="51"/>
      <c r="BO99" s="51"/>
      <c r="BP99" s="51"/>
      <c r="BQ99" s="54"/>
      <c r="BR99" s="51"/>
      <c r="BS99" s="51"/>
      <c r="BT99" s="51"/>
      <c r="BU99" s="54"/>
      <c r="BV99" s="51"/>
      <c r="BW99" s="51"/>
      <c r="BX99" s="51"/>
      <c r="BY99" s="54"/>
      <c r="BZ99" s="51"/>
      <c r="CA99" s="51"/>
      <c r="CB99" s="51"/>
      <c r="CC99" s="54"/>
      <c r="CD99" s="51"/>
      <c r="CE99" s="51"/>
      <c r="CF99" s="51"/>
      <c r="CG99" s="54"/>
      <c r="CH99" s="51"/>
      <c r="CI99" s="51"/>
      <c r="CJ99" s="51"/>
      <c r="CK99" s="54"/>
      <c r="CL99" s="51"/>
      <c r="CM99" s="51"/>
      <c r="CN99" s="51"/>
      <c r="CO99" s="54"/>
      <c r="CP99" s="51"/>
      <c r="CQ99" s="51"/>
      <c r="CR99" s="51"/>
      <c r="CS99" s="54"/>
      <c r="CT99" s="51"/>
      <c r="CU99" s="51"/>
      <c r="CV99" s="51"/>
      <c r="CW99" s="54"/>
      <c r="CX99" s="51"/>
      <c r="CY99" s="51"/>
      <c r="CZ99" s="51"/>
      <c r="DA99" s="54"/>
      <c r="DB99" s="51"/>
      <c r="DC99" s="51"/>
      <c r="DD99" s="51"/>
      <c r="DE99" s="54"/>
      <c r="DF99" s="51"/>
      <c r="DG99" s="51"/>
      <c r="DH99" s="51"/>
      <c r="DI99" s="54"/>
      <c r="DJ99" s="51"/>
      <c r="DK99" s="51"/>
      <c r="DL99" s="51"/>
      <c r="DM99" s="54"/>
      <c r="DN99" s="51"/>
      <c r="DO99" s="51"/>
      <c r="DP99" s="51"/>
      <c r="DQ99" s="54"/>
      <c r="DR99" s="51"/>
      <c r="DS99" s="51"/>
      <c r="DT99" s="51"/>
      <c r="DU99" s="54"/>
      <c r="DV99" s="51"/>
      <c r="DW99" s="51"/>
      <c r="DX99" s="51"/>
      <c r="DY99" s="54"/>
      <c r="DZ99" s="51"/>
      <c r="EA99" s="51"/>
      <c r="EB99" s="51"/>
      <c r="EC99" s="54"/>
      <c r="ED99" s="51"/>
      <c r="EE99" s="51"/>
      <c r="EF99" s="51"/>
      <c r="EG99" s="54"/>
      <c r="EH99" s="51"/>
      <c r="EI99" s="51"/>
      <c r="EJ99" s="51"/>
      <c r="EK99" s="54"/>
      <c r="EL99" s="51"/>
      <c r="EM99" s="51"/>
      <c r="EN99" s="51"/>
      <c r="EO99" s="54"/>
      <c r="EP99" s="51"/>
      <c r="EQ99" s="51"/>
      <c r="ER99" s="51"/>
      <c r="ES99" s="54"/>
      <c r="ET99" s="51"/>
      <c r="EU99" s="51"/>
      <c r="EV99" s="51"/>
      <c r="EW99" s="54"/>
      <c r="EX99" s="51"/>
      <c r="EY99" s="51"/>
      <c r="EZ99" s="51"/>
      <c r="FA99" s="54"/>
      <c r="FB99" s="51"/>
      <c r="FC99" s="51"/>
      <c r="FD99" s="51"/>
      <c r="FE99" s="54"/>
      <c r="FF99" s="51"/>
      <c r="FG99" s="51"/>
      <c r="FH99" s="51"/>
      <c r="FI99" s="54"/>
      <c r="FJ99" s="51"/>
      <c r="FK99" s="51"/>
      <c r="FL99" s="51"/>
      <c r="FM99" s="54"/>
      <c r="FN99" s="51"/>
      <c r="FO99" s="51"/>
      <c r="FP99" s="51"/>
      <c r="FQ99" s="54"/>
      <c r="FR99" s="51"/>
      <c r="FS99" s="51"/>
      <c r="FT99" s="51"/>
      <c r="FU99" s="54"/>
      <c r="FV99" s="51"/>
      <c r="FW99" s="51"/>
      <c r="FX99" s="51"/>
      <c r="FY99" s="54"/>
      <c r="FZ99" s="51"/>
      <c r="GA99" s="51"/>
      <c r="GB99" s="51"/>
      <c r="GC99" s="54"/>
      <c r="GD99" s="51"/>
      <c r="GE99" s="51"/>
      <c r="GF99" s="51"/>
      <c r="GG99" s="54"/>
      <c r="GH99" s="51"/>
      <c r="GI99" s="51"/>
      <c r="GJ99" s="51"/>
      <c r="GK99" s="54"/>
      <c r="GL99" s="51"/>
      <c r="GM99" s="51"/>
      <c r="GN99" s="51"/>
      <c r="GP99" s="51"/>
      <c r="GQ99" s="51"/>
      <c r="GR99" s="51"/>
      <c r="GS99" s="54"/>
      <c r="GT99" s="51"/>
      <c r="GU99" s="51"/>
      <c r="GV99" s="51"/>
      <c r="GW99" s="54"/>
      <c r="GX99" s="51"/>
      <c r="GY99" s="51"/>
      <c r="GZ99" s="51"/>
      <c r="HA99" s="54"/>
      <c r="HB99" s="51"/>
      <c r="HC99" s="51"/>
      <c r="HD99" s="51"/>
      <c r="HE99" s="54"/>
      <c r="HF99" s="51"/>
      <c r="HG99" s="51"/>
      <c r="HH99" s="51"/>
      <c r="HI99" s="54"/>
      <c r="HJ99" s="51"/>
      <c r="HK99" s="51"/>
      <c r="HL99" s="51"/>
      <c r="HM99" s="54"/>
      <c r="HN99" s="51"/>
      <c r="HO99" s="51"/>
      <c r="HP99" s="51"/>
      <c r="HQ99" s="54"/>
      <c r="HR99" s="51"/>
      <c r="HS99" s="51"/>
      <c r="HT99" s="51"/>
      <c r="HU99" s="54"/>
      <c r="HV99" s="51"/>
      <c r="HW99" s="51"/>
      <c r="HX99" s="51"/>
      <c r="HY99" s="54"/>
      <c r="HZ99" s="51"/>
      <c r="IA99" s="51"/>
      <c r="IB99" s="51"/>
      <c r="IC99" s="54"/>
      <c r="ID99" s="51"/>
      <c r="IE99" s="51"/>
      <c r="IF99" s="51"/>
      <c r="IG99" s="54"/>
      <c r="IH99" s="51"/>
      <c r="II99" s="51"/>
      <c r="IJ99" s="51"/>
      <c r="IL99" s="51"/>
      <c r="IM99" s="51"/>
      <c r="IN99" s="51"/>
      <c r="IO99" s="54"/>
      <c r="IP99" s="51"/>
      <c r="IQ99" s="51"/>
      <c r="IR99" s="51"/>
      <c r="IS99" s="54"/>
      <c r="IT99" s="51"/>
      <c r="IU99" s="51"/>
      <c r="IV99" s="51"/>
      <c r="IW99" s="54"/>
      <c r="IX99" s="51"/>
      <c r="IY99" s="51"/>
      <c r="IZ99" s="51"/>
      <c r="JA99" s="54"/>
      <c r="JB99" s="51"/>
      <c r="JC99" s="51"/>
      <c r="JD99" s="51"/>
      <c r="JE99" s="54"/>
      <c r="JF99" s="51"/>
      <c r="JG99" s="51"/>
      <c r="JH99" s="51"/>
      <c r="JI99" s="54"/>
      <c r="JJ99" s="51"/>
      <c r="JK99" s="51"/>
      <c r="JL99" s="51"/>
      <c r="JM99" s="54"/>
      <c r="JO99" s="80"/>
      <c r="JP99" s="80"/>
      <c r="JQ99" s="80"/>
      <c r="JS99" s="80"/>
      <c r="JT99" s="80"/>
      <c r="JU99" s="80"/>
      <c r="JW99" s="80"/>
      <c r="JX99" s="80"/>
      <c r="JY99" s="80"/>
      <c r="KA99" s="80"/>
      <c r="KB99" s="80"/>
      <c r="KC99" s="80"/>
      <c r="KE99" s="80"/>
      <c r="KF99" s="80"/>
      <c r="KG99" s="80"/>
      <c r="KI99" s="80"/>
      <c r="KJ99" s="80"/>
      <c r="KK99" s="80"/>
      <c r="KM99" s="80"/>
      <c r="KN99" s="80"/>
      <c r="KO99" s="80"/>
    </row>
    <row r="100" ht="18.75" customHeight="1" spans="2:301" x14ac:dyDescent="0.25">
      <c r="B100" s="5" t="str">
        <f>A.IIOPEX!C100</f>
        <v>8a</v>
      </c>
      <c r="C100" s="27"/>
      <c r="D100" s="29">
        <f>A.IIOPEX!E100</f>
        <v>0</v>
      </c>
      <c r="E100" s="30"/>
      <c r="F100" s="51">
        <v>1</v>
      </c>
      <c r="G100" s="51"/>
      <c r="H100" s="51">
        <f>A.IIOPEX!I100</f>
        <v>0</v>
      </c>
      <c r="I100" s="54"/>
      <c r="J100" s="51">
        <f t="shared" ref="J100:J106" si="1579">F100*$J$98</f>
        <v>1</v>
      </c>
      <c r="K100" s="51"/>
      <c r="L100" s="51">
        <f>H100*L$98</f>
        <v>0</v>
      </c>
      <c r="M100" s="54"/>
      <c r="N100" s="51">
        <f t="shared" ref="N100:N106" si="1580">J100*$N$98</f>
        <v>1</v>
      </c>
      <c r="O100" s="51">
        <v>0</v>
      </c>
      <c r="P100" s="51">
        <f>L100*P$98</f>
        <v>0</v>
      </c>
      <c r="Q100" s="54"/>
      <c r="R100" s="51">
        <f t="shared" ref="R100:R106" si="1581">N100*$R$98</f>
        <v>1</v>
      </c>
      <c r="S100" s="51">
        <v>0</v>
      </c>
      <c r="T100" s="51">
        <f>P100*T$98</f>
        <v>0</v>
      </c>
      <c r="U100" s="54"/>
      <c r="V100" s="51">
        <f t="shared" ref="V100:V106" si="1582">R100*$V$98</f>
        <v>1</v>
      </c>
      <c r="W100" s="51">
        <v>0</v>
      </c>
      <c r="X100" s="51">
        <f>T100*X$98</f>
        <v>0</v>
      </c>
      <c r="Y100" s="54"/>
      <c r="Z100" s="51">
        <f t="shared" ref="Z100:Z106" si="1583">V100*$Z$98</f>
        <v>1</v>
      </c>
      <c r="AA100" s="51">
        <v>0</v>
      </c>
      <c r="AB100" s="51">
        <f>X100*AB$98</f>
        <v>0</v>
      </c>
      <c r="AC100" s="54"/>
      <c r="AD100" s="51">
        <f>Z100*$AD$98</f>
        <v>1</v>
      </c>
      <c r="AE100" s="51">
        <v>0</v>
      </c>
      <c r="AF100" s="51">
        <f>AB100*AF$98</f>
        <v>0</v>
      </c>
      <c r="AG100" s="54"/>
      <c r="AH100" s="51">
        <f>AD100*$AH$98</f>
        <v>1</v>
      </c>
      <c r="AI100" s="51"/>
      <c r="AJ100" s="51">
        <f>AF100*AJ$98</f>
        <v>0</v>
      </c>
      <c r="AK100" s="54"/>
      <c r="AL100" s="51">
        <f>AH100*$AL$98</f>
        <v>1</v>
      </c>
      <c r="AM100" s="51"/>
      <c r="AN100" s="51">
        <f>AJ100*AN$98</f>
        <v>0</v>
      </c>
      <c r="AO100" s="54"/>
      <c r="AP100" s="51">
        <f>AL100*$AP$98</f>
        <v>1</v>
      </c>
      <c r="AQ100" s="51"/>
      <c r="AR100" s="51">
        <f>AN100*AR$98</f>
        <v>0</v>
      </c>
      <c r="AS100" s="54"/>
      <c r="AT100" s="51">
        <f>AP100*$AT$98</f>
        <v>1</v>
      </c>
      <c r="AU100" s="51"/>
      <c r="AV100" s="51">
        <f>AR100*AV$98</f>
        <v>0</v>
      </c>
      <c r="AW100" s="54"/>
      <c r="AX100" s="51">
        <f>AT100*$AX$98</f>
        <v>1</v>
      </c>
      <c r="AY100" s="51"/>
      <c r="AZ100" s="51">
        <f>AV100*AZ$98</f>
        <v>0</v>
      </c>
      <c r="BA100" s="54"/>
      <c r="BB100" s="51">
        <f t="shared" ref="BB100:BB106" si="1584">AX100*$BB$98</f>
        <v>1</v>
      </c>
      <c r="BC100" s="51"/>
      <c r="BD100" s="51">
        <f>AZ100*BD$98</f>
        <v>0</v>
      </c>
      <c r="BE100" s="54"/>
      <c r="BF100" s="51">
        <f>BB100*$BF$98</f>
        <v>1</v>
      </c>
      <c r="BG100" s="51"/>
      <c r="BH100" s="51">
        <f>BD100*BH$98</f>
        <v>0</v>
      </c>
      <c r="BI100" s="54"/>
      <c r="BJ100" s="51">
        <f>BF100*$BJ$98</f>
        <v>1</v>
      </c>
      <c r="BK100" s="51">
        <f>BG100*$BK$98</f>
        <v>0</v>
      </c>
      <c r="BL100" s="51">
        <f>BH100*BL$98</f>
        <v>0</v>
      </c>
      <c r="BM100" s="54"/>
      <c r="BN100" s="51">
        <f>BJ100*$BN$98</f>
        <v>1</v>
      </c>
      <c r="BO100" s="51">
        <f>BK100*$BO$98</f>
        <v>0</v>
      </c>
      <c r="BP100" s="51">
        <f>BL100*BP$98</f>
        <v>0</v>
      </c>
      <c r="BQ100" s="54"/>
      <c r="BR100" s="51">
        <f>BN100*$BR$98</f>
        <v>1</v>
      </c>
      <c r="BS100" s="51">
        <f>BO100*$BS$98</f>
        <v>0</v>
      </c>
      <c r="BT100" s="51">
        <f>BP100*BT$98</f>
        <v>0</v>
      </c>
      <c r="BU100" s="54"/>
      <c r="BV100" s="51">
        <f>BR100*$BV$98</f>
        <v>1</v>
      </c>
      <c r="BW100" s="51">
        <f>BS100*$BW$98</f>
        <v>0</v>
      </c>
      <c r="BX100" s="51">
        <f>BT100*BX$98</f>
        <v>0</v>
      </c>
      <c r="BY100" s="54"/>
      <c r="BZ100" s="51">
        <f>BV100*$BZ$98</f>
        <v>1</v>
      </c>
      <c r="CA100" s="51">
        <f>BW100*$CA$98</f>
        <v>0</v>
      </c>
      <c r="CB100" s="51">
        <f>BX100*CB$98</f>
        <v>0</v>
      </c>
      <c r="CC100" s="54"/>
      <c r="CD100" s="51">
        <f>BZ100*$CD$98</f>
        <v>1</v>
      </c>
      <c r="CE100" s="51">
        <f>CA100*$CE$98</f>
        <v>0</v>
      </c>
      <c r="CF100" s="51">
        <f>CB100*CF$98</f>
        <v>0</v>
      </c>
      <c r="CG100" s="54"/>
      <c r="CH100" s="51">
        <f>CD100*$CH$98</f>
        <v>1</v>
      </c>
      <c r="CI100" s="51">
        <f>CE100*$CI$98</f>
        <v>0</v>
      </c>
      <c r="CJ100" s="51">
        <f>CF100*CJ$98</f>
        <v>0</v>
      </c>
      <c r="CK100" s="54"/>
      <c r="CL100" s="51">
        <f>CH100*$CL$98</f>
        <v>1</v>
      </c>
      <c r="CM100" s="51">
        <f>CI100*$CM$98</f>
        <v>0</v>
      </c>
      <c r="CN100" s="51">
        <f>CJ100*CN$98</f>
        <v>0</v>
      </c>
      <c r="CO100" s="54"/>
      <c r="CP100" s="51">
        <f>CL100*$CP$98</f>
        <v>1</v>
      </c>
      <c r="CQ100" s="51">
        <f>CM100*$CQ$98</f>
        <v>0</v>
      </c>
      <c r="CR100" s="51">
        <f>CN100*CR$98</f>
        <v>0</v>
      </c>
      <c r="CS100" s="54"/>
      <c r="CT100" s="51">
        <f>CP100*$CT$98</f>
        <v>1</v>
      </c>
      <c r="CU100" s="51">
        <f>CQ100*$CU$98</f>
        <v>0</v>
      </c>
      <c r="CV100" s="51">
        <f>CR100*CV$98</f>
        <v>0</v>
      </c>
      <c r="CW100" s="54"/>
      <c r="CX100" s="51">
        <f t="shared" ref="CX100:CX106" si="1585">CT100*$CX$98</f>
        <v>1</v>
      </c>
      <c r="CY100" s="51">
        <f t="shared" ref="CY100:CY106" si="1586">CU100*$CY$98</f>
        <v>0</v>
      </c>
      <c r="CZ100" s="51">
        <f>CV100*CZ$98</f>
        <v>0</v>
      </c>
      <c r="DA100" s="54"/>
      <c r="DB100" s="51">
        <f>CX100*$DB$98</f>
        <v>1</v>
      </c>
      <c r="DC100" s="51">
        <f>CY100*$DC$98</f>
        <v>0</v>
      </c>
      <c r="DD100" s="51">
        <f>CZ100*DD$98</f>
        <v>0</v>
      </c>
      <c r="DE100" s="54"/>
      <c r="DF100" s="51">
        <f>DB100*$DF$98</f>
        <v>1</v>
      </c>
      <c r="DG100" s="51">
        <f>DC100*$DG$98</f>
        <v>0</v>
      </c>
      <c r="DH100" s="51">
        <f>DD100*DH$98</f>
        <v>0</v>
      </c>
      <c r="DI100" s="54"/>
      <c r="DJ100" s="51">
        <f>DF100*$DJ$98</f>
        <v>1</v>
      </c>
      <c r="DK100" s="51">
        <f>DG100*$DK$98</f>
        <v>0</v>
      </c>
      <c r="DL100" s="51">
        <f>DH100*DL$98</f>
        <v>0</v>
      </c>
      <c r="DM100" s="54"/>
      <c r="DN100" s="51">
        <f>DJ100*$DN$98</f>
        <v>1</v>
      </c>
      <c r="DO100" s="51">
        <f>DK100*$DO$98</f>
        <v>0</v>
      </c>
      <c r="DP100" s="51">
        <f>DL100*DP$98</f>
        <v>0</v>
      </c>
      <c r="DQ100" s="54"/>
      <c r="DR100" s="51">
        <f>DN100*$DR$98</f>
        <v>1</v>
      </c>
      <c r="DS100" s="51">
        <f>DO100*$DS$98</f>
        <v>0</v>
      </c>
      <c r="DT100" s="51">
        <f>DP100*DT$98</f>
        <v>0</v>
      </c>
      <c r="DU100" s="54"/>
      <c r="DV100" s="51">
        <f>DR100*$DV$98</f>
        <v>1</v>
      </c>
      <c r="DW100" s="51">
        <f>DS100*$DW$98</f>
        <v>0</v>
      </c>
      <c r="DX100" s="51">
        <f>DT100*DX$98</f>
        <v>0</v>
      </c>
      <c r="DY100" s="54"/>
      <c r="DZ100" s="51">
        <f>DV100*$DZ$98</f>
        <v>1</v>
      </c>
      <c r="EA100" s="51">
        <f>DW100*$EA$98</f>
        <v>0</v>
      </c>
      <c r="EB100" s="51">
        <f>DX100*EB$98</f>
        <v>0</v>
      </c>
      <c r="EC100" s="54"/>
      <c r="ED100" s="51">
        <f>DZ100*$ED$98</f>
        <v>1</v>
      </c>
      <c r="EE100" s="51">
        <f>EA100*$EE$98</f>
        <v>0</v>
      </c>
      <c r="EF100" s="51">
        <f>EB100*EF$98</f>
        <v>0</v>
      </c>
      <c r="EG100" s="54"/>
      <c r="EH100" s="51">
        <f>ED100*$EH$98</f>
        <v>1</v>
      </c>
      <c r="EI100" s="51">
        <f>EE100*$EI$98</f>
        <v>0</v>
      </c>
      <c r="EJ100" s="51">
        <f>EF100*EJ$98</f>
        <v>0</v>
      </c>
      <c r="EK100" s="54"/>
      <c r="EL100" s="51">
        <f>EH100*$EL$98</f>
        <v>1</v>
      </c>
      <c r="EM100" s="51">
        <f>EI100*$EM$98</f>
        <v>0</v>
      </c>
      <c r="EN100" s="51">
        <f>EJ100*EN$98</f>
        <v>0</v>
      </c>
      <c r="EO100" s="54"/>
      <c r="EP100" s="51">
        <f>EL100*$EP$98</f>
        <v>1</v>
      </c>
      <c r="EQ100" s="51">
        <f>EM100*$EQ$98</f>
        <v>0</v>
      </c>
      <c r="ER100" s="51">
        <f>EN100*ER$98</f>
        <v>0</v>
      </c>
      <c r="ES100" s="54"/>
      <c r="ET100" s="51">
        <f t="shared" ref="ET100:ET106" si="1587">EP100*$ET$98</f>
        <v>1</v>
      </c>
      <c r="EU100" s="51">
        <f t="shared" ref="EU100:EU106" si="1588">EQ100*$EU$98</f>
        <v>0</v>
      </c>
      <c r="EV100" s="51">
        <f>ER100*EV$98</f>
        <v>0</v>
      </c>
      <c r="EW100" s="54"/>
      <c r="EX100" s="51">
        <f>ET100*$EX$98</f>
        <v>1</v>
      </c>
      <c r="EY100" s="51">
        <f>EU100*$EY$98</f>
        <v>0</v>
      </c>
      <c r="EZ100" s="51">
        <f>EV100*EZ$98</f>
        <v>0</v>
      </c>
      <c r="FA100" s="54"/>
      <c r="FB100" s="51">
        <f>EX100*$FB$98</f>
        <v>1</v>
      </c>
      <c r="FC100" s="51">
        <f>EY100*$FC$98</f>
        <v>0</v>
      </c>
      <c r="FD100" s="51">
        <f>EZ100*FD$98</f>
        <v>0</v>
      </c>
      <c r="FE100" s="54"/>
      <c r="FF100" s="51">
        <f>FB100*$FF$98</f>
        <v>1</v>
      </c>
      <c r="FG100" s="51">
        <f>FC100*$FG$98</f>
        <v>0</v>
      </c>
      <c r="FH100" s="51">
        <f>FD100*FH$98</f>
        <v>0</v>
      </c>
      <c r="FI100" s="54"/>
      <c r="FJ100" s="51">
        <f>FF100*$FJ$98</f>
        <v>1</v>
      </c>
      <c r="FK100" s="51">
        <f>FG100*$FK$98</f>
        <v>0</v>
      </c>
      <c r="FL100" s="51">
        <f>FH100*FL$98</f>
        <v>0</v>
      </c>
      <c r="FM100" s="54"/>
      <c r="FN100" s="51">
        <f>FJ100*$FN$98</f>
        <v>1</v>
      </c>
      <c r="FO100" s="51">
        <f>FK100*$FO$98</f>
        <v>0</v>
      </c>
      <c r="FP100" s="51">
        <f>FL100*FP$98</f>
        <v>0</v>
      </c>
      <c r="FQ100" s="54"/>
      <c r="FR100" s="51">
        <f>FN100*$FR$98</f>
        <v>1</v>
      </c>
      <c r="FS100" s="51">
        <f>FO100*$FS$98</f>
        <v>0</v>
      </c>
      <c r="FT100" s="51">
        <f>FP100*FT$98</f>
        <v>0</v>
      </c>
      <c r="FU100" s="54"/>
      <c r="FV100" s="51">
        <f>FR100*$FV$98</f>
        <v>1</v>
      </c>
      <c r="FW100" s="51">
        <f>FS100*$FW$98</f>
        <v>0</v>
      </c>
      <c r="FX100" s="51">
        <f>FT100*FX$98</f>
        <v>0</v>
      </c>
      <c r="FY100" s="54"/>
      <c r="FZ100" s="51">
        <f>FV100*$FZ$98</f>
        <v>1</v>
      </c>
      <c r="GA100" s="51">
        <f>FW100*$GA$98</f>
        <v>0</v>
      </c>
      <c r="GB100" s="51">
        <f>FX100*GB$98</f>
        <v>0</v>
      </c>
      <c r="GC100" s="54"/>
      <c r="GD100" s="51">
        <f>FZ100*$GD$98</f>
        <v>1</v>
      </c>
      <c r="GE100" s="51">
        <f>GA100*$GE$98</f>
        <v>0</v>
      </c>
      <c r="GF100" s="51">
        <f>GB100*GF$98</f>
        <v>0</v>
      </c>
      <c r="GG100" s="54"/>
      <c r="GH100" s="51">
        <f>GD100*$GH$98</f>
        <v>1</v>
      </c>
      <c r="GI100" s="51">
        <f>GE100*$GI$98</f>
        <v>0</v>
      </c>
      <c r="GJ100" s="51">
        <f>GF100*GJ$98</f>
        <v>0</v>
      </c>
      <c r="GK100" s="54"/>
      <c r="GL100" s="51">
        <f>GH100*$GL$98</f>
        <v>1</v>
      </c>
      <c r="GM100" s="51">
        <f>GI100*$GM$98</f>
        <v>0</v>
      </c>
      <c r="GN100" s="51">
        <f>GJ100*GN$98</f>
        <v>0</v>
      </c>
      <c r="GP100" s="51">
        <f t="shared" ref="GP100:GP106" si="1589">GL100*$GP$98</f>
        <v>1</v>
      </c>
      <c r="GQ100" s="51">
        <f t="shared" ref="GQ100:GQ106" si="1590">GM100*$GQ$98</f>
        <v>0</v>
      </c>
      <c r="GR100" s="51">
        <f>GN100*GR$98</f>
        <v>0</v>
      </c>
      <c r="GS100" s="54"/>
      <c r="GT100" s="51">
        <f>GP100*$GT$98</f>
        <v>1</v>
      </c>
      <c r="GU100" s="51">
        <f>GQ100*$GU$98</f>
        <v>0</v>
      </c>
      <c r="GV100" s="51">
        <f>GR100*GV$98</f>
        <v>0</v>
      </c>
      <c r="GW100" s="54"/>
      <c r="GX100" s="51">
        <f>GT100*$GX$98</f>
        <v>1</v>
      </c>
      <c r="GY100" s="51">
        <f>GU100*$GY$98</f>
        <v>0</v>
      </c>
      <c r="GZ100" s="51">
        <f>GV100*GZ$98</f>
        <v>0</v>
      </c>
      <c r="HA100" s="54"/>
      <c r="HB100" s="51">
        <f>GX100*$HB$98</f>
        <v>1</v>
      </c>
      <c r="HC100" s="51">
        <f>GY100*$HC$98</f>
        <v>0</v>
      </c>
      <c r="HD100" s="51">
        <f>GZ100*HD$98</f>
        <v>0</v>
      </c>
      <c r="HE100" s="54"/>
      <c r="HF100" s="51">
        <f>HB100*$HF$98</f>
        <v>1</v>
      </c>
      <c r="HG100" s="51">
        <f>HC100*$HG$98</f>
        <v>0</v>
      </c>
      <c r="HH100" s="51">
        <f>HD100*HH$98</f>
        <v>0</v>
      </c>
      <c r="HI100" s="54"/>
      <c r="HJ100" s="51">
        <f>HF100*$HJ$98</f>
        <v>1</v>
      </c>
      <c r="HK100" s="51">
        <f>HG100*$HK$98</f>
        <v>0</v>
      </c>
      <c r="HL100" s="51">
        <f>HH100*HL$98</f>
        <v>0</v>
      </c>
      <c r="HM100" s="54"/>
      <c r="HN100" s="51">
        <f>HJ100*$HN$98</f>
        <v>1</v>
      </c>
      <c r="HO100" s="51">
        <f>HK100*$HO$98</f>
        <v>0</v>
      </c>
      <c r="HP100" s="51">
        <f>HL100*HP$98</f>
        <v>0</v>
      </c>
      <c r="HQ100" s="54"/>
      <c r="HR100" s="51">
        <f>HN100*$HR$98</f>
        <v>1</v>
      </c>
      <c r="HS100" s="51">
        <f>HO100*$HS$98</f>
        <v>0</v>
      </c>
      <c r="HT100" s="51">
        <f>HP100*HT$98</f>
        <v>0</v>
      </c>
      <c r="HU100" s="54"/>
      <c r="HV100" s="51">
        <f>HR100*$HV$98</f>
        <v>1</v>
      </c>
      <c r="HW100" s="51">
        <f>HS100*$HW$98</f>
        <v>0</v>
      </c>
      <c r="HX100" s="51">
        <f>HT100*HX$98</f>
        <v>0</v>
      </c>
      <c r="HY100" s="54"/>
      <c r="HZ100" s="51">
        <f>HV100*$HZ$98</f>
        <v>1</v>
      </c>
      <c r="IA100" s="51">
        <f>HW100*$IA$98</f>
        <v>0</v>
      </c>
      <c r="IB100" s="51">
        <f>HX100*IB$98</f>
        <v>0</v>
      </c>
      <c r="IC100" s="54"/>
      <c r="ID100" s="51">
        <f>HZ100*$ID$98</f>
        <v>1</v>
      </c>
      <c r="IE100" s="51">
        <f>IA100*$IE$98</f>
        <v>0</v>
      </c>
      <c r="IF100" s="51">
        <f>IB100*IF$98</f>
        <v>0</v>
      </c>
      <c r="IG100" s="54"/>
      <c r="IH100" s="51">
        <f>ID100*$IH$98</f>
        <v>1</v>
      </c>
      <c r="II100" s="51">
        <f>IE100*$II$98</f>
        <v>0</v>
      </c>
      <c r="IJ100" s="51">
        <f>IF100*IJ$98</f>
        <v>0</v>
      </c>
      <c r="IL100" s="51">
        <f t="shared" ref="IL100:IL106" si="1591">IH100*$IL$98</f>
        <v>1</v>
      </c>
      <c r="IM100" s="51">
        <f t="shared" ref="IM100:IM106" si="1592">II100*$IM$98</f>
        <v>0</v>
      </c>
      <c r="IN100" s="51">
        <f>IJ100*IN$98</f>
        <v>0</v>
      </c>
      <c r="IO100" s="54"/>
      <c r="IP100" s="51">
        <f>IL100*$IP$98</f>
        <v>1</v>
      </c>
      <c r="IQ100" s="51">
        <f>IM100*$IQ$98</f>
        <v>0</v>
      </c>
      <c r="IR100" s="51">
        <f>IN100*IR$98</f>
        <v>0</v>
      </c>
      <c r="IS100" s="54"/>
      <c r="IT100" s="51">
        <f>IP100*$IT$98</f>
        <v>1</v>
      </c>
      <c r="IU100" s="51">
        <f>IQ100*$IU$98</f>
        <v>0</v>
      </c>
      <c r="IV100" s="51">
        <f>IR100*IV$98</f>
        <v>0</v>
      </c>
      <c r="IW100" s="54"/>
      <c r="IX100" s="51">
        <f>IT100*$IX$98</f>
        <v>1</v>
      </c>
      <c r="IY100" s="51">
        <f>IU100*$IY$98</f>
        <v>0</v>
      </c>
      <c r="IZ100" s="51">
        <f>IV100*IZ$98</f>
        <v>0</v>
      </c>
      <c r="JA100" s="54"/>
      <c r="JB100" s="51" t="e">
        <f>IX100*$JB$98</f>
        <v>#REF!</v>
      </c>
      <c r="JC100" s="51">
        <f>IY100*$JC$98</f>
        <v>0</v>
      </c>
      <c r="JD100" s="51">
        <f>IZ100*JD$98</f>
        <v>0</v>
      </c>
      <c r="JE100" s="54"/>
      <c r="JF100" s="51" t="e">
        <f>JB100*$JF$98</f>
        <v>#REF!</v>
      </c>
      <c r="JG100" s="51">
        <f>JC100*$JG$98</f>
        <v>0</v>
      </c>
      <c r="JH100" s="51">
        <f>JD100*JH$98</f>
        <v>0</v>
      </c>
      <c r="JI100" s="54"/>
      <c r="JJ100" s="51" t="e">
        <f>JF100*$JJ$98</f>
        <v>#REF!</v>
      </c>
      <c r="JK100" s="51">
        <f>JG100*$JK$98</f>
        <v>0</v>
      </c>
      <c r="JL100" s="51">
        <f>JH100*JL$98</f>
        <v>0</v>
      </c>
      <c r="JM100" s="54"/>
      <c r="JO100" s="80"/>
      <c r="JP100" s="80"/>
      <c r="JQ100" s="80">
        <f t="shared" ref="JQ100:JQ107" si="1593">SUMIFS($F100:$JM100,$F$3:$JM$3,JO$5,$F$6:$JM$6,JQ$6)</f>
        <v>0</v>
      </c>
      <c r="JS100" s="80"/>
      <c r="JT100" s="80"/>
      <c r="JU100" s="80">
        <f t="shared" ref="JU100:JU107" si="1594">SUMIFS($F100:$JM100,$F$3:$JM$3,JS$5,$F$6:$JM$6,JU$6)</f>
        <v>0</v>
      </c>
      <c r="JW100" s="80"/>
      <c r="JX100" s="80"/>
      <c r="JY100" s="80">
        <f t="shared" ref="JY100:JY107" si="1595">SUMIFS($F100:$JM100,$F$3:$JM$3,JW$5,$F$6:$JM$6,JY$6)</f>
        <v>0</v>
      </c>
      <c r="KA100" s="80"/>
      <c r="KB100" s="80"/>
      <c r="KC100" s="80">
        <f t="shared" ref="KC100:KC107" si="1596">SUMIFS($F100:$JM100,$F$3:$JM$3,KA$5,$F$6:$JM$6,KC$6)</f>
        <v>0</v>
      </c>
      <c r="KE100" s="80"/>
      <c r="KF100" s="80"/>
      <c r="KG100" s="80">
        <f t="shared" ref="KG100:KG107" si="1597">SUMIFS($F100:$JM100,$F$3:$JM$3,KE$5,$F$6:$JM$6,KG$6)</f>
        <v>0</v>
      </c>
      <c r="KI100" s="80"/>
      <c r="KJ100" s="80"/>
      <c r="KK100" s="80">
        <f t="shared" ref="KK100:KK107" si="1598">SUMIFS($F100:$JM100,$F$3:$JM$3,KI$5,$F$6:$JM$6,KK$6)</f>
        <v>0</v>
      </c>
      <c r="KM100" s="80"/>
      <c r="KN100" s="80"/>
      <c r="KO100" s="80">
        <f t="shared" ref="KO100:KO107" si="1599">SUMIFS($F100:$JM100,$F$3:$JM$3,KM$5,$F$6:$JM$6,KO$6)</f>
        <v>0</v>
      </c>
    </row>
    <row r="101" ht="18.75" customHeight="1" spans="2:301" x14ac:dyDescent="0.25">
      <c r="B101" s="5" t="str">
        <f>A.IIOPEX!C101</f>
        <v>8b</v>
      </c>
      <c r="C101" s="27"/>
      <c r="D101" s="29">
        <f>A.IIOPEX!E101</f>
        <v>0</v>
      </c>
      <c r="E101" s="30"/>
      <c r="F101" s="51">
        <v>1</v>
      </c>
      <c r="G101" s="51"/>
      <c r="H101" s="51">
        <f>A.IIOPEX!I101</f>
        <v>0</v>
      </c>
      <c r="I101" s="54"/>
      <c r="J101" s="51">
        <f t="shared" si="1579"/>
        <v>1</v>
      </c>
      <c r="K101" s="51"/>
      <c r="L101" s="51">
        <f t="shared" ref="L101:L106" si="1600">H101*L$98</f>
        <v>0</v>
      </c>
      <c r="M101" s="54"/>
      <c r="N101" s="51">
        <f t="shared" si="1580"/>
        <v>1</v>
      </c>
      <c r="O101" s="51">
        <v>0</v>
      </c>
      <c r="P101" s="51">
        <f t="shared" ref="P101:P106" si="1601">L101*P$98</f>
        <v>0</v>
      </c>
      <c r="Q101" s="54"/>
      <c r="R101" s="51">
        <f t="shared" si="1581"/>
        <v>1</v>
      </c>
      <c r="S101" s="51">
        <v>0</v>
      </c>
      <c r="T101" s="51">
        <f t="shared" ref="T101:T106" si="1602">P101*T$98</f>
        <v>0</v>
      </c>
      <c r="U101" s="54"/>
      <c r="V101" s="51">
        <f t="shared" si="1582"/>
        <v>1</v>
      </c>
      <c r="W101" s="51">
        <v>0</v>
      </c>
      <c r="X101" s="51">
        <f t="shared" ref="X101:X106" si="1603">T101*X$98</f>
        <v>0</v>
      </c>
      <c r="Y101" s="54"/>
      <c r="Z101" s="51">
        <f t="shared" si="1583"/>
        <v>1</v>
      </c>
      <c r="AA101" s="51">
        <v>0</v>
      </c>
      <c r="AB101" s="51">
        <f t="shared" ref="AB101:AB106" si="1604">X101*AB$98</f>
        <v>0</v>
      </c>
      <c r="AC101" s="54"/>
      <c r="AD101" s="51">
        <f t="shared" ref="AD101:AD104" si="1605">Z101*$AD$98</f>
        <v>1</v>
      </c>
      <c r="AE101" s="51">
        <v>0</v>
      </c>
      <c r="AF101" s="51">
        <f t="shared" ref="AF101:AF106" si="1606">AB101*AF$98</f>
        <v>0</v>
      </c>
      <c r="AG101" s="54"/>
      <c r="AH101" s="51">
        <f t="shared" ref="AH101:AH104" si="1607">AD101*$AH$98</f>
        <v>1</v>
      </c>
      <c r="AI101" s="51"/>
      <c r="AJ101" s="51">
        <f t="shared" ref="AJ101:AJ106" si="1608">AF101*AJ$98</f>
        <v>0</v>
      </c>
      <c r="AK101" s="54"/>
      <c r="AL101" s="51">
        <f t="shared" ref="AL101:AL104" si="1609">AH101*$AL$98</f>
        <v>1</v>
      </c>
      <c r="AM101" s="51"/>
      <c r="AN101" s="51">
        <f t="shared" ref="AN101:AN106" si="1610">AJ101*AN$98</f>
        <v>0</v>
      </c>
      <c r="AO101" s="54"/>
      <c r="AP101" s="51">
        <f t="shared" ref="AP101:AP104" si="1611">AL101*$AP$98</f>
        <v>1</v>
      </c>
      <c r="AQ101" s="51"/>
      <c r="AR101" s="51">
        <f t="shared" ref="AR101:AR106" si="1612">AN101*AR$98</f>
        <v>0</v>
      </c>
      <c r="AS101" s="54"/>
      <c r="AT101" s="51">
        <f t="shared" ref="AT101:AT104" si="1613">AP101*$AT$98</f>
        <v>1</v>
      </c>
      <c r="AU101" s="51"/>
      <c r="AV101" s="51">
        <f t="shared" ref="AV101:AV106" si="1614">AR101*AV$98</f>
        <v>0</v>
      </c>
      <c r="AW101" s="54"/>
      <c r="AX101" s="51">
        <f t="shared" ref="AX101:AX104" si="1615">AT101*$AX$98</f>
        <v>1</v>
      </c>
      <c r="AY101" s="51"/>
      <c r="AZ101" s="51">
        <f t="shared" ref="AZ101:AZ106" si="1616">AV101*AZ$98</f>
        <v>0</v>
      </c>
      <c r="BA101" s="54"/>
      <c r="BB101" s="51">
        <f t="shared" si="1584"/>
        <v>1</v>
      </c>
      <c r="BC101" s="51"/>
      <c r="BD101" s="51">
        <f t="shared" ref="BD101:BD106" si="1617">AZ101*BD$98</f>
        <v>0</v>
      </c>
      <c r="BE101" s="54"/>
      <c r="BF101" s="51">
        <f t="shared" ref="BF101:BF104" si="1618">BB101*$BF$98</f>
        <v>1</v>
      </c>
      <c r="BG101" s="51"/>
      <c r="BH101" s="51">
        <f t="shared" ref="BH101:BH106" si="1619">BD101*BH$98</f>
        <v>0</v>
      </c>
      <c r="BI101" s="54"/>
      <c r="BJ101" s="51">
        <f t="shared" ref="BJ101:BJ104" si="1620">BF101*$BJ$98</f>
        <v>1</v>
      </c>
      <c r="BK101" s="51">
        <f t="shared" ref="BK101:BK104" si="1621">BG101*$BK$98</f>
        <v>0</v>
      </c>
      <c r="BL101" s="51">
        <f t="shared" ref="BL101:BL106" si="1622">BH101*BL$98</f>
        <v>0</v>
      </c>
      <c r="BM101" s="54"/>
      <c r="BN101" s="51">
        <f t="shared" ref="BN101:BN104" si="1623">BJ101*$BN$98</f>
        <v>1</v>
      </c>
      <c r="BO101" s="51">
        <f t="shared" ref="BO101:BO104" si="1624">BK101*$BO$98</f>
        <v>0</v>
      </c>
      <c r="BP101" s="51">
        <f t="shared" ref="BP101:BP106" si="1625">BL101*BP$98</f>
        <v>0</v>
      </c>
      <c r="BQ101" s="54"/>
      <c r="BR101" s="51">
        <f t="shared" ref="BR101:BR104" si="1626">BN101*$BR$98</f>
        <v>1</v>
      </c>
      <c r="BS101" s="51">
        <f t="shared" ref="BS101:BS104" si="1627">BO101*$BS$98</f>
        <v>0</v>
      </c>
      <c r="BT101" s="51">
        <f t="shared" ref="BT101:BT106" si="1628">BP101*BT$98</f>
        <v>0</v>
      </c>
      <c r="BU101" s="54"/>
      <c r="BV101" s="51">
        <f t="shared" ref="BV101:BV104" si="1629">BR101*$BV$98</f>
        <v>1</v>
      </c>
      <c r="BW101" s="51">
        <f t="shared" ref="BW101:BW104" si="1630">BS101*$BW$98</f>
        <v>0</v>
      </c>
      <c r="BX101" s="51">
        <f t="shared" ref="BX101:BX106" si="1631">BT101*BX$98</f>
        <v>0</v>
      </c>
      <c r="BY101" s="54"/>
      <c r="BZ101" s="51">
        <f t="shared" ref="BZ101:BZ104" si="1632">BV101*$BZ$98</f>
        <v>1</v>
      </c>
      <c r="CA101" s="51">
        <f t="shared" ref="CA101:CA104" si="1633">BW101*$CA$98</f>
        <v>0</v>
      </c>
      <c r="CB101" s="51">
        <f t="shared" ref="CB101:CB106" si="1634">BX101*CB$98</f>
        <v>0</v>
      </c>
      <c r="CC101" s="54"/>
      <c r="CD101" s="51">
        <f t="shared" ref="CD101:CD104" si="1635">BZ101*$CD$98</f>
        <v>1</v>
      </c>
      <c r="CE101" s="51">
        <f t="shared" ref="CE101:CE104" si="1636">CA101*$CE$98</f>
        <v>0</v>
      </c>
      <c r="CF101" s="51">
        <f t="shared" ref="CF101:CF106" si="1637">CB101*CF$98</f>
        <v>0</v>
      </c>
      <c r="CG101" s="54"/>
      <c r="CH101" s="51">
        <f t="shared" ref="CH101:CH104" si="1638">CD101*$CH$98</f>
        <v>1</v>
      </c>
      <c r="CI101" s="51">
        <f t="shared" ref="CI101:CI104" si="1639">CE101*$CI$98</f>
        <v>0</v>
      </c>
      <c r="CJ101" s="51">
        <f t="shared" ref="CJ101:CJ106" si="1640">CF101*CJ$98</f>
        <v>0</v>
      </c>
      <c r="CK101" s="54"/>
      <c r="CL101" s="51">
        <f t="shared" ref="CL101:CL104" si="1641">CH101*$CL$98</f>
        <v>1</v>
      </c>
      <c r="CM101" s="51">
        <f t="shared" ref="CM101:CM104" si="1642">CI101*$CM$98</f>
        <v>0</v>
      </c>
      <c r="CN101" s="51">
        <f t="shared" ref="CN101:CN106" si="1643">CJ101*CN$98</f>
        <v>0</v>
      </c>
      <c r="CO101" s="54"/>
      <c r="CP101" s="51">
        <f t="shared" ref="CP101:CP104" si="1644">CL101*$CP$98</f>
        <v>1</v>
      </c>
      <c r="CQ101" s="51">
        <f t="shared" ref="CQ101:CQ104" si="1645">CM101*$CQ$98</f>
        <v>0</v>
      </c>
      <c r="CR101" s="51">
        <f t="shared" ref="CR101:CR106" si="1646">CN101*CR$98</f>
        <v>0</v>
      </c>
      <c r="CS101" s="54"/>
      <c r="CT101" s="51">
        <f t="shared" ref="CT101:CT104" si="1647">CP101*$CT$98</f>
        <v>1</v>
      </c>
      <c r="CU101" s="51">
        <f t="shared" ref="CU101:CU104" si="1648">CQ101*$CU$98</f>
        <v>0</v>
      </c>
      <c r="CV101" s="51">
        <f t="shared" ref="CV101:CV106" si="1649">CR101*CV$98</f>
        <v>0</v>
      </c>
      <c r="CW101" s="54"/>
      <c r="CX101" s="51">
        <f t="shared" si="1585"/>
        <v>1</v>
      </c>
      <c r="CY101" s="51">
        <f t="shared" si="1586"/>
        <v>0</v>
      </c>
      <c r="CZ101" s="51">
        <f t="shared" ref="CZ101:CZ106" si="1650">CV101*CZ$98</f>
        <v>0</v>
      </c>
      <c r="DA101" s="54"/>
      <c r="DB101" s="51">
        <f t="shared" ref="DB101:DB104" si="1651">CX101*$DB$98</f>
        <v>1</v>
      </c>
      <c r="DC101" s="51">
        <f t="shared" ref="DC101:DC104" si="1652">CY101*$DC$98</f>
        <v>0</v>
      </c>
      <c r="DD101" s="51">
        <f t="shared" ref="DD101:DD106" si="1653">CZ101*DD$98</f>
        <v>0</v>
      </c>
      <c r="DE101" s="54"/>
      <c r="DF101" s="51">
        <f t="shared" ref="DF101:DF104" si="1654">DB101*$DF$98</f>
        <v>1</v>
      </c>
      <c r="DG101" s="51">
        <f t="shared" ref="DG101:DG104" si="1655">DC101*$DG$98</f>
        <v>0</v>
      </c>
      <c r="DH101" s="51">
        <f t="shared" ref="DH101:DH106" si="1656">DD101*DH$98</f>
        <v>0</v>
      </c>
      <c r="DI101" s="54"/>
      <c r="DJ101" s="51">
        <f t="shared" ref="DJ101:DJ104" si="1657">DF101*$DJ$98</f>
        <v>1</v>
      </c>
      <c r="DK101" s="51">
        <f t="shared" ref="DK101:DK104" si="1658">DG101*$DK$98</f>
        <v>0</v>
      </c>
      <c r="DL101" s="51">
        <f t="shared" ref="DL101:DL106" si="1659">DH101*DL$98</f>
        <v>0</v>
      </c>
      <c r="DM101" s="54"/>
      <c r="DN101" s="51">
        <f t="shared" ref="DN101:DN104" si="1660">DJ101*$DN$98</f>
        <v>1</v>
      </c>
      <c r="DO101" s="51">
        <f t="shared" ref="DO101:DO104" si="1661">DK101*$DO$98</f>
        <v>0</v>
      </c>
      <c r="DP101" s="51">
        <f t="shared" ref="DP101:DP106" si="1662">DL101*DP$98</f>
        <v>0</v>
      </c>
      <c r="DQ101" s="54"/>
      <c r="DR101" s="51">
        <f t="shared" ref="DR101:DR104" si="1663">DN101*$DR$98</f>
        <v>1</v>
      </c>
      <c r="DS101" s="51">
        <f t="shared" ref="DS101:DS104" si="1664">DO101*$DS$98</f>
        <v>0</v>
      </c>
      <c r="DT101" s="51">
        <f t="shared" ref="DT101:DT106" si="1665">DP101*DT$98</f>
        <v>0</v>
      </c>
      <c r="DU101" s="54"/>
      <c r="DV101" s="51">
        <f t="shared" ref="DV101:DV104" si="1666">DR101*$DV$98</f>
        <v>1</v>
      </c>
      <c r="DW101" s="51">
        <f t="shared" ref="DW101:DW104" si="1667">DS101*$DW$98</f>
        <v>0</v>
      </c>
      <c r="DX101" s="51">
        <f t="shared" ref="DX101:DX106" si="1668">DT101*DX$98</f>
        <v>0</v>
      </c>
      <c r="DY101" s="54"/>
      <c r="DZ101" s="51">
        <f t="shared" ref="DZ101:DZ104" si="1669">DV101*$DZ$98</f>
        <v>1</v>
      </c>
      <c r="EA101" s="51">
        <f t="shared" ref="EA101:EA104" si="1670">DW101*$EA$98</f>
        <v>0</v>
      </c>
      <c r="EB101" s="51">
        <f t="shared" ref="EB101:EB106" si="1671">DX101*EB$98</f>
        <v>0</v>
      </c>
      <c r="EC101" s="54"/>
      <c r="ED101" s="51">
        <f t="shared" ref="ED101:ED104" si="1672">DZ101*$ED$98</f>
        <v>1</v>
      </c>
      <c r="EE101" s="51">
        <f t="shared" ref="EE101:EE104" si="1673">EA101*$EE$98</f>
        <v>0</v>
      </c>
      <c r="EF101" s="51">
        <f t="shared" ref="EF101:EF106" si="1674">EB101*EF$98</f>
        <v>0</v>
      </c>
      <c r="EG101" s="54"/>
      <c r="EH101" s="51">
        <f t="shared" ref="EH101:EH104" si="1675">ED101*$EH$98</f>
        <v>1</v>
      </c>
      <c r="EI101" s="51">
        <f t="shared" ref="EI101:EI104" si="1676">EE101*$EI$98</f>
        <v>0</v>
      </c>
      <c r="EJ101" s="51">
        <f t="shared" ref="EJ101:EJ106" si="1677">EF101*EJ$98</f>
        <v>0</v>
      </c>
      <c r="EK101" s="54"/>
      <c r="EL101" s="51">
        <f t="shared" ref="EL101:EL104" si="1678">EH101*$EL$98</f>
        <v>1</v>
      </c>
      <c r="EM101" s="51">
        <f t="shared" ref="EM101:EM104" si="1679">EI101*$EM$98</f>
        <v>0</v>
      </c>
      <c r="EN101" s="51">
        <f t="shared" ref="EN101:EN106" si="1680">EJ101*EN$98</f>
        <v>0</v>
      </c>
      <c r="EO101" s="54"/>
      <c r="EP101" s="51">
        <f t="shared" ref="EP101:EP104" si="1681">EL101*$EP$98</f>
        <v>1</v>
      </c>
      <c r="EQ101" s="51">
        <f t="shared" ref="EQ101:EQ104" si="1682">EM101*$EQ$98</f>
        <v>0</v>
      </c>
      <c r="ER101" s="51">
        <f t="shared" ref="ER101:ER106" si="1683">EN101*ER$98</f>
        <v>0</v>
      </c>
      <c r="ES101" s="54"/>
      <c r="ET101" s="51">
        <f t="shared" si="1587"/>
        <v>1</v>
      </c>
      <c r="EU101" s="51">
        <f t="shared" si="1588"/>
        <v>0</v>
      </c>
      <c r="EV101" s="51">
        <f t="shared" ref="EV101:EV106" si="1684">ER101*EV$98</f>
        <v>0</v>
      </c>
      <c r="EW101" s="54"/>
      <c r="EX101" s="51">
        <f t="shared" ref="EX101:EX104" si="1685">ET101*$EX$98</f>
        <v>1</v>
      </c>
      <c r="EY101" s="51">
        <f t="shared" ref="EY101:EY104" si="1686">EU101*$EY$98</f>
        <v>0</v>
      </c>
      <c r="EZ101" s="51">
        <f t="shared" ref="EZ101:EZ106" si="1687">EV101*EZ$98</f>
        <v>0</v>
      </c>
      <c r="FA101" s="54"/>
      <c r="FB101" s="51">
        <f t="shared" ref="FB101:FB104" si="1688">EX101*$FB$98</f>
        <v>1</v>
      </c>
      <c r="FC101" s="51">
        <f t="shared" ref="FC101:FC104" si="1689">EY101*$FC$98</f>
        <v>0</v>
      </c>
      <c r="FD101" s="51">
        <f t="shared" ref="FD101:FD106" si="1690">EZ101*FD$98</f>
        <v>0</v>
      </c>
      <c r="FE101" s="54"/>
      <c r="FF101" s="51">
        <f t="shared" ref="FF101:FF104" si="1691">FB101*$FF$98</f>
        <v>1</v>
      </c>
      <c r="FG101" s="51">
        <f t="shared" ref="FG101:FG104" si="1692">FC101*$FG$98</f>
        <v>0</v>
      </c>
      <c r="FH101" s="51">
        <f t="shared" ref="FH101:FH106" si="1693">FD101*FH$98</f>
        <v>0</v>
      </c>
      <c r="FI101" s="54"/>
      <c r="FJ101" s="51">
        <f t="shared" ref="FJ101:FJ104" si="1694">FF101*$FJ$98</f>
        <v>1</v>
      </c>
      <c r="FK101" s="51">
        <f t="shared" ref="FK101:FK104" si="1695">FG101*$FK$98</f>
        <v>0</v>
      </c>
      <c r="FL101" s="51">
        <f t="shared" ref="FL101:FL106" si="1696">FH101*FL$98</f>
        <v>0</v>
      </c>
      <c r="FM101" s="54"/>
      <c r="FN101" s="51">
        <f t="shared" ref="FN101:FN104" si="1697">FJ101*$FN$98</f>
        <v>1</v>
      </c>
      <c r="FO101" s="51">
        <f t="shared" ref="FO101:FO104" si="1698">FK101*$FO$98</f>
        <v>0</v>
      </c>
      <c r="FP101" s="51">
        <f t="shared" ref="FP101:FP106" si="1699">FL101*FP$98</f>
        <v>0</v>
      </c>
      <c r="FQ101" s="54"/>
      <c r="FR101" s="51">
        <f t="shared" ref="FR101:FR104" si="1700">FN101*$FR$98</f>
        <v>1</v>
      </c>
      <c r="FS101" s="51">
        <f t="shared" ref="FS101:FS104" si="1701">FO101*$FS$98</f>
        <v>0</v>
      </c>
      <c r="FT101" s="51">
        <f t="shared" ref="FT101:FT106" si="1702">FP101*FT$98</f>
        <v>0</v>
      </c>
      <c r="FU101" s="54"/>
      <c r="FV101" s="51">
        <f t="shared" ref="FV101:FV104" si="1703">FR101*$FV$98</f>
        <v>1</v>
      </c>
      <c r="FW101" s="51">
        <f t="shared" ref="FW101:FW104" si="1704">FS101*$FW$98</f>
        <v>0</v>
      </c>
      <c r="FX101" s="51">
        <f t="shared" ref="FX101:FX106" si="1705">FT101*FX$98</f>
        <v>0</v>
      </c>
      <c r="FY101" s="54"/>
      <c r="FZ101" s="51">
        <f t="shared" ref="FZ101:FZ104" si="1706">FV101*$FZ$98</f>
        <v>1</v>
      </c>
      <c r="GA101" s="51">
        <f t="shared" ref="GA101:GA104" si="1707">FW101*$GA$98</f>
        <v>0</v>
      </c>
      <c r="GB101" s="51">
        <f t="shared" ref="GB101:GB106" si="1708">FX101*GB$98</f>
        <v>0</v>
      </c>
      <c r="GC101" s="54"/>
      <c r="GD101" s="51">
        <f t="shared" ref="GD101:GD104" si="1709">FZ101*$GD$98</f>
        <v>1</v>
      </c>
      <c r="GE101" s="51">
        <f t="shared" ref="GE101:GE104" si="1710">GA101*$GE$98</f>
        <v>0</v>
      </c>
      <c r="GF101" s="51">
        <f t="shared" ref="GF101:GF106" si="1711">GB101*GF$98</f>
        <v>0</v>
      </c>
      <c r="GG101" s="54"/>
      <c r="GH101" s="51">
        <f t="shared" ref="GH101:GH104" si="1712">GD101*$GH$98</f>
        <v>1</v>
      </c>
      <c r="GI101" s="51">
        <f t="shared" ref="GI101:GI104" si="1713">GE101*$GI$98</f>
        <v>0</v>
      </c>
      <c r="GJ101" s="51">
        <f t="shared" ref="GJ101:GJ106" si="1714">GF101*GJ$98</f>
        <v>0</v>
      </c>
      <c r="GK101" s="54"/>
      <c r="GL101" s="51">
        <f t="shared" ref="GL101:GL104" si="1715">GH101*$GL$98</f>
        <v>1</v>
      </c>
      <c r="GM101" s="51">
        <f t="shared" ref="GM101:GM104" si="1716">GI101*$GM$98</f>
        <v>0</v>
      </c>
      <c r="GN101" s="51">
        <f t="shared" ref="GN101:GN106" si="1717">GJ101*GN$98</f>
        <v>0</v>
      </c>
      <c r="GP101" s="51">
        <f t="shared" si="1589"/>
        <v>1</v>
      </c>
      <c r="GQ101" s="51">
        <f t="shared" si="1590"/>
        <v>0</v>
      </c>
      <c r="GR101" s="51">
        <f t="shared" ref="GR101:GR106" si="1718">GN101*GR$98</f>
        <v>0</v>
      </c>
      <c r="GS101" s="54"/>
      <c r="GT101" s="51">
        <f t="shared" ref="GT101:GT104" si="1719">GP101*$GT$98</f>
        <v>1</v>
      </c>
      <c r="GU101" s="51">
        <f t="shared" ref="GU101:GU104" si="1720">GQ101*$GU$98</f>
        <v>0</v>
      </c>
      <c r="GV101" s="51">
        <f t="shared" ref="GV101:GV106" si="1721">GR101*GV$98</f>
        <v>0</v>
      </c>
      <c r="GW101" s="54"/>
      <c r="GX101" s="51">
        <f t="shared" ref="GX101:GX104" si="1722">GT101*$GX$98</f>
        <v>1</v>
      </c>
      <c r="GY101" s="51">
        <f t="shared" ref="GY101:GY104" si="1723">GU101*$GY$98</f>
        <v>0</v>
      </c>
      <c r="GZ101" s="51">
        <f t="shared" ref="GZ101:GZ106" si="1724">GV101*GZ$98</f>
        <v>0</v>
      </c>
      <c r="HA101" s="54"/>
      <c r="HB101" s="51">
        <f t="shared" ref="HB101:HB104" si="1725">GX101*$HB$98</f>
        <v>1</v>
      </c>
      <c r="HC101" s="51">
        <f t="shared" ref="HC101:HC104" si="1726">GY101*$HC$98</f>
        <v>0</v>
      </c>
      <c r="HD101" s="51">
        <f t="shared" ref="HD101:HD106" si="1727">GZ101*HD$98</f>
        <v>0</v>
      </c>
      <c r="HE101" s="54"/>
      <c r="HF101" s="51">
        <f t="shared" ref="HF101:HF104" si="1728">HB101*$HF$98</f>
        <v>1</v>
      </c>
      <c r="HG101" s="51">
        <f t="shared" ref="HG101:HG104" si="1729">HC101*$HG$98</f>
        <v>0</v>
      </c>
      <c r="HH101" s="51">
        <f t="shared" ref="HH101:HH106" si="1730">HD101*HH$98</f>
        <v>0</v>
      </c>
      <c r="HI101" s="54"/>
      <c r="HJ101" s="51">
        <f t="shared" ref="HJ101:HJ104" si="1731">HF101*$HJ$98</f>
        <v>1</v>
      </c>
      <c r="HK101" s="51">
        <f t="shared" ref="HK101:HK104" si="1732">HG101*$HK$98</f>
        <v>0</v>
      </c>
      <c r="HL101" s="51">
        <f t="shared" ref="HL101:HL106" si="1733">HH101*HL$98</f>
        <v>0</v>
      </c>
      <c r="HM101" s="54"/>
      <c r="HN101" s="51">
        <f t="shared" ref="HN101:HN104" si="1734">HJ101*$HN$98</f>
        <v>1</v>
      </c>
      <c r="HO101" s="51">
        <f t="shared" ref="HO101:HO104" si="1735">HK101*$HO$98</f>
        <v>0</v>
      </c>
      <c r="HP101" s="51">
        <f t="shared" ref="HP101:HP106" si="1736">HL101*HP$98</f>
        <v>0</v>
      </c>
      <c r="HQ101" s="54"/>
      <c r="HR101" s="51">
        <f t="shared" ref="HR101:HR104" si="1737">HN101*$HR$98</f>
        <v>1</v>
      </c>
      <c r="HS101" s="51">
        <f t="shared" ref="HS101:HS104" si="1738">HO101*$HS$98</f>
        <v>0</v>
      </c>
      <c r="HT101" s="51">
        <f t="shared" ref="HT101:HT106" si="1739">HP101*HT$98</f>
        <v>0</v>
      </c>
      <c r="HU101" s="54"/>
      <c r="HV101" s="51">
        <f t="shared" ref="HV101:HV104" si="1740">HR101*$HV$98</f>
        <v>1</v>
      </c>
      <c r="HW101" s="51">
        <f t="shared" ref="HW101:HW104" si="1741">HS101*$HW$98</f>
        <v>0</v>
      </c>
      <c r="HX101" s="51">
        <f t="shared" ref="HX101:HX106" si="1742">HT101*HX$98</f>
        <v>0</v>
      </c>
      <c r="HY101" s="54"/>
      <c r="HZ101" s="51">
        <f t="shared" ref="HZ101:HZ104" si="1743">HV101*$HZ$98</f>
        <v>1</v>
      </c>
      <c r="IA101" s="51">
        <f t="shared" ref="IA101:IA104" si="1744">HW101*$IA$98</f>
        <v>0</v>
      </c>
      <c r="IB101" s="51">
        <f t="shared" ref="IB101:IB106" si="1745">HX101*IB$98</f>
        <v>0</v>
      </c>
      <c r="IC101" s="54"/>
      <c r="ID101" s="51">
        <f t="shared" ref="ID101:ID104" si="1746">HZ101*$ID$98</f>
        <v>1</v>
      </c>
      <c r="IE101" s="51">
        <f t="shared" ref="IE101:IE104" si="1747">IA101*$IE$98</f>
        <v>0</v>
      </c>
      <c r="IF101" s="51">
        <f t="shared" ref="IF101:IF106" si="1748">IB101*IF$98</f>
        <v>0</v>
      </c>
      <c r="IG101" s="54"/>
      <c r="IH101" s="51">
        <f t="shared" ref="IH101:IH104" si="1749">ID101*$IH$98</f>
        <v>1</v>
      </c>
      <c r="II101" s="51">
        <f t="shared" ref="II101:II104" si="1750">IE101*$II$98</f>
        <v>0</v>
      </c>
      <c r="IJ101" s="51">
        <f t="shared" ref="IJ101:IJ106" si="1751">IF101*IJ$98</f>
        <v>0</v>
      </c>
      <c r="IL101" s="51">
        <f t="shared" si="1591"/>
        <v>1</v>
      </c>
      <c r="IM101" s="51">
        <f t="shared" si="1592"/>
        <v>0</v>
      </c>
      <c r="IN101" s="51">
        <f t="shared" ref="IN101:IN106" si="1752">IJ101*IN$98</f>
        <v>0</v>
      </c>
      <c r="IO101" s="54"/>
      <c r="IP101" s="51">
        <f t="shared" ref="IP101:IP104" si="1753">IL101*$IP$98</f>
        <v>1</v>
      </c>
      <c r="IQ101" s="51">
        <f t="shared" ref="IQ101:IQ104" si="1754">IM101*$IQ$98</f>
        <v>0</v>
      </c>
      <c r="IR101" s="51">
        <f t="shared" ref="IR101:IR106" si="1755">IN101*IR$98</f>
        <v>0</v>
      </c>
      <c r="IS101" s="54"/>
      <c r="IT101" s="51">
        <f t="shared" ref="IT101:IT104" si="1756">IP101*$IT$98</f>
        <v>1</v>
      </c>
      <c r="IU101" s="51">
        <f t="shared" ref="IU101:IU104" si="1757">IQ101*$IU$98</f>
        <v>0</v>
      </c>
      <c r="IV101" s="51">
        <f t="shared" ref="IV101:IV106" si="1758">IR101*IV$98</f>
        <v>0</v>
      </c>
      <c r="IW101" s="54"/>
      <c r="IX101" s="51">
        <f t="shared" ref="IX101:IX104" si="1759">IT101*$IX$98</f>
        <v>1</v>
      </c>
      <c r="IY101" s="51">
        <f t="shared" ref="IY101:IY104" si="1760">IU101*$IY$98</f>
        <v>0</v>
      </c>
      <c r="IZ101" s="51">
        <f t="shared" ref="IZ101:IZ106" si="1761">IV101*IZ$98</f>
        <v>0</v>
      </c>
      <c r="JA101" s="54"/>
      <c r="JB101" s="51" t="e">
        <f t="shared" ref="JB101:JB104" si="1762">IX101*$JB$98</f>
        <v>#REF!</v>
      </c>
      <c r="JC101" s="51">
        <f t="shared" ref="JC101:JC104" si="1763">IY101*$JC$98</f>
        <v>0</v>
      </c>
      <c r="JD101" s="51">
        <f t="shared" ref="JD101:JD106" si="1764">IZ101*JD$98</f>
        <v>0</v>
      </c>
      <c r="JE101" s="54"/>
      <c r="JF101" s="51" t="e">
        <f t="shared" ref="JF101:JF104" si="1765">JB101*$JF$98</f>
        <v>#REF!</v>
      </c>
      <c r="JG101" s="51">
        <f t="shared" ref="JG101:JG104" si="1766">JC101*$JG$98</f>
        <v>0</v>
      </c>
      <c r="JH101" s="51">
        <f t="shared" ref="JH101:JH106" si="1767">JD101*JH$98</f>
        <v>0</v>
      </c>
      <c r="JI101" s="54"/>
      <c r="JJ101" s="51" t="e">
        <f t="shared" ref="JJ101:JJ104" si="1768">JF101*$JJ$98</f>
        <v>#REF!</v>
      </c>
      <c r="JK101" s="51">
        <f t="shared" ref="JK101:JK104" si="1769">JG101*$JK$98</f>
        <v>0</v>
      </c>
      <c r="JL101" s="51">
        <f t="shared" ref="JL101:JL106" si="1770">JH101*JL$98</f>
        <v>0</v>
      </c>
      <c r="JM101" s="54"/>
      <c r="JO101" s="80"/>
      <c r="JP101" s="80"/>
      <c r="JQ101" s="80">
        <f t="shared" si="1593"/>
        <v>0</v>
      </c>
      <c r="JS101" s="80"/>
      <c r="JT101" s="80"/>
      <c r="JU101" s="80">
        <f t="shared" si="1594"/>
        <v>0</v>
      </c>
      <c r="JW101" s="80"/>
      <c r="JX101" s="80"/>
      <c r="JY101" s="80">
        <f t="shared" si="1595"/>
        <v>0</v>
      </c>
      <c r="KA101" s="80"/>
      <c r="KB101" s="80"/>
      <c r="KC101" s="80">
        <f t="shared" si="1596"/>
        <v>0</v>
      </c>
      <c r="KE101" s="80"/>
      <c r="KF101" s="80"/>
      <c r="KG101" s="80">
        <f t="shared" si="1597"/>
        <v>0</v>
      </c>
      <c r="KI101" s="80"/>
      <c r="KJ101" s="80"/>
      <c r="KK101" s="80">
        <f t="shared" si="1598"/>
        <v>0</v>
      </c>
      <c r="KM101" s="80"/>
      <c r="KN101" s="80"/>
      <c r="KO101" s="80">
        <f t="shared" si="1599"/>
        <v>0</v>
      </c>
    </row>
    <row r="102" ht="18.75" customHeight="1" spans="2:301" x14ac:dyDescent="0.25">
      <c r="B102" s="5" t="str">
        <f>A.IIOPEX!C102</f>
        <v>8c</v>
      </c>
      <c r="C102" s="27"/>
      <c r="D102" s="29">
        <f>A.IIOPEX!E102</f>
        <v>0</v>
      </c>
      <c r="E102" s="30"/>
      <c r="F102" s="51">
        <v>1</v>
      </c>
      <c r="G102" s="51"/>
      <c r="H102" s="51">
        <f>A.IIOPEX!I102</f>
        <v>0</v>
      </c>
      <c r="I102" s="54"/>
      <c r="J102" s="51">
        <f t="shared" si="1579"/>
        <v>1</v>
      </c>
      <c r="K102" s="51"/>
      <c r="L102" s="51">
        <f t="shared" si="1600"/>
        <v>0</v>
      </c>
      <c r="M102" s="54"/>
      <c r="N102" s="51">
        <f t="shared" si="1580"/>
        <v>1</v>
      </c>
      <c r="O102" s="51">
        <v>0</v>
      </c>
      <c r="P102" s="51">
        <f t="shared" si="1601"/>
        <v>0</v>
      </c>
      <c r="Q102" s="54"/>
      <c r="R102" s="51">
        <f t="shared" si="1581"/>
        <v>1</v>
      </c>
      <c r="S102" s="51">
        <v>0</v>
      </c>
      <c r="T102" s="51">
        <f t="shared" si="1602"/>
        <v>0</v>
      </c>
      <c r="U102" s="54"/>
      <c r="V102" s="51">
        <f t="shared" si="1582"/>
        <v>1</v>
      </c>
      <c r="W102" s="51">
        <v>0</v>
      </c>
      <c r="X102" s="51">
        <f t="shared" si="1603"/>
        <v>0</v>
      </c>
      <c r="Y102" s="54"/>
      <c r="Z102" s="51">
        <f t="shared" si="1583"/>
        <v>1</v>
      </c>
      <c r="AA102" s="51">
        <v>0</v>
      </c>
      <c r="AB102" s="51">
        <f t="shared" si="1604"/>
        <v>0</v>
      </c>
      <c r="AC102" s="54"/>
      <c r="AD102" s="51">
        <f t="shared" si="1605"/>
        <v>1</v>
      </c>
      <c r="AE102" s="51">
        <v>0</v>
      </c>
      <c r="AF102" s="51">
        <f t="shared" si="1606"/>
        <v>0</v>
      </c>
      <c r="AG102" s="54"/>
      <c r="AH102" s="51">
        <f t="shared" si="1607"/>
        <v>1</v>
      </c>
      <c r="AI102" s="51"/>
      <c r="AJ102" s="51">
        <f t="shared" si="1608"/>
        <v>0</v>
      </c>
      <c r="AK102" s="54"/>
      <c r="AL102" s="51">
        <f t="shared" si="1609"/>
        <v>1</v>
      </c>
      <c r="AM102" s="51"/>
      <c r="AN102" s="51">
        <f t="shared" si="1610"/>
        <v>0</v>
      </c>
      <c r="AO102" s="54"/>
      <c r="AP102" s="51">
        <f t="shared" si="1611"/>
        <v>1</v>
      </c>
      <c r="AQ102" s="51"/>
      <c r="AR102" s="51">
        <f t="shared" si="1612"/>
        <v>0</v>
      </c>
      <c r="AS102" s="54"/>
      <c r="AT102" s="51">
        <f t="shared" si="1613"/>
        <v>1</v>
      </c>
      <c r="AU102" s="51"/>
      <c r="AV102" s="51">
        <f t="shared" si="1614"/>
        <v>0</v>
      </c>
      <c r="AW102" s="54"/>
      <c r="AX102" s="51">
        <f t="shared" si="1615"/>
        <v>1</v>
      </c>
      <c r="AY102" s="51"/>
      <c r="AZ102" s="51">
        <f t="shared" si="1616"/>
        <v>0</v>
      </c>
      <c r="BA102" s="54"/>
      <c r="BB102" s="51">
        <f t="shared" si="1584"/>
        <v>1</v>
      </c>
      <c r="BC102" s="51"/>
      <c r="BD102" s="51">
        <f t="shared" si="1617"/>
        <v>0</v>
      </c>
      <c r="BE102" s="54"/>
      <c r="BF102" s="51">
        <f t="shared" si="1618"/>
        <v>1</v>
      </c>
      <c r="BG102" s="51"/>
      <c r="BH102" s="51">
        <f t="shared" si="1619"/>
        <v>0</v>
      </c>
      <c r="BI102" s="54"/>
      <c r="BJ102" s="51">
        <f t="shared" si="1620"/>
        <v>1</v>
      </c>
      <c r="BK102" s="51">
        <f t="shared" si="1621"/>
        <v>0</v>
      </c>
      <c r="BL102" s="51">
        <f t="shared" si="1622"/>
        <v>0</v>
      </c>
      <c r="BM102" s="54"/>
      <c r="BN102" s="51">
        <f t="shared" si="1623"/>
        <v>1</v>
      </c>
      <c r="BO102" s="51">
        <f t="shared" si="1624"/>
        <v>0</v>
      </c>
      <c r="BP102" s="51">
        <f t="shared" si="1625"/>
        <v>0</v>
      </c>
      <c r="BQ102" s="54"/>
      <c r="BR102" s="51">
        <f t="shared" si="1626"/>
        <v>1</v>
      </c>
      <c r="BS102" s="51">
        <f t="shared" si="1627"/>
        <v>0</v>
      </c>
      <c r="BT102" s="51">
        <f t="shared" si="1628"/>
        <v>0</v>
      </c>
      <c r="BU102" s="54"/>
      <c r="BV102" s="51">
        <f t="shared" si="1629"/>
        <v>1</v>
      </c>
      <c r="BW102" s="51">
        <f t="shared" si="1630"/>
        <v>0</v>
      </c>
      <c r="BX102" s="51">
        <f t="shared" si="1631"/>
        <v>0</v>
      </c>
      <c r="BY102" s="54"/>
      <c r="BZ102" s="51">
        <f t="shared" si="1632"/>
        <v>1</v>
      </c>
      <c r="CA102" s="51">
        <f t="shared" si="1633"/>
        <v>0</v>
      </c>
      <c r="CB102" s="51">
        <f t="shared" si="1634"/>
        <v>0</v>
      </c>
      <c r="CC102" s="54"/>
      <c r="CD102" s="51">
        <f t="shared" si="1635"/>
        <v>1</v>
      </c>
      <c r="CE102" s="51">
        <f t="shared" si="1636"/>
        <v>0</v>
      </c>
      <c r="CF102" s="51">
        <f t="shared" si="1637"/>
        <v>0</v>
      </c>
      <c r="CG102" s="54"/>
      <c r="CH102" s="51">
        <f t="shared" si="1638"/>
        <v>1</v>
      </c>
      <c r="CI102" s="51">
        <f t="shared" si="1639"/>
        <v>0</v>
      </c>
      <c r="CJ102" s="51">
        <f t="shared" si="1640"/>
        <v>0</v>
      </c>
      <c r="CK102" s="54"/>
      <c r="CL102" s="51">
        <f t="shared" si="1641"/>
        <v>1</v>
      </c>
      <c r="CM102" s="51">
        <f t="shared" si="1642"/>
        <v>0</v>
      </c>
      <c r="CN102" s="51">
        <f t="shared" si="1643"/>
        <v>0</v>
      </c>
      <c r="CO102" s="54"/>
      <c r="CP102" s="51">
        <f t="shared" si="1644"/>
        <v>1</v>
      </c>
      <c r="CQ102" s="51">
        <f t="shared" si="1645"/>
        <v>0</v>
      </c>
      <c r="CR102" s="51">
        <f t="shared" si="1646"/>
        <v>0</v>
      </c>
      <c r="CS102" s="54"/>
      <c r="CT102" s="51">
        <f t="shared" si="1647"/>
        <v>1</v>
      </c>
      <c r="CU102" s="51">
        <f t="shared" si="1648"/>
        <v>0</v>
      </c>
      <c r="CV102" s="51">
        <f t="shared" si="1649"/>
        <v>0</v>
      </c>
      <c r="CW102" s="54"/>
      <c r="CX102" s="51">
        <f t="shared" si="1585"/>
        <v>1</v>
      </c>
      <c r="CY102" s="51">
        <f t="shared" si="1586"/>
        <v>0</v>
      </c>
      <c r="CZ102" s="51">
        <f t="shared" si="1650"/>
        <v>0</v>
      </c>
      <c r="DA102" s="54"/>
      <c r="DB102" s="51">
        <f t="shared" si="1651"/>
        <v>1</v>
      </c>
      <c r="DC102" s="51">
        <f t="shared" si="1652"/>
        <v>0</v>
      </c>
      <c r="DD102" s="51">
        <f t="shared" si="1653"/>
        <v>0</v>
      </c>
      <c r="DE102" s="54"/>
      <c r="DF102" s="51">
        <f t="shared" si="1654"/>
        <v>1</v>
      </c>
      <c r="DG102" s="51">
        <f t="shared" si="1655"/>
        <v>0</v>
      </c>
      <c r="DH102" s="51">
        <f t="shared" si="1656"/>
        <v>0</v>
      </c>
      <c r="DI102" s="54"/>
      <c r="DJ102" s="51">
        <f t="shared" si="1657"/>
        <v>1</v>
      </c>
      <c r="DK102" s="51">
        <f t="shared" si="1658"/>
        <v>0</v>
      </c>
      <c r="DL102" s="51">
        <f t="shared" si="1659"/>
        <v>0</v>
      </c>
      <c r="DM102" s="54"/>
      <c r="DN102" s="51">
        <f t="shared" si="1660"/>
        <v>1</v>
      </c>
      <c r="DO102" s="51">
        <f t="shared" si="1661"/>
        <v>0</v>
      </c>
      <c r="DP102" s="51">
        <f t="shared" si="1662"/>
        <v>0</v>
      </c>
      <c r="DQ102" s="54"/>
      <c r="DR102" s="51">
        <f t="shared" si="1663"/>
        <v>1</v>
      </c>
      <c r="DS102" s="51">
        <f t="shared" si="1664"/>
        <v>0</v>
      </c>
      <c r="DT102" s="51">
        <f t="shared" si="1665"/>
        <v>0</v>
      </c>
      <c r="DU102" s="54"/>
      <c r="DV102" s="51">
        <f t="shared" si="1666"/>
        <v>1</v>
      </c>
      <c r="DW102" s="51">
        <f t="shared" si="1667"/>
        <v>0</v>
      </c>
      <c r="DX102" s="51">
        <f t="shared" si="1668"/>
        <v>0</v>
      </c>
      <c r="DY102" s="54"/>
      <c r="DZ102" s="51">
        <f t="shared" si="1669"/>
        <v>1</v>
      </c>
      <c r="EA102" s="51">
        <f t="shared" si="1670"/>
        <v>0</v>
      </c>
      <c r="EB102" s="51">
        <f t="shared" si="1671"/>
        <v>0</v>
      </c>
      <c r="EC102" s="54"/>
      <c r="ED102" s="51">
        <f t="shared" si="1672"/>
        <v>1</v>
      </c>
      <c r="EE102" s="51">
        <f t="shared" si="1673"/>
        <v>0</v>
      </c>
      <c r="EF102" s="51">
        <f t="shared" si="1674"/>
        <v>0</v>
      </c>
      <c r="EG102" s="54"/>
      <c r="EH102" s="51">
        <f t="shared" si="1675"/>
        <v>1</v>
      </c>
      <c r="EI102" s="51">
        <f t="shared" si="1676"/>
        <v>0</v>
      </c>
      <c r="EJ102" s="51">
        <f t="shared" si="1677"/>
        <v>0</v>
      </c>
      <c r="EK102" s="54"/>
      <c r="EL102" s="51">
        <f t="shared" si="1678"/>
        <v>1</v>
      </c>
      <c r="EM102" s="51">
        <f t="shared" si="1679"/>
        <v>0</v>
      </c>
      <c r="EN102" s="51">
        <f t="shared" si="1680"/>
        <v>0</v>
      </c>
      <c r="EO102" s="54"/>
      <c r="EP102" s="51">
        <f t="shared" si="1681"/>
        <v>1</v>
      </c>
      <c r="EQ102" s="51">
        <f t="shared" si="1682"/>
        <v>0</v>
      </c>
      <c r="ER102" s="51">
        <f t="shared" si="1683"/>
        <v>0</v>
      </c>
      <c r="ES102" s="54"/>
      <c r="ET102" s="51">
        <f t="shared" si="1587"/>
        <v>1</v>
      </c>
      <c r="EU102" s="51">
        <f t="shared" si="1588"/>
        <v>0</v>
      </c>
      <c r="EV102" s="51">
        <f t="shared" si="1684"/>
        <v>0</v>
      </c>
      <c r="EW102" s="54"/>
      <c r="EX102" s="51">
        <f t="shared" si="1685"/>
        <v>1</v>
      </c>
      <c r="EY102" s="51">
        <f t="shared" si="1686"/>
        <v>0</v>
      </c>
      <c r="EZ102" s="51">
        <f t="shared" si="1687"/>
        <v>0</v>
      </c>
      <c r="FA102" s="54"/>
      <c r="FB102" s="51">
        <f t="shared" si="1688"/>
        <v>1</v>
      </c>
      <c r="FC102" s="51">
        <f t="shared" si="1689"/>
        <v>0</v>
      </c>
      <c r="FD102" s="51">
        <f t="shared" si="1690"/>
        <v>0</v>
      </c>
      <c r="FE102" s="54"/>
      <c r="FF102" s="51">
        <f t="shared" si="1691"/>
        <v>1</v>
      </c>
      <c r="FG102" s="51">
        <f t="shared" si="1692"/>
        <v>0</v>
      </c>
      <c r="FH102" s="51">
        <f t="shared" si="1693"/>
        <v>0</v>
      </c>
      <c r="FI102" s="54"/>
      <c r="FJ102" s="51">
        <f t="shared" si="1694"/>
        <v>1</v>
      </c>
      <c r="FK102" s="51">
        <f t="shared" si="1695"/>
        <v>0</v>
      </c>
      <c r="FL102" s="51">
        <f t="shared" si="1696"/>
        <v>0</v>
      </c>
      <c r="FM102" s="54"/>
      <c r="FN102" s="51">
        <f t="shared" si="1697"/>
        <v>1</v>
      </c>
      <c r="FO102" s="51">
        <f t="shared" si="1698"/>
        <v>0</v>
      </c>
      <c r="FP102" s="51">
        <f t="shared" si="1699"/>
        <v>0</v>
      </c>
      <c r="FQ102" s="54"/>
      <c r="FR102" s="51">
        <f t="shared" si="1700"/>
        <v>1</v>
      </c>
      <c r="FS102" s="51">
        <f t="shared" si="1701"/>
        <v>0</v>
      </c>
      <c r="FT102" s="51">
        <f t="shared" si="1702"/>
        <v>0</v>
      </c>
      <c r="FU102" s="54"/>
      <c r="FV102" s="51">
        <f t="shared" si="1703"/>
        <v>1</v>
      </c>
      <c r="FW102" s="51">
        <f t="shared" si="1704"/>
        <v>0</v>
      </c>
      <c r="FX102" s="51">
        <f t="shared" si="1705"/>
        <v>0</v>
      </c>
      <c r="FY102" s="54"/>
      <c r="FZ102" s="51">
        <f t="shared" si="1706"/>
        <v>1</v>
      </c>
      <c r="GA102" s="51">
        <f t="shared" si="1707"/>
        <v>0</v>
      </c>
      <c r="GB102" s="51">
        <f t="shared" si="1708"/>
        <v>0</v>
      </c>
      <c r="GC102" s="54"/>
      <c r="GD102" s="51">
        <f t="shared" si="1709"/>
        <v>1</v>
      </c>
      <c r="GE102" s="51">
        <f t="shared" si="1710"/>
        <v>0</v>
      </c>
      <c r="GF102" s="51">
        <f t="shared" si="1711"/>
        <v>0</v>
      </c>
      <c r="GG102" s="54"/>
      <c r="GH102" s="51">
        <f t="shared" si="1712"/>
        <v>1</v>
      </c>
      <c r="GI102" s="51">
        <f t="shared" si="1713"/>
        <v>0</v>
      </c>
      <c r="GJ102" s="51">
        <f t="shared" si="1714"/>
        <v>0</v>
      </c>
      <c r="GK102" s="54"/>
      <c r="GL102" s="51">
        <f t="shared" si="1715"/>
        <v>1</v>
      </c>
      <c r="GM102" s="51">
        <f t="shared" si="1716"/>
        <v>0</v>
      </c>
      <c r="GN102" s="51">
        <f t="shared" si="1717"/>
        <v>0</v>
      </c>
      <c r="GP102" s="51">
        <f t="shared" si="1589"/>
        <v>1</v>
      </c>
      <c r="GQ102" s="51">
        <f t="shared" si="1590"/>
        <v>0</v>
      </c>
      <c r="GR102" s="51">
        <f t="shared" si="1718"/>
        <v>0</v>
      </c>
      <c r="GS102" s="54"/>
      <c r="GT102" s="51">
        <f t="shared" si="1719"/>
        <v>1</v>
      </c>
      <c r="GU102" s="51">
        <f t="shared" si="1720"/>
        <v>0</v>
      </c>
      <c r="GV102" s="51">
        <f t="shared" si="1721"/>
        <v>0</v>
      </c>
      <c r="GW102" s="54"/>
      <c r="GX102" s="51">
        <f t="shared" si="1722"/>
        <v>1</v>
      </c>
      <c r="GY102" s="51">
        <f t="shared" si="1723"/>
        <v>0</v>
      </c>
      <c r="GZ102" s="51">
        <f t="shared" si="1724"/>
        <v>0</v>
      </c>
      <c r="HA102" s="54"/>
      <c r="HB102" s="51">
        <f t="shared" si="1725"/>
        <v>1</v>
      </c>
      <c r="HC102" s="51">
        <f t="shared" si="1726"/>
        <v>0</v>
      </c>
      <c r="HD102" s="51">
        <f t="shared" si="1727"/>
        <v>0</v>
      </c>
      <c r="HE102" s="54"/>
      <c r="HF102" s="51">
        <f t="shared" si="1728"/>
        <v>1</v>
      </c>
      <c r="HG102" s="51">
        <f t="shared" si="1729"/>
        <v>0</v>
      </c>
      <c r="HH102" s="51">
        <f t="shared" si="1730"/>
        <v>0</v>
      </c>
      <c r="HI102" s="54"/>
      <c r="HJ102" s="51">
        <f t="shared" si="1731"/>
        <v>1</v>
      </c>
      <c r="HK102" s="51">
        <f t="shared" si="1732"/>
        <v>0</v>
      </c>
      <c r="HL102" s="51">
        <f t="shared" si="1733"/>
        <v>0</v>
      </c>
      <c r="HM102" s="54"/>
      <c r="HN102" s="51">
        <f t="shared" si="1734"/>
        <v>1</v>
      </c>
      <c r="HO102" s="51">
        <f t="shared" si="1735"/>
        <v>0</v>
      </c>
      <c r="HP102" s="51">
        <f t="shared" si="1736"/>
        <v>0</v>
      </c>
      <c r="HQ102" s="54"/>
      <c r="HR102" s="51">
        <f t="shared" si="1737"/>
        <v>1</v>
      </c>
      <c r="HS102" s="51">
        <f t="shared" si="1738"/>
        <v>0</v>
      </c>
      <c r="HT102" s="51">
        <f t="shared" si="1739"/>
        <v>0</v>
      </c>
      <c r="HU102" s="54"/>
      <c r="HV102" s="51">
        <f t="shared" si="1740"/>
        <v>1</v>
      </c>
      <c r="HW102" s="51">
        <f t="shared" si="1741"/>
        <v>0</v>
      </c>
      <c r="HX102" s="51">
        <f t="shared" si="1742"/>
        <v>0</v>
      </c>
      <c r="HY102" s="54"/>
      <c r="HZ102" s="51">
        <f t="shared" si="1743"/>
        <v>1</v>
      </c>
      <c r="IA102" s="51">
        <f t="shared" si="1744"/>
        <v>0</v>
      </c>
      <c r="IB102" s="51">
        <f t="shared" si="1745"/>
        <v>0</v>
      </c>
      <c r="IC102" s="54"/>
      <c r="ID102" s="51">
        <f t="shared" si="1746"/>
        <v>1</v>
      </c>
      <c r="IE102" s="51">
        <f t="shared" si="1747"/>
        <v>0</v>
      </c>
      <c r="IF102" s="51">
        <f t="shared" si="1748"/>
        <v>0</v>
      </c>
      <c r="IG102" s="54"/>
      <c r="IH102" s="51">
        <f t="shared" si="1749"/>
        <v>1</v>
      </c>
      <c r="II102" s="51">
        <f t="shared" si="1750"/>
        <v>0</v>
      </c>
      <c r="IJ102" s="51">
        <f t="shared" si="1751"/>
        <v>0</v>
      </c>
      <c r="IL102" s="51">
        <f t="shared" si="1591"/>
        <v>1</v>
      </c>
      <c r="IM102" s="51">
        <f t="shared" si="1592"/>
        <v>0</v>
      </c>
      <c r="IN102" s="51">
        <f t="shared" si="1752"/>
        <v>0</v>
      </c>
      <c r="IO102" s="54"/>
      <c r="IP102" s="51">
        <f t="shared" si="1753"/>
        <v>1</v>
      </c>
      <c r="IQ102" s="51">
        <f t="shared" si="1754"/>
        <v>0</v>
      </c>
      <c r="IR102" s="51">
        <f t="shared" si="1755"/>
        <v>0</v>
      </c>
      <c r="IS102" s="54"/>
      <c r="IT102" s="51">
        <f t="shared" si="1756"/>
        <v>1</v>
      </c>
      <c r="IU102" s="51">
        <f t="shared" si="1757"/>
        <v>0</v>
      </c>
      <c r="IV102" s="51">
        <f t="shared" si="1758"/>
        <v>0</v>
      </c>
      <c r="IW102" s="54"/>
      <c r="IX102" s="51">
        <f t="shared" si="1759"/>
        <v>1</v>
      </c>
      <c r="IY102" s="51">
        <f t="shared" si="1760"/>
        <v>0</v>
      </c>
      <c r="IZ102" s="51">
        <f t="shared" si="1761"/>
        <v>0</v>
      </c>
      <c r="JA102" s="54"/>
      <c r="JB102" s="51" t="e">
        <f t="shared" si="1762"/>
        <v>#REF!</v>
      </c>
      <c r="JC102" s="51">
        <f t="shared" si="1763"/>
        <v>0</v>
      </c>
      <c r="JD102" s="51">
        <f t="shared" si="1764"/>
        <v>0</v>
      </c>
      <c r="JE102" s="54"/>
      <c r="JF102" s="51" t="e">
        <f t="shared" si="1765"/>
        <v>#REF!</v>
      </c>
      <c r="JG102" s="51">
        <f t="shared" si="1766"/>
        <v>0</v>
      </c>
      <c r="JH102" s="51">
        <f t="shared" si="1767"/>
        <v>0</v>
      </c>
      <c r="JI102" s="54"/>
      <c r="JJ102" s="51" t="e">
        <f t="shared" si="1768"/>
        <v>#REF!</v>
      </c>
      <c r="JK102" s="51">
        <f t="shared" si="1769"/>
        <v>0</v>
      </c>
      <c r="JL102" s="51">
        <f t="shared" si="1770"/>
        <v>0</v>
      </c>
      <c r="JM102" s="54"/>
      <c r="JO102" s="80"/>
      <c r="JP102" s="80"/>
      <c r="JQ102" s="80">
        <f t="shared" si="1593"/>
        <v>0</v>
      </c>
      <c r="JS102" s="80"/>
      <c r="JT102" s="80"/>
      <c r="JU102" s="80">
        <f t="shared" si="1594"/>
        <v>0</v>
      </c>
      <c r="JW102" s="80"/>
      <c r="JX102" s="80"/>
      <c r="JY102" s="80">
        <f t="shared" si="1595"/>
        <v>0</v>
      </c>
      <c r="KA102" s="80"/>
      <c r="KB102" s="80"/>
      <c r="KC102" s="80">
        <f t="shared" si="1596"/>
        <v>0</v>
      </c>
      <c r="KE102" s="80"/>
      <c r="KF102" s="80"/>
      <c r="KG102" s="80">
        <f t="shared" si="1597"/>
        <v>0</v>
      </c>
      <c r="KI102" s="80"/>
      <c r="KJ102" s="80"/>
      <c r="KK102" s="80">
        <f t="shared" si="1598"/>
        <v>0</v>
      </c>
      <c r="KM102" s="80"/>
      <c r="KN102" s="80"/>
      <c r="KO102" s="80">
        <f t="shared" si="1599"/>
        <v>0</v>
      </c>
    </row>
    <row r="103" ht="18.75" customHeight="1" spans="2:301" x14ac:dyDescent="0.25">
      <c r="B103" s="5" t="str">
        <f>A.IIOPEX!C103</f>
        <v>8d</v>
      </c>
      <c r="C103" s="27"/>
      <c r="D103" s="29">
        <f>A.IIOPEX!E103</f>
        <v>0</v>
      </c>
      <c r="E103" s="30"/>
      <c r="F103" s="51">
        <v>1</v>
      </c>
      <c r="G103" s="51"/>
      <c r="H103" s="51">
        <f>A.IIOPEX!I103</f>
        <v>0</v>
      </c>
      <c r="I103" s="54"/>
      <c r="J103" s="51">
        <f t="shared" si="1579"/>
        <v>1</v>
      </c>
      <c r="K103" s="51"/>
      <c r="L103" s="51">
        <f t="shared" si="1600"/>
        <v>0</v>
      </c>
      <c r="M103" s="54"/>
      <c r="N103" s="51">
        <f t="shared" si="1580"/>
        <v>1</v>
      </c>
      <c r="O103" s="51">
        <v>0</v>
      </c>
      <c r="P103" s="51">
        <f t="shared" si="1601"/>
        <v>0</v>
      </c>
      <c r="Q103" s="54"/>
      <c r="R103" s="51">
        <f t="shared" si="1581"/>
        <v>1</v>
      </c>
      <c r="S103" s="51">
        <v>0</v>
      </c>
      <c r="T103" s="51">
        <f t="shared" si="1602"/>
        <v>0</v>
      </c>
      <c r="U103" s="54"/>
      <c r="V103" s="51">
        <f t="shared" si="1582"/>
        <v>1</v>
      </c>
      <c r="W103" s="51">
        <v>0</v>
      </c>
      <c r="X103" s="51">
        <f t="shared" si="1603"/>
        <v>0</v>
      </c>
      <c r="Y103" s="54"/>
      <c r="Z103" s="51">
        <f t="shared" si="1583"/>
        <v>1</v>
      </c>
      <c r="AA103" s="51">
        <v>0</v>
      </c>
      <c r="AB103" s="51">
        <f t="shared" si="1604"/>
        <v>0</v>
      </c>
      <c r="AC103" s="54"/>
      <c r="AD103" s="51">
        <f t="shared" si="1605"/>
        <v>1</v>
      </c>
      <c r="AE103" s="51">
        <v>0</v>
      </c>
      <c r="AF103" s="51">
        <f t="shared" si="1606"/>
        <v>0</v>
      </c>
      <c r="AG103" s="54"/>
      <c r="AH103" s="51">
        <f t="shared" si="1607"/>
        <v>1</v>
      </c>
      <c r="AI103" s="51"/>
      <c r="AJ103" s="51">
        <f t="shared" si="1608"/>
        <v>0</v>
      </c>
      <c r="AK103" s="54"/>
      <c r="AL103" s="51">
        <f t="shared" si="1609"/>
        <v>1</v>
      </c>
      <c r="AM103" s="51"/>
      <c r="AN103" s="51">
        <f t="shared" si="1610"/>
        <v>0</v>
      </c>
      <c r="AO103" s="54"/>
      <c r="AP103" s="51">
        <f t="shared" si="1611"/>
        <v>1</v>
      </c>
      <c r="AQ103" s="51"/>
      <c r="AR103" s="51">
        <f t="shared" si="1612"/>
        <v>0</v>
      </c>
      <c r="AS103" s="54"/>
      <c r="AT103" s="51">
        <f t="shared" si="1613"/>
        <v>1</v>
      </c>
      <c r="AU103" s="51"/>
      <c r="AV103" s="51">
        <f t="shared" si="1614"/>
        <v>0</v>
      </c>
      <c r="AW103" s="54"/>
      <c r="AX103" s="51">
        <f t="shared" si="1615"/>
        <v>1</v>
      </c>
      <c r="AY103" s="51"/>
      <c r="AZ103" s="51">
        <f t="shared" si="1616"/>
        <v>0</v>
      </c>
      <c r="BA103" s="54"/>
      <c r="BB103" s="51">
        <f t="shared" si="1584"/>
        <v>1</v>
      </c>
      <c r="BC103" s="51"/>
      <c r="BD103" s="51">
        <f t="shared" si="1617"/>
        <v>0</v>
      </c>
      <c r="BE103" s="54"/>
      <c r="BF103" s="51">
        <f t="shared" si="1618"/>
        <v>1</v>
      </c>
      <c r="BG103" s="51"/>
      <c r="BH103" s="51">
        <f t="shared" si="1619"/>
        <v>0</v>
      </c>
      <c r="BI103" s="54"/>
      <c r="BJ103" s="51">
        <f t="shared" si="1620"/>
        <v>1</v>
      </c>
      <c r="BK103" s="51">
        <f t="shared" si="1621"/>
        <v>0</v>
      </c>
      <c r="BL103" s="51">
        <f t="shared" si="1622"/>
        <v>0</v>
      </c>
      <c r="BM103" s="54"/>
      <c r="BN103" s="51">
        <f t="shared" si="1623"/>
        <v>1</v>
      </c>
      <c r="BO103" s="51">
        <f t="shared" si="1624"/>
        <v>0</v>
      </c>
      <c r="BP103" s="51">
        <f t="shared" si="1625"/>
        <v>0</v>
      </c>
      <c r="BQ103" s="54"/>
      <c r="BR103" s="51">
        <f t="shared" si="1626"/>
        <v>1</v>
      </c>
      <c r="BS103" s="51">
        <f t="shared" si="1627"/>
        <v>0</v>
      </c>
      <c r="BT103" s="51">
        <f t="shared" si="1628"/>
        <v>0</v>
      </c>
      <c r="BU103" s="54"/>
      <c r="BV103" s="51">
        <f t="shared" si="1629"/>
        <v>1</v>
      </c>
      <c r="BW103" s="51">
        <f t="shared" si="1630"/>
        <v>0</v>
      </c>
      <c r="BX103" s="51">
        <f t="shared" si="1631"/>
        <v>0</v>
      </c>
      <c r="BY103" s="54"/>
      <c r="BZ103" s="51">
        <f t="shared" si="1632"/>
        <v>1</v>
      </c>
      <c r="CA103" s="51">
        <f t="shared" si="1633"/>
        <v>0</v>
      </c>
      <c r="CB103" s="51">
        <f t="shared" si="1634"/>
        <v>0</v>
      </c>
      <c r="CC103" s="54"/>
      <c r="CD103" s="51">
        <f t="shared" si="1635"/>
        <v>1</v>
      </c>
      <c r="CE103" s="51">
        <f t="shared" si="1636"/>
        <v>0</v>
      </c>
      <c r="CF103" s="51">
        <f t="shared" si="1637"/>
        <v>0</v>
      </c>
      <c r="CG103" s="54"/>
      <c r="CH103" s="51">
        <f t="shared" si="1638"/>
        <v>1</v>
      </c>
      <c r="CI103" s="51">
        <f t="shared" si="1639"/>
        <v>0</v>
      </c>
      <c r="CJ103" s="51">
        <f t="shared" si="1640"/>
        <v>0</v>
      </c>
      <c r="CK103" s="54"/>
      <c r="CL103" s="51">
        <f t="shared" si="1641"/>
        <v>1</v>
      </c>
      <c r="CM103" s="51">
        <f t="shared" si="1642"/>
        <v>0</v>
      </c>
      <c r="CN103" s="51">
        <f t="shared" si="1643"/>
        <v>0</v>
      </c>
      <c r="CO103" s="54"/>
      <c r="CP103" s="51">
        <f t="shared" si="1644"/>
        <v>1</v>
      </c>
      <c r="CQ103" s="51">
        <f t="shared" si="1645"/>
        <v>0</v>
      </c>
      <c r="CR103" s="51">
        <f t="shared" si="1646"/>
        <v>0</v>
      </c>
      <c r="CS103" s="54"/>
      <c r="CT103" s="51">
        <f t="shared" si="1647"/>
        <v>1</v>
      </c>
      <c r="CU103" s="51">
        <f t="shared" si="1648"/>
        <v>0</v>
      </c>
      <c r="CV103" s="51">
        <f t="shared" si="1649"/>
        <v>0</v>
      </c>
      <c r="CW103" s="54"/>
      <c r="CX103" s="51">
        <f t="shared" si="1585"/>
        <v>1</v>
      </c>
      <c r="CY103" s="51">
        <f t="shared" si="1586"/>
        <v>0</v>
      </c>
      <c r="CZ103" s="51">
        <f t="shared" si="1650"/>
        <v>0</v>
      </c>
      <c r="DA103" s="54"/>
      <c r="DB103" s="51">
        <f t="shared" si="1651"/>
        <v>1</v>
      </c>
      <c r="DC103" s="51">
        <f t="shared" si="1652"/>
        <v>0</v>
      </c>
      <c r="DD103" s="51">
        <f t="shared" si="1653"/>
        <v>0</v>
      </c>
      <c r="DE103" s="54"/>
      <c r="DF103" s="51">
        <f t="shared" si="1654"/>
        <v>1</v>
      </c>
      <c r="DG103" s="51">
        <f t="shared" si="1655"/>
        <v>0</v>
      </c>
      <c r="DH103" s="51">
        <f t="shared" si="1656"/>
        <v>0</v>
      </c>
      <c r="DI103" s="54"/>
      <c r="DJ103" s="51">
        <f t="shared" si="1657"/>
        <v>1</v>
      </c>
      <c r="DK103" s="51">
        <f t="shared" si="1658"/>
        <v>0</v>
      </c>
      <c r="DL103" s="51">
        <f t="shared" si="1659"/>
        <v>0</v>
      </c>
      <c r="DM103" s="54"/>
      <c r="DN103" s="51">
        <f t="shared" si="1660"/>
        <v>1</v>
      </c>
      <c r="DO103" s="51">
        <f t="shared" si="1661"/>
        <v>0</v>
      </c>
      <c r="DP103" s="51">
        <f t="shared" si="1662"/>
        <v>0</v>
      </c>
      <c r="DQ103" s="54"/>
      <c r="DR103" s="51">
        <f t="shared" si="1663"/>
        <v>1</v>
      </c>
      <c r="DS103" s="51">
        <f t="shared" si="1664"/>
        <v>0</v>
      </c>
      <c r="DT103" s="51">
        <f t="shared" si="1665"/>
        <v>0</v>
      </c>
      <c r="DU103" s="54"/>
      <c r="DV103" s="51">
        <f t="shared" si="1666"/>
        <v>1</v>
      </c>
      <c r="DW103" s="51">
        <f t="shared" si="1667"/>
        <v>0</v>
      </c>
      <c r="DX103" s="51">
        <f t="shared" si="1668"/>
        <v>0</v>
      </c>
      <c r="DY103" s="54"/>
      <c r="DZ103" s="51">
        <f t="shared" si="1669"/>
        <v>1</v>
      </c>
      <c r="EA103" s="51">
        <f t="shared" si="1670"/>
        <v>0</v>
      </c>
      <c r="EB103" s="51">
        <f t="shared" si="1671"/>
        <v>0</v>
      </c>
      <c r="EC103" s="54"/>
      <c r="ED103" s="51">
        <f t="shared" si="1672"/>
        <v>1</v>
      </c>
      <c r="EE103" s="51">
        <f t="shared" si="1673"/>
        <v>0</v>
      </c>
      <c r="EF103" s="51">
        <f t="shared" si="1674"/>
        <v>0</v>
      </c>
      <c r="EG103" s="54"/>
      <c r="EH103" s="51">
        <f t="shared" si="1675"/>
        <v>1</v>
      </c>
      <c r="EI103" s="51">
        <f t="shared" si="1676"/>
        <v>0</v>
      </c>
      <c r="EJ103" s="51">
        <f t="shared" si="1677"/>
        <v>0</v>
      </c>
      <c r="EK103" s="54"/>
      <c r="EL103" s="51">
        <f t="shared" si="1678"/>
        <v>1</v>
      </c>
      <c r="EM103" s="51">
        <f t="shared" si="1679"/>
        <v>0</v>
      </c>
      <c r="EN103" s="51">
        <f t="shared" si="1680"/>
        <v>0</v>
      </c>
      <c r="EO103" s="54"/>
      <c r="EP103" s="51">
        <f t="shared" si="1681"/>
        <v>1</v>
      </c>
      <c r="EQ103" s="51">
        <f t="shared" si="1682"/>
        <v>0</v>
      </c>
      <c r="ER103" s="51">
        <f t="shared" si="1683"/>
        <v>0</v>
      </c>
      <c r="ES103" s="54"/>
      <c r="ET103" s="51">
        <f t="shared" si="1587"/>
        <v>1</v>
      </c>
      <c r="EU103" s="51">
        <f t="shared" si="1588"/>
        <v>0</v>
      </c>
      <c r="EV103" s="51">
        <f t="shared" si="1684"/>
        <v>0</v>
      </c>
      <c r="EW103" s="54"/>
      <c r="EX103" s="51">
        <f t="shared" si="1685"/>
        <v>1</v>
      </c>
      <c r="EY103" s="51">
        <f t="shared" si="1686"/>
        <v>0</v>
      </c>
      <c r="EZ103" s="51">
        <f t="shared" si="1687"/>
        <v>0</v>
      </c>
      <c r="FA103" s="54"/>
      <c r="FB103" s="51">
        <f t="shared" si="1688"/>
        <v>1</v>
      </c>
      <c r="FC103" s="51">
        <f t="shared" si="1689"/>
        <v>0</v>
      </c>
      <c r="FD103" s="51">
        <f t="shared" si="1690"/>
        <v>0</v>
      </c>
      <c r="FE103" s="54"/>
      <c r="FF103" s="51">
        <f t="shared" si="1691"/>
        <v>1</v>
      </c>
      <c r="FG103" s="51">
        <f t="shared" si="1692"/>
        <v>0</v>
      </c>
      <c r="FH103" s="51">
        <f t="shared" si="1693"/>
        <v>0</v>
      </c>
      <c r="FI103" s="54"/>
      <c r="FJ103" s="51">
        <f t="shared" si="1694"/>
        <v>1</v>
      </c>
      <c r="FK103" s="51">
        <f t="shared" si="1695"/>
        <v>0</v>
      </c>
      <c r="FL103" s="51">
        <f t="shared" si="1696"/>
        <v>0</v>
      </c>
      <c r="FM103" s="54"/>
      <c r="FN103" s="51">
        <f t="shared" si="1697"/>
        <v>1</v>
      </c>
      <c r="FO103" s="51">
        <f t="shared" si="1698"/>
        <v>0</v>
      </c>
      <c r="FP103" s="51">
        <f t="shared" si="1699"/>
        <v>0</v>
      </c>
      <c r="FQ103" s="54"/>
      <c r="FR103" s="51">
        <f t="shared" si="1700"/>
        <v>1</v>
      </c>
      <c r="FS103" s="51">
        <f t="shared" si="1701"/>
        <v>0</v>
      </c>
      <c r="FT103" s="51">
        <f t="shared" si="1702"/>
        <v>0</v>
      </c>
      <c r="FU103" s="54"/>
      <c r="FV103" s="51">
        <f t="shared" si="1703"/>
        <v>1</v>
      </c>
      <c r="FW103" s="51">
        <f t="shared" si="1704"/>
        <v>0</v>
      </c>
      <c r="FX103" s="51">
        <f t="shared" si="1705"/>
        <v>0</v>
      </c>
      <c r="FY103" s="54"/>
      <c r="FZ103" s="51">
        <f t="shared" si="1706"/>
        <v>1</v>
      </c>
      <c r="GA103" s="51">
        <f t="shared" si="1707"/>
        <v>0</v>
      </c>
      <c r="GB103" s="51">
        <f t="shared" si="1708"/>
        <v>0</v>
      </c>
      <c r="GC103" s="54"/>
      <c r="GD103" s="51">
        <f t="shared" si="1709"/>
        <v>1</v>
      </c>
      <c r="GE103" s="51">
        <f t="shared" si="1710"/>
        <v>0</v>
      </c>
      <c r="GF103" s="51">
        <f t="shared" si="1711"/>
        <v>0</v>
      </c>
      <c r="GG103" s="54"/>
      <c r="GH103" s="51">
        <f t="shared" si="1712"/>
        <v>1</v>
      </c>
      <c r="GI103" s="51">
        <f t="shared" si="1713"/>
        <v>0</v>
      </c>
      <c r="GJ103" s="51">
        <f t="shared" si="1714"/>
        <v>0</v>
      </c>
      <c r="GK103" s="54"/>
      <c r="GL103" s="51">
        <f t="shared" si="1715"/>
        <v>1</v>
      </c>
      <c r="GM103" s="51">
        <f t="shared" si="1716"/>
        <v>0</v>
      </c>
      <c r="GN103" s="51">
        <f t="shared" si="1717"/>
        <v>0</v>
      </c>
      <c r="GP103" s="51">
        <f t="shared" si="1589"/>
        <v>1</v>
      </c>
      <c r="GQ103" s="51">
        <f t="shared" si="1590"/>
        <v>0</v>
      </c>
      <c r="GR103" s="51">
        <f t="shared" si="1718"/>
        <v>0</v>
      </c>
      <c r="GS103" s="54"/>
      <c r="GT103" s="51">
        <f t="shared" si="1719"/>
        <v>1</v>
      </c>
      <c r="GU103" s="51">
        <f t="shared" si="1720"/>
        <v>0</v>
      </c>
      <c r="GV103" s="51">
        <f t="shared" si="1721"/>
        <v>0</v>
      </c>
      <c r="GW103" s="54"/>
      <c r="GX103" s="51">
        <f t="shared" si="1722"/>
        <v>1</v>
      </c>
      <c r="GY103" s="51">
        <f t="shared" si="1723"/>
        <v>0</v>
      </c>
      <c r="GZ103" s="51">
        <f t="shared" si="1724"/>
        <v>0</v>
      </c>
      <c r="HA103" s="54"/>
      <c r="HB103" s="51">
        <f t="shared" si="1725"/>
        <v>1</v>
      </c>
      <c r="HC103" s="51">
        <f t="shared" si="1726"/>
        <v>0</v>
      </c>
      <c r="HD103" s="51">
        <f t="shared" si="1727"/>
        <v>0</v>
      </c>
      <c r="HE103" s="54"/>
      <c r="HF103" s="51">
        <f t="shared" si="1728"/>
        <v>1</v>
      </c>
      <c r="HG103" s="51">
        <f t="shared" si="1729"/>
        <v>0</v>
      </c>
      <c r="HH103" s="51">
        <f t="shared" si="1730"/>
        <v>0</v>
      </c>
      <c r="HI103" s="54"/>
      <c r="HJ103" s="51">
        <f t="shared" si="1731"/>
        <v>1</v>
      </c>
      <c r="HK103" s="51">
        <f t="shared" si="1732"/>
        <v>0</v>
      </c>
      <c r="HL103" s="51">
        <f t="shared" si="1733"/>
        <v>0</v>
      </c>
      <c r="HM103" s="54"/>
      <c r="HN103" s="51">
        <f t="shared" si="1734"/>
        <v>1</v>
      </c>
      <c r="HO103" s="51">
        <f t="shared" si="1735"/>
        <v>0</v>
      </c>
      <c r="HP103" s="51">
        <f t="shared" si="1736"/>
        <v>0</v>
      </c>
      <c r="HQ103" s="54"/>
      <c r="HR103" s="51">
        <f t="shared" si="1737"/>
        <v>1</v>
      </c>
      <c r="HS103" s="51">
        <f t="shared" si="1738"/>
        <v>0</v>
      </c>
      <c r="HT103" s="51">
        <f t="shared" si="1739"/>
        <v>0</v>
      </c>
      <c r="HU103" s="54"/>
      <c r="HV103" s="51">
        <f t="shared" si="1740"/>
        <v>1</v>
      </c>
      <c r="HW103" s="51">
        <f t="shared" si="1741"/>
        <v>0</v>
      </c>
      <c r="HX103" s="51">
        <f t="shared" si="1742"/>
        <v>0</v>
      </c>
      <c r="HY103" s="54"/>
      <c r="HZ103" s="51">
        <f t="shared" si="1743"/>
        <v>1</v>
      </c>
      <c r="IA103" s="51">
        <f t="shared" si="1744"/>
        <v>0</v>
      </c>
      <c r="IB103" s="51">
        <f t="shared" si="1745"/>
        <v>0</v>
      </c>
      <c r="IC103" s="54"/>
      <c r="ID103" s="51">
        <f t="shared" si="1746"/>
        <v>1</v>
      </c>
      <c r="IE103" s="51">
        <f t="shared" si="1747"/>
        <v>0</v>
      </c>
      <c r="IF103" s="51">
        <f t="shared" si="1748"/>
        <v>0</v>
      </c>
      <c r="IG103" s="54"/>
      <c r="IH103" s="51">
        <f t="shared" si="1749"/>
        <v>1</v>
      </c>
      <c r="II103" s="51">
        <f t="shared" si="1750"/>
        <v>0</v>
      </c>
      <c r="IJ103" s="51">
        <f t="shared" si="1751"/>
        <v>0</v>
      </c>
      <c r="IL103" s="51">
        <f t="shared" si="1591"/>
        <v>1</v>
      </c>
      <c r="IM103" s="51">
        <f t="shared" si="1592"/>
        <v>0</v>
      </c>
      <c r="IN103" s="51">
        <f t="shared" si="1752"/>
        <v>0</v>
      </c>
      <c r="IO103" s="54"/>
      <c r="IP103" s="51">
        <f t="shared" si="1753"/>
        <v>1</v>
      </c>
      <c r="IQ103" s="51">
        <f t="shared" si="1754"/>
        <v>0</v>
      </c>
      <c r="IR103" s="51">
        <f t="shared" si="1755"/>
        <v>0</v>
      </c>
      <c r="IS103" s="54"/>
      <c r="IT103" s="51">
        <f t="shared" si="1756"/>
        <v>1</v>
      </c>
      <c r="IU103" s="51">
        <f t="shared" si="1757"/>
        <v>0</v>
      </c>
      <c r="IV103" s="51">
        <f t="shared" si="1758"/>
        <v>0</v>
      </c>
      <c r="IW103" s="54"/>
      <c r="IX103" s="51">
        <f t="shared" si="1759"/>
        <v>1</v>
      </c>
      <c r="IY103" s="51">
        <f t="shared" si="1760"/>
        <v>0</v>
      </c>
      <c r="IZ103" s="51">
        <f t="shared" si="1761"/>
        <v>0</v>
      </c>
      <c r="JA103" s="54"/>
      <c r="JB103" s="51" t="e">
        <f t="shared" si="1762"/>
        <v>#REF!</v>
      </c>
      <c r="JC103" s="51">
        <f t="shared" si="1763"/>
        <v>0</v>
      </c>
      <c r="JD103" s="51">
        <f t="shared" si="1764"/>
        <v>0</v>
      </c>
      <c r="JE103" s="54"/>
      <c r="JF103" s="51" t="e">
        <f t="shared" si="1765"/>
        <v>#REF!</v>
      </c>
      <c r="JG103" s="51">
        <f t="shared" si="1766"/>
        <v>0</v>
      </c>
      <c r="JH103" s="51">
        <f t="shared" si="1767"/>
        <v>0</v>
      </c>
      <c r="JI103" s="54"/>
      <c r="JJ103" s="51" t="e">
        <f t="shared" si="1768"/>
        <v>#REF!</v>
      </c>
      <c r="JK103" s="51">
        <f t="shared" si="1769"/>
        <v>0</v>
      </c>
      <c r="JL103" s="51">
        <f t="shared" si="1770"/>
        <v>0</v>
      </c>
      <c r="JM103" s="54"/>
      <c r="JO103" s="80"/>
      <c r="JP103" s="80"/>
      <c r="JQ103" s="80">
        <f t="shared" si="1593"/>
        <v>0</v>
      </c>
      <c r="JS103" s="80"/>
      <c r="JT103" s="80"/>
      <c r="JU103" s="80">
        <f t="shared" si="1594"/>
        <v>0</v>
      </c>
      <c r="JW103" s="80"/>
      <c r="JX103" s="80"/>
      <c r="JY103" s="80">
        <f t="shared" si="1595"/>
        <v>0</v>
      </c>
      <c r="KA103" s="80"/>
      <c r="KB103" s="80"/>
      <c r="KC103" s="80">
        <f t="shared" si="1596"/>
        <v>0</v>
      </c>
      <c r="KE103" s="80"/>
      <c r="KF103" s="80"/>
      <c r="KG103" s="80">
        <f t="shared" si="1597"/>
        <v>0</v>
      </c>
      <c r="KI103" s="80"/>
      <c r="KJ103" s="80"/>
      <c r="KK103" s="80">
        <f t="shared" si="1598"/>
        <v>0</v>
      </c>
      <c r="KM103" s="80"/>
      <c r="KN103" s="80"/>
      <c r="KO103" s="80">
        <f t="shared" si="1599"/>
        <v>0</v>
      </c>
    </row>
    <row r="104" ht="18.75" customHeight="1" spans="2:301" x14ac:dyDescent="0.25">
      <c r="B104" s="5" t="str">
        <f>A.IIOPEX!C104</f>
        <v>8e</v>
      </c>
      <c r="C104" s="27"/>
      <c r="D104" s="29">
        <f>A.IIOPEX!E104</f>
        <v>0</v>
      </c>
      <c r="E104" s="30"/>
      <c r="F104" s="51">
        <v>1</v>
      </c>
      <c r="G104" s="51"/>
      <c r="H104" s="51">
        <f>A.IIOPEX!I104</f>
        <v>0</v>
      </c>
      <c r="I104" s="54"/>
      <c r="J104" s="51">
        <f t="shared" si="1579"/>
        <v>1</v>
      </c>
      <c r="K104" s="51"/>
      <c r="L104" s="51">
        <f t="shared" si="1600"/>
        <v>0</v>
      </c>
      <c r="M104" s="54"/>
      <c r="N104" s="51">
        <f t="shared" si="1580"/>
        <v>1</v>
      </c>
      <c r="O104" s="51">
        <v>0</v>
      </c>
      <c r="P104" s="51">
        <f t="shared" si="1601"/>
        <v>0</v>
      </c>
      <c r="Q104" s="54"/>
      <c r="R104" s="51">
        <f t="shared" si="1581"/>
        <v>1</v>
      </c>
      <c r="S104" s="51">
        <v>0</v>
      </c>
      <c r="T104" s="51">
        <f t="shared" si="1602"/>
        <v>0</v>
      </c>
      <c r="U104" s="54"/>
      <c r="V104" s="51">
        <f t="shared" si="1582"/>
        <v>1</v>
      </c>
      <c r="W104" s="51">
        <v>0</v>
      </c>
      <c r="X104" s="51">
        <f t="shared" si="1603"/>
        <v>0</v>
      </c>
      <c r="Y104" s="54"/>
      <c r="Z104" s="51">
        <f t="shared" si="1583"/>
        <v>1</v>
      </c>
      <c r="AA104" s="51">
        <v>0</v>
      </c>
      <c r="AB104" s="51">
        <f t="shared" si="1604"/>
        <v>0</v>
      </c>
      <c r="AC104" s="54"/>
      <c r="AD104" s="51">
        <f t="shared" si="1605"/>
        <v>1</v>
      </c>
      <c r="AE104" s="51">
        <v>0</v>
      </c>
      <c r="AF104" s="51">
        <f t="shared" si="1606"/>
        <v>0</v>
      </c>
      <c r="AG104" s="54"/>
      <c r="AH104" s="51">
        <f t="shared" si="1607"/>
        <v>1</v>
      </c>
      <c r="AI104" s="51"/>
      <c r="AJ104" s="51">
        <f t="shared" si="1608"/>
        <v>0</v>
      </c>
      <c r="AK104" s="54"/>
      <c r="AL104" s="51">
        <f t="shared" si="1609"/>
        <v>1</v>
      </c>
      <c r="AM104" s="51"/>
      <c r="AN104" s="51">
        <f t="shared" si="1610"/>
        <v>0</v>
      </c>
      <c r="AO104" s="54"/>
      <c r="AP104" s="51">
        <f t="shared" si="1611"/>
        <v>1</v>
      </c>
      <c r="AQ104" s="51"/>
      <c r="AR104" s="51">
        <f t="shared" si="1612"/>
        <v>0</v>
      </c>
      <c r="AS104" s="54"/>
      <c r="AT104" s="51">
        <f t="shared" si="1613"/>
        <v>1</v>
      </c>
      <c r="AU104" s="51"/>
      <c r="AV104" s="51">
        <f t="shared" si="1614"/>
        <v>0</v>
      </c>
      <c r="AW104" s="54"/>
      <c r="AX104" s="51">
        <f t="shared" si="1615"/>
        <v>1</v>
      </c>
      <c r="AY104" s="51"/>
      <c r="AZ104" s="51">
        <f t="shared" si="1616"/>
        <v>0</v>
      </c>
      <c r="BA104" s="54"/>
      <c r="BB104" s="51">
        <f t="shared" si="1584"/>
        <v>1</v>
      </c>
      <c r="BC104" s="51"/>
      <c r="BD104" s="51">
        <f t="shared" si="1617"/>
        <v>0</v>
      </c>
      <c r="BE104" s="54"/>
      <c r="BF104" s="51">
        <f t="shared" si="1618"/>
        <v>1</v>
      </c>
      <c r="BG104" s="51"/>
      <c r="BH104" s="51">
        <f t="shared" si="1619"/>
        <v>0</v>
      </c>
      <c r="BI104" s="54"/>
      <c r="BJ104" s="51">
        <f t="shared" si="1620"/>
        <v>1</v>
      </c>
      <c r="BK104" s="51">
        <f t="shared" si="1621"/>
        <v>0</v>
      </c>
      <c r="BL104" s="51">
        <f t="shared" si="1622"/>
        <v>0</v>
      </c>
      <c r="BM104" s="54"/>
      <c r="BN104" s="51">
        <f t="shared" si="1623"/>
        <v>1</v>
      </c>
      <c r="BO104" s="51">
        <f t="shared" si="1624"/>
        <v>0</v>
      </c>
      <c r="BP104" s="51">
        <f t="shared" si="1625"/>
        <v>0</v>
      </c>
      <c r="BQ104" s="54"/>
      <c r="BR104" s="51">
        <f t="shared" si="1626"/>
        <v>1</v>
      </c>
      <c r="BS104" s="51">
        <f t="shared" si="1627"/>
        <v>0</v>
      </c>
      <c r="BT104" s="51">
        <f t="shared" si="1628"/>
        <v>0</v>
      </c>
      <c r="BU104" s="54"/>
      <c r="BV104" s="51">
        <f t="shared" si="1629"/>
        <v>1</v>
      </c>
      <c r="BW104" s="51">
        <f t="shared" si="1630"/>
        <v>0</v>
      </c>
      <c r="BX104" s="51">
        <f t="shared" si="1631"/>
        <v>0</v>
      </c>
      <c r="BY104" s="54"/>
      <c r="BZ104" s="51">
        <f t="shared" si="1632"/>
        <v>1</v>
      </c>
      <c r="CA104" s="51">
        <f t="shared" si="1633"/>
        <v>0</v>
      </c>
      <c r="CB104" s="51">
        <f t="shared" si="1634"/>
        <v>0</v>
      </c>
      <c r="CC104" s="54"/>
      <c r="CD104" s="51">
        <f t="shared" si="1635"/>
        <v>1</v>
      </c>
      <c r="CE104" s="51">
        <f t="shared" si="1636"/>
        <v>0</v>
      </c>
      <c r="CF104" s="51">
        <f t="shared" si="1637"/>
        <v>0</v>
      </c>
      <c r="CG104" s="54"/>
      <c r="CH104" s="51">
        <f t="shared" si="1638"/>
        <v>1</v>
      </c>
      <c r="CI104" s="51">
        <f t="shared" si="1639"/>
        <v>0</v>
      </c>
      <c r="CJ104" s="51">
        <f t="shared" si="1640"/>
        <v>0</v>
      </c>
      <c r="CK104" s="54"/>
      <c r="CL104" s="51">
        <f t="shared" si="1641"/>
        <v>1</v>
      </c>
      <c r="CM104" s="51">
        <f t="shared" si="1642"/>
        <v>0</v>
      </c>
      <c r="CN104" s="51">
        <f t="shared" si="1643"/>
        <v>0</v>
      </c>
      <c r="CO104" s="54"/>
      <c r="CP104" s="51">
        <f t="shared" si="1644"/>
        <v>1</v>
      </c>
      <c r="CQ104" s="51">
        <f t="shared" si="1645"/>
        <v>0</v>
      </c>
      <c r="CR104" s="51">
        <f t="shared" si="1646"/>
        <v>0</v>
      </c>
      <c r="CS104" s="54"/>
      <c r="CT104" s="51">
        <f t="shared" si="1647"/>
        <v>1</v>
      </c>
      <c r="CU104" s="51">
        <f t="shared" si="1648"/>
        <v>0</v>
      </c>
      <c r="CV104" s="51">
        <f t="shared" si="1649"/>
        <v>0</v>
      </c>
      <c r="CW104" s="54"/>
      <c r="CX104" s="51">
        <f t="shared" si="1585"/>
        <v>1</v>
      </c>
      <c r="CY104" s="51">
        <f t="shared" si="1586"/>
        <v>0</v>
      </c>
      <c r="CZ104" s="51">
        <f t="shared" si="1650"/>
        <v>0</v>
      </c>
      <c r="DA104" s="54"/>
      <c r="DB104" s="51">
        <f t="shared" si="1651"/>
        <v>1</v>
      </c>
      <c r="DC104" s="51">
        <f t="shared" si="1652"/>
        <v>0</v>
      </c>
      <c r="DD104" s="51">
        <f t="shared" si="1653"/>
        <v>0</v>
      </c>
      <c r="DE104" s="54"/>
      <c r="DF104" s="51">
        <f t="shared" si="1654"/>
        <v>1</v>
      </c>
      <c r="DG104" s="51">
        <f t="shared" si="1655"/>
        <v>0</v>
      </c>
      <c r="DH104" s="51">
        <f t="shared" si="1656"/>
        <v>0</v>
      </c>
      <c r="DI104" s="54"/>
      <c r="DJ104" s="51">
        <f t="shared" si="1657"/>
        <v>1</v>
      </c>
      <c r="DK104" s="51">
        <f t="shared" si="1658"/>
        <v>0</v>
      </c>
      <c r="DL104" s="51">
        <f t="shared" si="1659"/>
        <v>0</v>
      </c>
      <c r="DM104" s="54"/>
      <c r="DN104" s="51">
        <f t="shared" si="1660"/>
        <v>1</v>
      </c>
      <c r="DO104" s="51">
        <f t="shared" si="1661"/>
        <v>0</v>
      </c>
      <c r="DP104" s="51">
        <f t="shared" si="1662"/>
        <v>0</v>
      </c>
      <c r="DQ104" s="54"/>
      <c r="DR104" s="51">
        <f t="shared" si="1663"/>
        <v>1</v>
      </c>
      <c r="DS104" s="51">
        <f t="shared" si="1664"/>
        <v>0</v>
      </c>
      <c r="DT104" s="51">
        <f t="shared" si="1665"/>
        <v>0</v>
      </c>
      <c r="DU104" s="54"/>
      <c r="DV104" s="51">
        <f t="shared" si="1666"/>
        <v>1</v>
      </c>
      <c r="DW104" s="51">
        <f t="shared" si="1667"/>
        <v>0</v>
      </c>
      <c r="DX104" s="51">
        <f t="shared" si="1668"/>
        <v>0</v>
      </c>
      <c r="DY104" s="54"/>
      <c r="DZ104" s="51">
        <f t="shared" si="1669"/>
        <v>1</v>
      </c>
      <c r="EA104" s="51">
        <f t="shared" si="1670"/>
        <v>0</v>
      </c>
      <c r="EB104" s="51">
        <f t="shared" si="1671"/>
        <v>0</v>
      </c>
      <c r="EC104" s="54"/>
      <c r="ED104" s="51">
        <f t="shared" si="1672"/>
        <v>1</v>
      </c>
      <c r="EE104" s="51">
        <f t="shared" si="1673"/>
        <v>0</v>
      </c>
      <c r="EF104" s="51">
        <f t="shared" si="1674"/>
        <v>0</v>
      </c>
      <c r="EG104" s="54"/>
      <c r="EH104" s="51">
        <f t="shared" si="1675"/>
        <v>1</v>
      </c>
      <c r="EI104" s="51">
        <f t="shared" si="1676"/>
        <v>0</v>
      </c>
      <c r="EJ104" s="51">
        <f t="shared" si="1677"/>
        <v>0</v>
      </c>
      <c r="EK104" s="54"/>
      <c r="EL104" s="51">
        <f t="shared" si="1678"/>
        <v>1</v>
      </c>
      <c r="EM104" s="51">
        <f t="shared" si="1679"/>
        <v>0</v>
      </c>
      <c r="EN104" s="51">
        <f t="shared" si="1680"/>
        <v>0</v>
      </c>
      <c r="EO104" s="54"/>
      <c r="EP104" s="51">
        <f t="shared" si="1681"/>
        <v>1</v>
      </c>
      <c r="EQ104" s="51">
        <f t="shared" si="1682"/>
        <v>0</v>
      </c>
      <c r="ER104" s="51">
        <f t="shared" si="1683"/>
        <v>0</v>
      </c>
      <c r="ES104" s="54"/>
      <c r="ET104" s="51">
        <f t="shared" si="1587"/>
        <v>1</v>
      </c>
      <c r="EU104" s="51">
        <f t="shared" si="1588"/>
        <v>0</v>
      </c>
      <c r="EV104" s="51">
        <f t="shared" si="1684"/>
        <v>0</v>
      </c>
      <c r="EW104" s="54"/>
      <c r="EX104" s="51">
        <f t="shared" si="1685"/>
        <v>1</v>
      </c>
      <c r="EY104" s="51">
        <f t="shared" si="1686"/>
        <v>0</v>
      </c>
      <c r="EZ104" s="51">
        <f t="shared" si="1687"/>
        <v>0</v>
      </c>
      <c r="FA104" s="54"/>
      <c r="FB104" s="51">
        <f t="shared" si="1688"/>
        <v>1</v>
      </c>
      <c r="FC104" s="51">
        <f t="shared" si="1689"/>
        <v>0</v>
      </c>
      <c r="FD104" s="51">
        <f t="shared" si="1690"/>
        <v>0</v>
      </c>
      <c r="FE104" s="54"/>
      <c r="FF104" s="51">
        <f t="shared" si="1691"/>
        <v>1</v>
      </c>
      <c r="FG104" s="51">
        <f t="shared" si="1692"/>
        <v>0</v>
      </c>
      <c r="FH104" s="51">
        <f t="shared" si="1693"/>
        <v>0</v>
      </c>
      <c r="FI104" s="54"/>
      <c r="FJ104" s="51">
        <f t="shared" si="1694"/>
        <v>1</v>
      </c>
      <c r="FK104" s="51">
        <f t="shared" si="1695"/>
        <v>0</v>
      </c>
      <c r="FL104" s="51">
        <f t="shared" si="1696"/>
        <v>0</v>
      </c>
      <c r="FM104" s="54"/>
      <c r="FN104" s="51">
        <f t="shared" si="1697"/>
        <v>1</v>
      </c>
      <c r="FO104" s="51">
        <f t="shared" si="1698"/>
        <v>0</v>
      </c>
      <c r="FP104" s="51">
        <f t="shared" si="1699"/>
        <v>0</v>
      </c>
      <c r="FQ104" s="54"/>
      <c r="FR104" s="51">
        <f t="shared" si="1700"/>
        <v>1</v>
      </c>
      <c r="FS104" s="51">
        <f t="shared" si="1701"/>
        <v>0</v>
      </c>
      <c r="FT104" s="51">
        <f t="shared" si="1702"/>
        <v>0</v>
      </c>
      <c r="FU104" s="54"/>
      <c r="FV104" s="51">
        <f t="shared" si="1703"/>
        <v>1</v>
      </c>
      <c r="FW104" s="51">
        <f t="shared" si="1704"/>
        <v>0</v>
      </c>
      <c r="FX104" s="51">
        <f t="shared" si="1705"/>
        <v>0</v>
      </c>
      <c r="FY104" s="54"/>
      <c r="FZ104" s="51">
        <f t="shared" si="1706"/>
        <v>1</v>
      </c>
      <c r="GA104" s="51">
        <f t="shared" si="1707"/>
        <v>0</v>
      </c>
      <c r="GB104" s="51">
        <f t="shared" si="1708"/>
        <v>0</v>
      </c>
      <c r="GC104" s="54"/>
      <c r="GD104" s="51">
        <f t="shared" si="1709"/>
        <v>1</v>
      </c>
      <c r="GE104" s="51">
        <f t="shared" si="1710"/>
        <v>0</v>
      </c>
      <c r="GF104" s="51">
        <f t="shared" si="1711"/>
        <v>0</v>
      </c>
      <c r="GG104" s="54"/>
      <c r="GH104" s="51">
        <f t="shared" si="1712"/>
        <v>1</v>
      </c>
      <c r="GI104" s="51">
        <f t="shared" si="1713"/>
        <v>0</v>
      </c>
      <c r="GJ104" s="51">
        <f t="shared" si="1714"/>
        <v>0</v>
      </c>
      <c r="GK104" s="54"/>
      <c r="GL104" s="51">
        <f t="shared" si="1715"/>
        <v>1</v>
      </c>
      <c r="GM104" s="51">
        <f t="shared" si="1716"/>
        <v>0</v>
      </c>
      <c r="GN104" s="51">
        <f t="shared" si="1717"/>
        <v>0</v>
      </c>
      <c r="GP104" s="51">
        <f t="shared" si="1589"/>
        <v>1</v>
      </c>
      <c r="GQ104" s="51">
        <f t="shared" si="1590"/>
        <v>0</v>
      </c>
      <c r="GR104" s="51">
        <f t="shared" si="1718"/>
        <v>0</v>
      </c>
      <c r="GS104" s="54"/>
      <c r="GT104" s="51">
        <f t="shared" si="1719"/>
        <v>1</v>
      </c>
      <c r="GU104" s="51">
        <f t="shared" si="1720"/>
        <v>0</v>
      </c>
      <c r="GV104" s="51">
        <f t="shared" si="1721"/>
        <v>0</v>
      </c>
      <c r="GW104" s="54"/>
      <c r="GX104" s="51">
        <f t="shared" si="1722"/>
        <v>1</v>
      </c>
      <c r="GY104" s="51">
        <f t="shared" si="1723"/>
        <v>0</v>
      </c>
      <c r="GZ104" s="51">
        <f t="shared" si="1724"/>
        <v>0</v>
      </c>
      <c r="HA104" s="54"/>
      <c r="HB104" s="51">
        <f t="shared" si="1725"/>
        <v>1</v>
      </c>
      <c r="HC104" s="51">
        <f t="shared" si="1726"/>
        <v>0</v>
      </c>
      <c r="HD104" s="51">
        <f t="shared" si="1727"/>
        <v>0</v>
      </c>
      <c r="HE104" s="54"/>
      <c r="HF104" s="51">
        <f t="shared" si="1728"/>
        <v>1</v>
      </c>
      <c r="HG104" s="51">
        <f t="shared" si="1729"/>
        <v>0</v>
      </c>
      <c r="HH104" s="51">
        <f t="shared" si="1730"/>
        <v>0</v>
      </c>
      <c r="HI104" s="54"/>
      <c r="HJ104" s="51">
        <f t="shared" si="1731"/>
        <v>1</v>
      </c>
      <c r="HK104" s="51">
        <f t="shared" si="1732"/>
        <v>0</v>
      </c>
      <c r="HL104" s="51">
        <f t="shared" si="1733"/>
        <v>0</v>
      </c>
      <c r="HM104" s="54"/>
      <c r="HN104" s="51">
        <f t="shared" si="1734"/>
        <v>1</v>
      </c>
      <c r="HO104" s="51">
        <f t="shared" si="1735"/>
        <v>0</v>
      </c>
      <c r="HP104" s="51">
        <f t="shared" si="1736"/>
        <v>0</v>
      </c>
      <c r="HQ104" s="54"/>
      <c r="HR104" s="51">
        <f t="shared" si="1737"/>
        <v>1</v>
      </c>
      <c r="HS104" s="51">
        <f t="shared" si="1738"/>
        <v>0</v>
      </c>
      <c r="HT104" s="51">
        <f t="shared" si="1739"/>
        <v>0</v>
      </c>
      <c r="HU104" s="54"/>
      <c r="HV104" s="51">
        <f t="shared" si="1740"/>
        <v>1</v>
      </c>
      <c r="HW104" s="51">
        <f t="shared" si="1741"/>
        <v>0</v>
      </c>
      <c r="HX104" s="51">
        <f t="shared" si="1742"/>
        <v>0</v>
      </c>
      <c r="HY104" s="54"/>
      <c r="HZ104" s="51">
        <f t="shared" si="1743"/>
        <v>1</v>
      </c>
      <c r="IA104" s="51">
        <f t="shared" si="1744"/>
        <v>0</v>
      </c>
      <c r="IB104" s="51">
        <f t="shared" si="1745"/>
        <v>0</v>
      </c>
      <c r="IC104" s="54"/>
      <c r="ID104" s="51">
        <f t="shared" si="1746"/>
        <v>1</v>
      </c>
      <c r="IE104" s="51">
        <f t="shared" si="1747"/>
        <v>0</v>
      </c>
      <c r="IF104" s="51">
        <f t="shared" si="1748"/>
        <v>0</v>
      </c>
      <c r="IG104" s="54"/>
      <c r="IH104" s="51">
        <f t="shared" si="1749"/>
        <v>1</v>
      </c>
      <c r="II104" s="51">
        <f t="shared" si="1750"/>
        <v>0</v>
      </c>
      <c r="IJ104" s="51">
        <f t="shared" si="1751"/>
        <v>0</v>
      </c>
      <c r="IL104" s="51">
        <f t="shared" si="1591"/>
        <v>1</v>
      </c>
      <c r="IM104" s="51">
        <f t="shared" si="1592"/>
        <v>0</v>
      </c>
      <c r="IN104" s="51">
        <f t="shared" si="1752"/>
        <v>0</v>
      </c>
      <c r="IO104" s="54"/>
      <c r="IP104" s="51">
        <f t="shared" si="1753"/>
        <v>1</v>
      </c>
      <c r="IQ104" s="51">
        <f t="shared" si="1754"/>
        <v>0</v>
      </c>
      <c r="IR104" s="51">
        <f t="shared" si="1755"/>
        <v>0</v>
      </c>
      <c r="IS104" s="54"/>
      <c r="IT104" s="51">
        <f t="shared" si="1756"/>
        <v>1</v>
      </c>
      <c r="IU104" s="51">
        <f t="shared" si="1757"/>
        <v>0</v>
      </c>
      <c r="IV104" s="51">
        <f t="shared" si="1758"/>
        <v>0</v>
      </c>
      <c r="IW104" s="54"/>
      <c r="IX104" s="51">
        <f t="shared" si="1759"/>
        <v>1</v>
      </c>
      <c r="IY104" s="51">
        <f t="shared" si="1760"/>
        <v>0</v>
      </c>
      <c r="IZ104" s="51">
        <f t="shared" si="1761"/>
        <v>0</v>
      </c>
      <c r="JA104" s="54"/>
      <c r="JB104" s="51" t="e">
        <f t="shared" si="1762"/>
        <v>#REF!</v>
      </c>
      <c r="JC104" s="51">
        <f t="shared" si="1763"/>
        <v>0</v>
      </c>
      <c r="JD104" s="51">
        <f t="shared" si="1764"/>
        <v>0</v>
      </c>
      <c r="JE104" s="54"/>
      <c r="JF104" s="51" t="e">
        <f t="shared" si="1765"/>
        <v>#REF!</v>
      </c>
      <c r="JG104" s="51">
        <f t="shared" si="1766"/>
        <v>0</v>
      </c>
      <c r="JH104" s="51">
        <f t="shared" si="1767"/>
        <v>0</v>
      </c>
      <c r="JI104" s="54"/>
      <c r="JJ104" s="51" t="e">
        <f t="shared" si="1768"/>
        <v>#REF!</v>
      </c>
      <c r="JK104" s="51">
        <f t="shared" si="1769"/>
        <v>0</v>
      </c>
      <c r="JL104" s="51">
        <f t="shared" si="1770"/>
        <v>0</v>
      </c>
      <c r="JM104" s="54"/>
      <c r="JO104" s="80"/>
      <c r="JP104" s="80"/>
      <c r="JQ104" s="80">
        <f t="shared" si="1593"/>
        <v>0</v>
      </c>
      <c r="JS104" s="80"/>
      <c r="JT104" s="80"/>
      <c r="JU104" s="80">
        <f t="shared" si="1594"/>
        <v>0</v>
      </c>
      <c r="JW104" s="80"/>
      <c r="JX104" s="80"/>
      <c r="JY104" s="80">
        <f t="shared" si="1595"/>
        <v>0</v>
      </c>
      <c r="KA104" s="80"/>
      <c r="KB104" s="80"/>
      <c r="KC104" s="80">
        <f t="shared" si="1596"/>
        <v>0</v>
      </c>
      <c r="KE104" s="80"/>
      <c r="KF104" s="80"/>
      <c r="KG104" s="80">
        <f t="shared" si="1597"/>
        <v>0</v>
      </c>
      <c r="KI104" s="80"/>
      <c r="KJ104" s="80"/>
      <c r="KK104" s="80">
        <f t="shared" si="1598"/>
        <v>0</v>
      </c>
      <c r="KM104" s="80"/>
      <c r="KN104" s="80"/>
      <c r="KO104" s="80">
        <f t="shared" si="1599"/>
        <v>0</v>
      </c>
    </row>
    <row r="105" ht="18.75" customHeight="1" spans="2:301" x14ac:dyDescent="0.25">
      <c r="B105" s="5" t="str">
        <f>A.IIOPEX!C105</f>
        <v>8f</v>
      </c>
      <c r="C105" s="27"/>
      <c r="D105" s="29">
        <f>A.IIOPEX!E105</f>
        <v>0</v>
      </c>
      <c r="E105" s="30"/>
      <c r="F105" s="51">
        <v>1</v>
      </c>
      <c r="G105" s="51"/>
      <c r="H105" s="51">
        <f>A.IIOPEX!I105</f>
        <v>0</v>
      </c>
      <c r="I105" s="54"/>
      <c r="J105" s="51">
        <f t="shared" si="1579"/>
        <v>1</v>
      </c>
      <c r="K105" s="51"/>
      <c r="L105" s="51">
        <f t="shared" si="1600"/>
        <v>0</v>
      </c>
      <c r="M105" s="54"/>
      <c r="N105" s="51">
        <f t="shared" si="1580"/>
        <v>1</v>
      </c>
      <c r="O105" s="51">
        <v>0</v>
      </c>
      <c r="P105" s="51">
        <f t="shared" si="1601"/>
        <v>0</v>
      </c>
      <c r="Q105" s="54"/>
      <c r="R105" s="51">
        <f t="shared" si="1581"/>
        <v>1</v>
      </c>
      <c r="S105" s="51">
        <v>0</v>
      </c>
      <c r="T105" s="51">
        <f t="shared" si="1602"/>
        <v>0</v>
      </c>
      <c r="U105" s="54"/>
      <c r="V105" s="51">
        <f t="shared" si="1582"/>
        <v>1</v>
      </c>
      <c r="W105" s="51">
        <v>0</v>
      </c>
      <c r="X105" s="51">
        <f t="shared" si="1603"/>
        <v>0</v>
      </c>
      <c r="Y105" s="54"/>
      <c r="Z105" s="51">
        <f t="shared" si="1583"/>
        <v>1</v>
      </c>
      <c r="AA105" s="51">
        <v>0</v>
      </c>
      <c r="AB105" s="51">
        <f t="shared" si="1604"/>
        <v>0</v>
      </c>
      <c r="AC105" s="54"/>
      <c r="AD105" s="51">
        <f t="shared" ref="AD105:AD106" si="1771">Z105*$AD$98</f>
        <v>1</v>
      </c>
      <c r="AE105" s="51">
        <v>0</v>
      </c>
      <c r="AF105" s="51">
        <f t="shared" si="1606"/>
        <v>0</v>
      </c>
      <c r="AG105" s="54"/>
      <c r="AH105" s="51">
        <f t="shared" ref="AH105:AH106" si="1772">AD105*$AH$98</f>
        <v>1</v>
      </c>
      <c r="AI105" s="51"/>
      <c r="AJ105" s="51">
        <f t="shared" si="1608"/>
        <v>0</v>
      </c>
      <c r="AK105" s="54"/>
      <c r="AL105" s="51">
        <f t="shared" ref="AL105:AL106" si="1773">AH105*$AL$98</f>
        <v>1</v>
      </c>
      <c r="AM105" s="51"/>
      <c r="AN105" s="51">
        <f t="shared" si="1610"/>
        <v>0</v>
      </c>
      <c r="AO105" s="54"/>
      <c r="AP105" s="51">
        <f t="shared" ref="AP105:AP106" si="1774">AL105*$AP$98</f>
        <v>1</v>
      </c>
      <c r="AQ105" s="51"/>
      <c r="AR105" s="51">
        <f t="shared" si="1612"/>
        <v>0</v>
      </c>
      <c r="AS105" s="54"/>
      <c r="AT105" s="51">
        <f t="shared" ref="AT105:AT106" si="1775">AP105*$AT$98</f>
        <v>1</v>
      </c>
      <c r="AU105" s="51"/>
      <c r="AV105" s="51">
        <f t="shared" si="1614"/>
        <v>0</v>
      </c>
      <c r="AW105" s="54"/>
      <c r="AX105" s="51">
        <f t="shared" ref="AX105:AX106" si="1776">AT105*$AX$98</f>
        <v>1</v>
      </c>
      <c r="AY105" s="51"/>
      <c r="AZ105" s="51">
        <f t="shared" si="1616"/>
        <v>0</v>
      </c>
      <c r="BA105" s="54"/>
      <c r="BB105" s="51">
        <f t="shared" si="1584"/>
        <v>1</v>
      </c>
      <c r="BC105" s="51"/>
      <c r="BD105" s="51">
        <f t="shared" si="1617"/>
        <v>0</v>
      </c>
      <c r="BE105" s="54"/>
      <c r="BF105" s="51">
        <f t="shared" ref="BF105:BF106" si="1777">BB105*$BF$98</f>
        <v>1</v>
      </c>
      <c r="BG105" s="51"/>
      <c r="BH105" s="51">
        <f t="shared" si="1619"/>
        <v>0</v>
      </c>
      <c r="BI105" s="54"/>
      <c r="BJ105" s="51">
        <f t="shared" ref="BJ105:BJ106" si="1778">BF105*$BJ$98</f>
        <v>1</v>
      </c>
      <c r="BK105" s="51">
        <f t="shared" ref="BK105:BK106" si="1779">BG105*$BK$98</f>
        <v>0</v>
      </c>
      <c r="BL105" s="51">
        <f t="shared" si="1622"/>
        <v>0</v>
      </c>
      <c r="BM105" s="54"/>
      <c r="BN105" s="51">
        <f t="shared" ref="BN105:BN106" si="1780">BJ105*$BN$98</f>
        <v>1</v>
      </c>
      <c r="BO105" s="51">
        <f t="shared" ref="BO105:BO106" si="1781">BK105*$BO$98</f>
        <v>0</v>
      </c>
      <c r="BP105" s="51">
        <f t="shared" si="1625"/>
        <v>0</v>
      </c>
      <c r="BQ105" s="54"/>
      <c r="BR105" s="51">
        <f t="shared" ref="BR105:BR106" si="1782">BN105*$BR$98</f>
        <v>1</v>
      </c>
      <c r="BS105" s="51">
        <f t="shared" ref="BS105:BS106" si="1783">BO105*$BS$98</f>
        <v>0</v>
      </c>
      <c r="BT105" s="51">
        <f t="shared" si="1628"/>
        <v>0</v>
      </c>
      <c r="BU105" s="54"/>
      <c r="BV105" s="51">
        <f t="shared" ref="BV105:BV106" si="1784">BR105*$BV$98</f>
        <v>1</v>
      </c>
      <c r="BW105" s="51">
        <f t="shared" ref="BW105:BW106" si="1785">BS105*$BW$98</f>
        <v>0</v>
      </c>
      <c r="BX105" s="51">
        <f t="shared" si="1631"/>
        <v>0</v>
      </c>
      <c r="BY105" s="54"/>
      <c r="BZ105" s="51">
        <f t="shared" ref="BZ105:BZ106" si="1786">BV105*$BZ$98</f>
        <v>1</v>
      </c>
      <c r="CA105" s="51">
        <f t="shared" ref="CA105:CA106" si="1787">BW105*$CA$98</f>
        <v>0</v>
      </c>
      <c r="CB105" s="51">
        <f t="shared" si="1634"/>
        <v>0</v>
      </c>
      <c r="CC105" s="54"/>
      <c r="CD105" s="51">
        <f t="shared" ref="CD105:CD106" si="1788">BZ105*$CD$98</f>
        <v>1</v>
      </c>
      <c r="CE105" s="51">
        <f t="shared" ref="CE105:CE106" si="1789">CA105*$CE$98</f>
        <v>0</v>
      </c>
      <c r="CF105" s="51">
        <f t="shared" si="1637"/>
        <v>0</v>
      </c>
      <c r="CG105" s="54"/>
      <c r="CH105" s="51">
        <f t="shared" ref="CH105:CH106" si="1790">CD105*$CH$98</f>
        <v>1</v>
      </c>
      <c r="CI105" s="51">
        <f t="shared" ref="CI105:CI106" si="1791">CE105*$CI$98</f>
        <v>0</v>
      </c>
      <c r="CJ105" s="51">
        <f t="shared" si="1640"/>
        <v>0</v>
      </c>
      <c r="CK105" s="54"/>
      <c r="CL105" s="51">
        <f t="shared" ref="CL105:CL106" si="1792">CH105*$CL$98</f>
        <v>1</v>
      </c>
      <c r="CM105" s="51">
        <f t="shared" ref="CM105:CM106" si="1793">CI105*$CM$98</f>
        <v>0</v>
      </c>
      <c r="CN105" s="51">
        <f t="shared" si="1643"/>
        <v>0</v>
      </c>
      <c r="CO105" s="54"/>
      <c r="CP105" s="51">
        <f t="shared" ref="CP105:CP106" si="1794">CL105*$CP$98</f>
        <v>1</v>
      </c>
      <c r="CQ105" s="51">
        <f t="shared" ref="CQ105:CQ106" si="1795">CM105*$CQ$98</f>
        <v>0</v>
      </c>
      <c r="CR105" s="51">
        <f t="shared" si="1646"/>
        <v>0</v>
      </c>
      <c r="CS105" s="54"/>
      <c r="CT105" s="51">
        <f t="shared" ref="CT105:CT106" si="1796">CP105*$CT$98</f>
        <v>1</v>
      </c>
      <c r="CU105" s="51">
        <f t="shared" ref="CU105:CU106" si="1797">CQ105*$CU$98</f>
        <v>0</v>
      </c>
      <c r="CV105" s="51">
        <f t="shared" si="1649"/>
        <v>0</v>
      </c>
      <c r="CW105" s="54"/>
      <c r="CX105" s="51">
        <f t="shared" si="1585"/>
        <v>1</v>
      </c>
      <c r="CY105" s="51">
        <f t="shared" si="1586"/>
        <v>0</v>
      </c>
      <c r="CZ105" s="51">
        <f t="shared" si="1650"/>
        <v>0</v>
      </c>
      <c r="DA105" s="54"/>
      <c r="DB105" s="51">
        <f t="shared" ref="DB105:DB106" si="1798">CX105*$DB$98</f>
        <v>1</v>
      </c>
      <c r="DC105" s="51">
        <f t="shared" ref="DC105:DC106" si="1799">CY105*$DC$98</f>
        <v>0</v>
      </c>
      <c r="DD105" s="51">
        <f t="shared" si="1653"/>
        <v>0</v>
      </c>
      <c r="DE105" s="54"/>
      <c r="DF105" s="51">
        <f t="shared" ref="DF105:DF106" si="1800">DB105*$DF$98</f>
        <v>1</v>
      </c>
      <c r="DG105" s="51">
        <f t="shared" ref="DG105:DG106" si="1801">DC105*$DG$98</f>
        <v>0</v>
      </c>
      <c r="DH105" s="51">
        <f t="shared" si="1656"/>
        <v>0</v>
      </c>
      <c r="DI105" s="54"/>
      <c r="DJ105" s="51">
        <f t="shared" ref="DJ105:DJ106" si="1802">DF105*$DJ$98</f>
        <v>1</v>
      </c>
      <c r="DK105" s="51">
        <f t="shared" ref="DK105:DK106" si="1803">DG105*$DK$98</f>
        <v>0</v>
      </c>
      <c r="DL105" s="51">
        <f t="shared" si="1659"/>
        <v>0</v>
      </c>
      <c r="DM105" s="54"/>
      <c r="DN105" s="51">
        <f t="shared" ref="DN105:DN106" si="1804">DJ105*$DN$98</f>
        <v>1</v>
      </c>
      <c r="DO105" s="51">
        <f t="shared" ref="DO105:DO106" si="1805">DK105*$DO$98</f>
        <v>0</v>
      </c>
      <c r="DP105" s="51">
        <f t="shared" si="1662"/>
        <v>0</v>
      </c>
      <c r="DQ105" s="54"/>
      <c r="DR105" s="51">
        <f t="shared" ref="DR105:DR106" si="1806">DN105*$DR$98</f>
        <v>1</v>
      </c>
      <c r="DS105" s="51">
        <f t="shared" ref="DS105:DS106" si="1807">DO105*$DS$98</f>
        <v>0</v>
      </c>
      <c r="DT105" s="51">
        <f t="shared" si="1665"/>
        <v>0</v>
      </c>
      <c r="DU105" s="54"/>
      <c r="DV105" s="51">
        <f t="shared" ref="DV105:DV106" si="1808">DR105*$DV$98</f>
        <v>1</v>
      </c>
      <c r="DW105" s="51">
        <f t="shared" ref="DW105:DW106" si="1809">DS105*$DW$98</f>
        <v>0</v>
      </c>
      <c r="DX105" s="51">
        <f t="shared" si="1668"/>
        <v>0</v>
      </c>
      <c r="DY105" s="54"/>
      <c r="DZ105" s="51">
        <f t="shared" ref="DZ105:DZ106" si="1810">DV105*$DZ$98</f>
        <v>1</v>
      </c>
      <c r="EA105" s="51">
        <f t="shared" ref="EA105:EA106" si="1811">DW105*$EA$98</f>
        <v>0</v>
      </c>
      <c r="EB105" s="51">
        <f t="shared" si="1671"/>
        <v>0</v>
      </c>
      <c r="EC105" s="54"/>
      <c r="ED105" s="51">
        <f t="shared" ref="ED105:ED106" si="1812">DZ105*$ED$98</f>
        <v>1</v>
      </c>
      <c r="EE105" s="51">
        <f t="shared" ref="EE105:EE106" si="1813">EA105*$EE$98</f>
        <v>0</v>
      </c>
      <c r="EF105" s="51">
        <f t="shared" si="1674"/>
        <v>0</v>
      </c>
      <c r="EG105" s="54"/>
      <c r="EH105" s="51">
        <f t="shared" ref="EH105:EH106" si="1814">ED105*$EH$98</f>
        <v>1</v>
      </c>
      <c r="EI105" s="51">
        <f t="shared" ref="EI105:EI106" si="1815">EE105*$EI$98</f>
        <v>0</v>
      </c>
      <c r="EJ105" s="51">
        <f t="shared" si="1677"/>
        <v>0</v>
      </c>
      <c r="EK105" s="54"/>
      <c r="EL105" s="51">
        <f t="shared" ref="EL105:EL106" si="1816">EH105*$EL$98</f>
        <v>1</v>
      </c>
      <c r="EM105" s="51">
        <f t="shared" ref="EM105:EM106" si="1817">EI105*$EM$98</f>
        <v>0</v>
      </c>
      <c r="EN105" s="51">
        <f t="shared" si="1680"/>
        <v>0</v>
      </c>
      <c r="EO105" s="54"/>
      <c r="EP105" s="51">
        <f t="shared" ref="EP105:EP106" si="1818">EL105*$EP$98</f>
        <v>1</v>
      </c>
      <c r="EQ105" s="51">
        <f t="shared" ref="EQ105:EQ106" si="1819">EM105*$EQ$98</f>
        <v>0</v>
      </c>
      <c r="ER105" s="51">
        <f t="shared" si="1683"/>
        <v>0</v>
      </c>
      <c r="ES105" s="54"/>
      <c r="ET105" s="51">
        <f t="shared" si="1587"/>
        <v>1</v>
      </c>
      <c r="EU105" s="51">
        <f t="shared" si="1588"/>
        <v>0</v>
      </c>
      <c r="EV105" s="51">
        <f t="shared" si="1684"/>
        <v>0</v>
      </c>
      <c r="EW105" s="54"/>
      <c r="EX105" s="51">
        <f t="shared" ref="EX105:EX106" si="1820">ET105*$EX$98</f>
        <v>1</v>
      </c>
      <c r="EY105" s="51">
        <f t="shared" ref="EY105:EY106" si="1821">EU105*$EY$98</f>
        <v>0</v>
      </c>
      <c r="EZ105" s="51">
        <f t="shared" si="1687"/>
        <v>0</v>
      </c>
      <c r="FA105" s="54"/>
      <c r="FB105" s="51">
        <f t="shared" ref="FB105:FB106" si="1822">EX105*$FB$98</f>
        <v>1</v>
      </c>
      <c r="FC105" s="51">
        <f t="shared" ref="FC105:FC106" si="1823">EY105*$FC$98</f>
        <v>0</v>
      </c>
      <c r="FD105" s="51">
        <f t="shared" si="1690"/>
        <v>0</v>
      </c>
      <c r="FE105" s="54"/>
      <c r="FF105" s="51">
        <f t="shared" ref="FF105:FF106" si="1824">FB105*$FF$98</f>
        <v>1</v>
      </c>
      <c r="FG105" s="51">
        <f t="shared" ref="FG105:FG106" si="1825">FC105*$FG$98</f>
        <v>0</v>
      </c>
      <c r="FH105" s="51">
        <f t="shared" si="1693"/>
        <v>0</v>
      </c>
      <c r="FI105" s="54"/>
      <c r="FJ105" s="51">
        <f t="shared" ref="FJ105:FJ106" si="1826">FF105*$FJ$98</f>
        <v>1</v>
      </c>
      <c r="FK105" s="51">
        <f t="shared" ref="FK105:FK106" si="1827">FG105*$FK$98</f>
        <v>0</v>
      </c>
      <c r="FL105" s="51">
        <f t="shared" si="1696"/>
        <v>0</v>
      </c>
      <c r="FM105" s="54"/>
      <c r="FN105" s="51">
        <f t="shared" ref="FN105:FN106" si="1828">FJ105*$FN$98</f>
        <v>1</v>
      </c>
      <c r="FO105" s="51">
        <f t="shared" ref="FO105:FO106" si="1829">FK105*$FO$98</f>
        <v>0</v>
      </c>
      <c r="FP105" s="51">
        <f t="shared" si="1699"/>
        <v>0</v>
      </c>
      <c r="FQ105" s="54"/>
      <c r="FR105" s="51">
        <f t="shared" ref="FR105:FR106" si="1830">FN105*$FR$98</f>
        <v>1</v>
      </c>
      <c r="FS105" s="51">
        <f t="shared" ref="FS105:FS106" si="1831">FO105*$FS$98</f>
        <v>0</v>
      </c>
      <c r="FT105" s="51">
        <f t="shared" si="1702"/>
        <v>0</v>
      </c>
      <c r="FU105" s="54"/>
      <c r="FV105" s="51">
        <f t="shared" ref="FV105:FV106" si="1832">FR105*$FV$98</f>
        <v>1</v>
      </c>
      <c r="FW105" s="51">
        <f t="shared" ref="FW105:FW106" si="1833">FS105*$FW$98</f>
        <v>0</v>
      </c>
      <c r="FX105" s="51">
        <f t="shared" si="1705"/>
        <v>0</v>
      </c>
      <c r="FY105" s="54"/>
      <c r="FZ105" s="51">
        <f t="shared" ref="FZ105:FZ106" si="1834">FV105*$FZ$98</f>
        <v>1</v>
      </c>
      <c r="GA105" s="51">
        <f t="shared" ref="GA105:GA106" si="1835">FW105*$GA$98</f>
        <v>0</v>
      </c>
      <c r="GB105" s="51">
        <f t="shared" si="1708"/>
        <v>0</v>
      </c>
      <c r="GC105" s="54"/>
      <c r="GD105" s="51">
        <f t="shared" ref="GD105:GD106" si="1836">FZ105*$GD$98</f>
        <v>1</v>
      </c>
      <c r="GE105" s="51">
        <f t="shared" ref="GE105:GE106" si="1837">GA105*$GE$98</f>
        <v>0</v>
      </c>
      <c r="GF105" s="51">
        <f t="shared" si="1711"/>
        <v>0</v>
      </c>
      <c r="GG105" s="54"/>
      <c r="GH105" s="51">
        <f t="shared" ref="GH105:GH106" si="1838">GD105*$GH$98</f>
        <v>1</v>
      </c>
      <c r="GI105" s="51">
        <f t="shared" ref="GI105:GI106" si="1839">GE105*$GI$98</f>
        <v>0</v>
      </c>
      <c r="GJ105" s="51">
        <f t="shared" si="1714"/>
        <v>0</v>
      </c>
      <c r="GK105" s="54"/>
      <c r="GL105" s="51">
        <f t="shared" ref="GL105:GL106" si="1840">GH105*$GL$98</f>
        <v>1</v>
      </c>
      <c r="GM105" s="51">
        <f t="shared" ref="GM105:GM106" si="1841">GI105*$GM$98</f>
        <v>0</v>
      </c>
      <c r="GN105" s="51">
        <f t="shared" si="1717"/>
        <v>0</v>
      </c>
      <c r="GP105" s="51">
        <f t="shared" si="1589"/>
        <v>1</v>
      </c>
      <c r="GQ105" s="51">
        <f t="shared" si="1590"/>
        <v>0</v>
      </c>
      <c r="GR105" s="51">
        <f t="shared" si="1718"/>
        <v>0</v>
      </c>
      <c r="GS105" s="54"/>
      <c r="GT105" s="51">
        <f t="shared" ref="GT105:GT106" si="1842">GP105*$GT$98</f>
        <v>1</v>
      </c>
      <c r="GU105" s="51">
        <f t="shared" ref="GU105:GU106" si="1843">GQ105*$GU$98</f>
        <v>0</v>
      </c>
      <c r="GV105" s="51">
        <f t="shared" si="1721"/>
        <v>0</v>
      </c>
      <c r="GW105" s="54"/>
      <c r="GX105" s="51">
        <f t="shared" ref="GX105:GX106" si="1844">GT105*$GX$98</f>
        <v>1</v>
      </c>
      <c r="GY105" s="51">
        <f t="shared" ref="GY105:GY106" si="1845">GU105*$GY$98</f>
        <v>0</v>
      </c>
      <c r="GZ105" s="51">
        <f t="shared" si="1724"/>
        <v>0</v>
      </c>
      <c r="HA105" s="54"/>
      <c r="HB105" s="51">
        <f t="shared" ref="HB105:HB106" si="1846">GX105*$HB$98</f>
        <v>1</v>
      </c>
      <c r="HC105" s="51">
        <f t="shared" ref="HC105:HC106" si="1847">GY105*$HC$98</f>
        <v>0</v>
      </c>
      <c r="HD105" s="51">
        <f t="shared" si="1727"/>
        <v>0</v>
      </c>
      <c r="HE105" s="54"/>
      <c r="HF105" s="51">
        <f t="shared" ref="HF105:HF106" si="1848">HB105*$HF$98</f>
        <v>1</v>
      </c>
      <c r="HG105" s="51">
        <f t="shared" ref="HG105:HG106" si="1849">HC105*$HG$98</f>
        <v>0</v>
      </c>
      <c r="HH105" s="51">
        <f t="shared" si="1730"/>
        <v>0</v>
      </c>
      <c r="HI105" s="54"/>
      <c r="HJ105" s="51">
        <f t="shared" ref="HJ105:HJ106" si="1850">HF105*$HJ$98</f>
        <v>1</v>
      </c>
      <c r="HK105" s="51">
        <f t="shared" ref="HK105:HK106" si="1851">HG105*$HK$98</f>
        <v>0</v>
      </c>
      <c r="HL105" s="51">
        <f t="shared" si="1733"/>
        <v>0</v>
      </c>
      <c r="HM105" s="54"/>
      <c r="HN105" s="51">
        <f t="shared" ref="HN105:HN106" si="1852">HJ105*$HN$98</f>
        <v>1</v>
      </c>
      <c r="HO105" s="51">
        <f t="shared" ref="HO105:HO106" si="1853">HK105*$HO$98</f>
        <v>0</v>
      </c>
      <c r="HP105" s="51">
        <f t="shared" si="1736"/>
        <v>0</v>
      </c>
      <c r="HQ105" s="54"/>
      <c r="HR105" s="51">
        <f t="shared" ref="HR105:HR106" si="1854">HN105*$HR$98</f>
        <v>1</v>
      </c>
      <c r="HS105" s="51">
        <f t="shared" ref="HS105:HS106" si="1855">HO105*$HS$98</f>
        <v>0</v>
      </c>
      <c r="HT105" s="51">
        <f t="shared" si="1739"/>
        <v>0</v>
      </c>
      <c r="HU105" s="54"/>
      <c r="HV105" s="51">
        <f t="shared" ref="HV105:HV106" si="1856">HR105*$HV$98</f>
        <v>1</v>
      </c>
      <c r="HW105" s="51">
        <f t="shared" ref="HW105:HW106" si="1857">HS105*$HW$98</f>
        <v>0</v>
      </c>
      <c r="HX105" s="51">
        <f t="shared" si="1742"/>
        <v>0</v>
      </c>
      <c r="HY105" s="54"/>
      <c r="HZ105" s="51">
        <f t="shared" ref="HZ105:HZ106" si="1858">HV105*$HZ$98</f>
        <v>1</v>
      </c>
      <c r="IA105" s="51">
        <f t="shared" ref="IA105:IA106" si="1859">HW105*$IA$98</f>
        <v>0</v>
      </c>
      <c r="IB105" s="51">
        <f t="shared" si="1745"/>
        <v>0</v>
      </c>
      <c r="IC105" s="54"/>
      <c r="ID105" s="51">
        <f t="shared" ref="ID105:ID106" si="1860">HZ105*$ID$98</f>
        <v>1</v>
      </c>
      <c r="IE105" s="51">
        <f t="shared" ref="IE105:IE106" si="1861">IA105*$IE$98</f>
        <v>0</v>
      </c>
      <c r="IF105" s="51">
        <f t="shared" si="1748"/>
        <v>0</v>
      </c>
      <c r="IG105" s="54"/>
      <c r="IH105" s="51">
        <f t="shared" ref="IH105:IH106" si="1862">ID105*$IH$98</f>
        <v>1</v>
      </c>
      <c r="II105" s="51">
        <f t="shared" ref="II105:II106" si="1863">IE105*$II$98</f>
        <v>0</v>
      </c>
      <c r="IJ105" s="51">
        <f t="shared" si="1751"/>
        <v>0</v>
      </c>
      <c r="IL105" s="51">
        <f t="shared" si="1591"/>
        <v>1</v>
      </c>
      <c r="IM105" s="51">
        <f t="shared" si="1592"/>
        <v>0</v>
      </c>
      <c r="IN105" s="51">
        <f t="shared" si="1752"/>
        <v>0</v>
      </c>
      <c r="IO105" s="54"/>
      <c r="IP105" s="51">
        <f t="shared" ref="IP105:IP106" si="1864">IL105*$IP$98</f>
        <v>1</v>
      </c>
      <c r="IQ105" s="51">
        <f t="shared" ref="IQ105:IQ106" si="1865">IM105*$IQ$98</f>
        <v>0</v>
      </c>
      <c r="IR105" s="51">
        <f t="shared" si="1755"/>
        <v>0</v>
      </c>
      <c r="IS105" s="54"/>
      <c r="IT105" s="51">
        <f t="shared" ref="IT105:IT106" si="1866">IP105*$IT$98</f>
        <v>1</v>
      </c>
      <c r="IU105" s="51">
        <f t="shared" ref="IU105:IU106" si="1867">IQ105*$IU$98</f>
        <v>0</v>
      </c>
      <c r="IV105" s="51">
        <f t="shared" si="1758"/>
        <v>0</v>
      </c>
      <c r="IW105" s="54"/>
      <c r="IX105" s="51">
        <f t="shared" ref="IX105:IX106" si="1868">IT105*$IX$98</f>
        <v>1</v>
      </c>
      <c r="IY105" s="51">
        <f t="shared" ref="IY105:IY106" si="1869">IU105*$IY$98</f>
        <v>0</v>
      </c>
      <c r="IZ105" s="51">
        <f t="shared" si="1761"/>
        <v>0</v>
      </c>
      <c r="JA105" s="54"/>
      <c r="JB105" s="51" t="e">
        <f t="shared" ref="JB105:JB106" si="1870">IX105*$JB$98</f>
        <v>#REF!</v>
      </c>
      <c r="JC105" s="51">
        <f t="shared" ref="JC105:JC106" si="1871">IY105*$JC$98</f>
        <v>0</v>
      </c>
      <c r="JD105" s="51">
        <f t="shared" si="1764"/>
        <v>0</v>
      </c>
      <c r="JE105" s="54"/>
      <c r="JF105" s="51" t="e">
        <f t="shared" ref="JF105:JF106" si="1872">JB105*$JF$98</f>
        <v>#REF!</v>
      </c>
      <c r="JG105" s="51">
        <f t="shared" ref="JG105:JG106" si="1873">JC105*$JG$98</f>
        <v>0</v>
      </c>
      <c r="JH105" s="51">
        <f t="shared" si="1767"/>
        <v>0</v>
      </c>
      <c r="JI105" s="54"/>
      <c r="JJ105" s="51" t="e">
        <f t="shared" ref="JJ105:JJ106" si="1874">JF105*$JJ$98</f>
        <v>#REF!</v>
      </c>
      <c r="JK105" s="51">
        <f t="shared" ref="JK105:JK106" si="1875">JG105*$JK$98</f>
        <v>0</v>
      </c>
      <c r="JL105" s="51">
        <f t="shared" si="1770"/>
        <v>0</v>
      </c>
      <c r="JM105" s="54"/>
      <c r="JO105" s="80"/>
      <c r="JP105" s="80"/>
      <c r="JQ105" s="80">
        <f t="shared" si="1593"/>
        <v>0</v>
      </c>
      <c r="JS105" s="80"/>
      <c r="JT105" s="80"/>
      <c r="JU105" s="80">
        <f t="shared" si="1594"/>
        <v>0</v>
      </c>
      <c r="JW105" s="80"/>
      <c r="JX105" s="80"/>
      <c r="JY105" s="80">
        <f t="shared" si="1595"/>
        <v>0</v>
      </c>
      <c r="KA105" s="80"/>
      <c r="KB105" s="80"/>
      <c r="KC105" s="80">
        <f t="shared" si="1596"/>
        <v>0</v>
      </c>
      <c r="KE105" s="80"/>
      <c r="KF105" s="80"/>
      <c r="KG105" s="80">
        <f t="shared" si="1597"/>
        <v>0</v>
      </c>
      <c r="KI105" s="80"/>
      <c r="KJ105" s="80"/>
      <c r="KK105" s="80">
        <f t="shared" si="1598"/>
        <v>0</v>
      </c>
      <c r="KM105" s="80"/>
      <c r="KN105" s="80"/>
      <c r="KO105" s="80">
        <f t="shared" si="1599"/>
        <v>0</v>
      </c>
    </row>
    <row r="106" ht="18.75" customHeight="1" spans="2:301" x14ac:dyDescent="0.25">
      <c r="B106" s="5" t="str">
        <f>A.IIOPEX!C106</f>
        <v>8g</v>
      </c>
      <c r="C106" s="27"/>
      <c r="D106" s="29">
        <f>A.IIOPEX!E106</f>
        <v>0</v>
      </c>
      <c r="E106" s="30"/>
      <c r="F106" s="51">
        <v>1</v>
      </c>
      <c r="G106" s="51"/>
      <c r="H106" s="51">
        <f>A.IIOPEX!I106</f>
        <v>0</v>
      </c>
      <c r="I106" s="54"/>
      <c r="J106" s="51">
        <f t="shared" si="1579"/>
        <v>1</v>
      </c>
      <c r="K106" s="51"/>
      <c r="L106" s="51">
        <f t="shared" si="1600"/>
        <v>0</v>
      </c>
      <c r="M106" s="54"/>
      <c r="N106" s="51">
        <f t="shared" si="1580"/>
        <v>1</v>
      </c>
      <c r="O106" s="51">
        <v>0</v>
      </c>
      <c r="P106" s="51">
        <f t="shared" si="1601"/>
        <v>0</v>
      </c>
      <c r="Q106" s="54"/>
      <c r="R106" s="51">
        <f t="shared" si="1581"/>
        <v>1</v>
      </c>
      <c r="S106" s="51">
        <v>0</v>
      </c>
      <c r="T106" s="51">
        <f t="shared" si="1602"/>
        <v>0</v>
      </c>
      <c r="U106" s="54"/>
      <c r="V106" s="51">
        <f t="shared" si="1582"/>
        <v>1</v>
      </c>
      <c r="W106" s="51">
        <v>0</v>
      </c>
      <c r="X106" s="51">
        <f t="shared" si="1603"/>
        <v>0</v>
      </c>
      <c r="Y106" s="54"/>
      <c r="Z106" s="51">
        <f t="shared" si="1583"/>
        <v>1</v>
      </c>
      <c r="AA106" s="51">
        <v>0</v>
      </c>
      <c r="AB106" s="51">
        <f t="shared" si="1604"/>
        <v>0</v>
      </c>
      <c r="AC106" s="54"/>
      <c r="AD106" s="51">
        <f t="shared" si="1771"/>
        <v>1</v>
      </c>
      <c r="AE106" s="51">
        <v>0</v>
      </c>
      <c r="AF106" s="51">
        <f t="shared" si="1606"/>
        <v>0</v>
      </c>
      <c r="AG106" s="54"/>
      <c r="AH106" s="51">
        <f t="shared" si="1772"/>
        <v>1</v>
      </c>
      <c r="AI106" s="51"/>
      <c r="AJ106" s="51">
        <f t="shared" si="1608"/>
        <v>0</v>
      </c>
      <c r="AK106" s="54"/>
      <c r="AL106" s="51">
        <f t="shared" si="1773"/>
        <v>1</v>
      </c>
      <c r="AM106" s="51"/>
      <c r="AN106" s="51">
        <f t="shared" si="1610"/>
        <v>0</v>
      </c>
      <c r="AO106" s="54"/>
      <c r="AP106" s="51">
        <f t="shared" si="1774"/>
        <v>1</v>
      </c>
      <c r="AQ106" s="51"/>
      <c r="AR106" s="51">
        <f t="shared" si="1612"/>
        <v>0</v>
      </c>
      <c r="AS106" s="54"/>
      <c r="AT106" s="51">
        <f t="shared" si="1775"/>
        <v>1</v>
      </c>
      <c r="AU106" s="51"/>
      <c r="AV106" s="51">
        <f t="shared" si="1614"/>
        <v>0</v>
      </c>
      <c r="AW106" s="54"/>
      <c r="AX106" s="51">
        <f t="shared" si="1776"/>
        <v>1</v>
      </c>
      <c r="AY106" s="51"/>
      <c r="AZ106" s="51">
        <f t="shared" si="1616"/>
        <v>0</v>
      </c>
      <c r="BA106" s="54"/>
      <c r="BB106" s="51">
        <f t="shared" si="1584"/>
        <v>1</v>
      </c>
      <c r="BC106" s="51"/>
      <c r="BD106" s="51">
        <f t="shared" si="1617"/>
        <v>0</v>
      </c>
      <c r="BE106" s="54"/>
      <c r="BF106" s="51">
        <f t="shared" si="1777"/>
        <v>1</v>
      </c>
      <c r="BG106" s="51"/>
      <c r="BH106" s="51">
        <f t="shared" si="1619"/>
        <v>0</v>
      </c>
      <c r="BI106" s="54"/>
      <c r="BJ106" s="51">
        <f t="shared" si="1778"/>
        <v>1</v>
      </c>
      <c r="BK106" s="51">
        <f t="shared" si="1779"/>
        <v>0</v>
      </c>
      <c r="BL106" s="51">
        <f t="shared" si="1622"/>
        <v>0</v>
      </c>
      <c r="BM106" s="54"/>
      <c r="BN106" s="51">
        <f t="shared" si="1780"/>
        <v>1</v>
      </c>
      <c r="BO106" s="51">
        <f t="shared" si="1781"/>
        <v>0</v>
      </c>
      <c r="BP106" s="51">
        <f t="shared" si="1625"/>
        <v>0</v>
      </c>
      <c r="BQ106" s="54"/>
      <c r="BR106" s="51">
        <f t="shared" si="1782"/>
        <v>1</v>
      </c>
      <c r="BS106" s="51">
        <f t="shared" si="1783"/>
        <v>0</v>
      </c>
      <c r="BT106" s="51">
        <f t="shared" si="1628"/>
        <v>0</v>
      </c>
      <c r="BU106" s="54"/>
      <c r="BV106" s="51">
        <f t="shared" si="1784"/>
        <v>1</v>
      </c>
      <c r="BW106" s="51">
        <f t="shared" si="1785"/>
        <v>0</v>
      </c>
      <c r="BX106" s="51">
        <f t="shared" si="1631"/>
        <v>0</v>
      </c>
      <c r="BY106" s="54"/>
      <c r="BZ106" s="51">
        <f t="shared" si="1786"/>
        <v>1</v>
      </c>
      <c r="CA106" s="51">
        <f t="shared" si="1787"/>
        <v>0</v>
      </c>
      <c r="CB106" s="51">
        <f t="shared" si="1634"/>
        <v>0</v>
      </c>
      <c r="CC106" s="54"/>
      <c r="CD106" s="51">
        <f t="shared" si="1788"/>
        <v>1</v>
      </c>
      <c r="CE106" s="51">
        <f t="shared" si="1789"/>
        <v>0</v>
      </c>
      <c r="CF106" s="51">
        <f t="shared" si="1637"/>
        <v>0</v>
      </c>
      <c r="CG106" s="54"/>
      <c r="CH106" s="51">
        <f t="shared" si="1790"/>
        <v>1</v>
      </c>
      <c r="CI106" s="51">
        <f t="shared" si="1791"/>
        <v>0</v>
      </c>
      <c r="CJ106" s="51">
        <f t="shared" si="1640"/>
        <v>0</v>
      </c>
      <c r="CK106" s="54"/>
      <c r="CL106" s="51">
        <f t="shared" si="1792"/>
        <v>1</v>
      </c>
      <c r="CM106" s="51">
        <f t="shared" si="1793"/>
        <v>0</v>
      </c>
      <c r="CN106" s="51">
        <f t="shared" si="1643"/>
        <v>0</v>
      </c>
      <c r="CO106" s="54"/>
      <c r="CP106" s="51">
        <f t="shared" si="1794"/>
        <v>1</v>
      </c>
      <c r="CQ106" s="51">
        <f t="shared" si="1795"/>
        <v>0</v>
      </c>
      <c r="CR106" s="51">
        <f t="shared" si="1646"/>
        <v>0</v>
      </c>
      <c r="CS106" s="54"/>
      <c r="CT106" s="51">
        <f t="shared" si="1796"/>
        <v>1</v>
      </c>
      <c r="CU106" s="51">
        <f t="shared" si="1797"/>
        <v>0</v>
      </c>
      <c r="CV106" s="51">
        <f t="shared" si="1649"/>
        <v>0</v>
      </c>
      <c r="CW106" s="54"/>
      <c r="CX106" s="51">
        <f t="shared" si="1585"/>
        <v>1</v>
      </c>
      <c r="CY106" s="51">
        <f t="shared" si="1586"/>
        <v>0</v>
      </c>
      <c r="CZ106" s="51">
        <f t="shared" si="1650"/>
        <v>0</v>
      </c>
      <c r="DA106" s="54"/>
      <c r="DB106" s="51">
        <f t="shared" si="1798"/>
        <v>1</v>
      </c>
      <c r="DC106" s="51">
        <f t="shared" si="1799"/>
        <v>0</v>
      </c>
      <c r="DD106" s="51">
        <f t="shared" si="1653"/>
        <v>0</v>
      </c>
      <c r="DE106" s="54"/>
      <c r="DF106" s="51">
        <f t="shared" si="1800"/>
        <v>1</v>
      </c>
      <c r="DG106" s="51">
        <f t="shared" si="1801"/>
        <v>0</v>
      </c>
      <c r="DH106" s="51">
        <f t="shared" si="1656"/>
        <v>0</v>
      </c>
      <c r="DI106" s="54"/>
      <c r="DJ106" s="51">
        <f t="shared" si="1802"/>
        <v>1</v>
      </c>
      <c r="DK106" s="51">
        <f t="shared" si="1803"/>
        <v>0</v>
      </c>
      <c r="DL106" s="51">
        <f t="shared" si="1659"/>
        <v>0</v>
      </c>
      <c r="DM106" s="54"/>
      <c r="DN106" s="51">
        <f t="shared" si="1804"/>
        <v>1</v>
      </c>
      <c r="DO106" s="51">
        <f t="shared" si="1805"/>
        <v>0</v>
      </c>
      <c r="DP106" s="51">
        <f t="shared" si="1662"/>
        <v>0</v>
      </c>
      <c r="DQ106" s="54"/>
      <c r="DR106" s="51">
        <f t="shared" si="1806"/>
        <v>1</v>
      </c>
      <c r="DS106" s="51">
        <f t="shared" si="1807"/>
        <v>0</v>
      </c>
      <c r="DT106" s="51">
        <f t="shared" si="1665"/>
        <v>0</v>
      </c>
      <c r="DU106" s="54"/>
      <c r="DV106" s="51">
        <f t="shared" si="1808"/>
        <v>1</v>
      </c>
      <c r="DW106" s="51">
        <f t="shared" si="1809"/>
        <v>0</v>
      </c>
      <c r="DX106" s="51">
        <f t="shared" si="1668"/>
        <v>0</v>
      </c>
      <c r="DY106" s="54"/>
      <c r="DZ106" s="51">
        <f t="shared" si="1810"/>
        <v>1</v>
      </c>
      <c r="EA106" s="51">
        <f t="shared" si="1811"/>
        <v>0</v>
      </c>
      <c r="EB106" s="51">
        <f t="shared" si="1671"/>
        <v>0</v>
      </c>
      <c r="EC106" s="54"/>
      <c r="ED106" s="51">
        <f t="shared" si="1812"/>
        <v>1</v>
      </c>
      <c r="EE106" s="51">
        <f t="shared" si="1813"/>
        <v>0</v>
      </c>
      <c r="EF106" s="51">
        <f t="shared" si="1674"/>
        <v>0</v>
      </c>
      <c r="EG106" s="54"/>
      <c r="EH106" s="51">
        <f t="shared" si="1814"/>
        <v>1</v>
      </c>
      <c r="EI106" s="51">
        <f t="shared" si="1815"/>
        <v>0</v>
      </c>
      <c r="EJ106" s="51">
        <f t="shared" si="1677"/>
        <v>0</v>
      </c>
      <c r="EK106" s="54"/>
      <c r="EL106" s="51">
        <f t="shared" si="1816"/>
        <v>1</v>
      </c>
      <c r="EM106" s="51">
        <f t="shared" si="1817"/>
        <v>0</v>
      </c>
      <c r="EN106" s="51">
        <f t="shared" si="1680"/>
        <v>0</v>
      </c>
      <c r="EO106" s="54"/>
      <c r="EP106" s="51">
        <f t="shared" si="1818"/>
        <v>1</v>
      </c>
      <c r="EQ106" s="51">
        <f t="shared" si="1819"/>
        <v>0</v>
      </c>
      <c r="ER106" s="51">
        <f t="shared" si="1683"/>
        <v>0</v>
      </c>
      <c r="ES106" s="54"/>
      <c r="ET106" s="51">
        <f t="shared" si="1587"/>
        <v>1</v>
      </c>
      <c r="EU106" s="51">
        <f t="shared" si="1588"/>
        <v>0</v>
      </c>
      <c r="EV106" s="51">
        <f t="shared" si="1684"/>
        <v>0</v>
      </c>
      <c r="EW106" s="54"/>
      <c r="EX106" s="51">
        <f t="shared" si="1820"/>
        <v>1</v>
      </c>
      <c r="EY106" s="51">
        <f t="shared" si="1821"/>
        <v>0</v>
      </c>
      <c r="EZ106" s="51">
        <f t="shared" si="1687"/>
        <v>0</v>
      </c>
      <c r="FA106" s="54"/>
      <c r="FB106" s="51">
        <f t="shared" si="1822"/>
        <v>1</v>
      </c>
      <c r="FC106" s="51">
        <f t="shared" si="1823"/>
        <v>0</v>
      </c>
      <c r="FD106" s="51">
        <f t="shared" si="1690"/>
        <v>0</v>
      </c>
      <c r="FE106" s="54"/>
      <c r="FF106" s="51">
        <f t="shared" si="1824"/>
        <v>1</v>
      </c>
      <c r="FG106" s="51">
        <f t="shared" si="1825"/>
        <v>0</v>
      </c>
      <c r="FH106" s="51">
        <f t="shared" si="1693"/>
        <v>0</v>
      </c>
      <c r="FI106" s="54"/>
      <c r="FJ106" s="51">
        <f t="shared" si="1826"/>
        <v>1</v>
      </c>
      <c r="FK106" s="51">
        <f t="shared" si="1827"/>
        <v>0</v>
      </c>
      <c r="FL106" s="51">
        <f t="shared" si="1696"/>
        <v>0</v>
      </c>
      <c r="FM106" s="54"/>
      <c r="FN106" s="51">
        <f t="shared" si="1828"/>
        <v>1</v>
      </c>
      <c r="FO106" s="51">
        <f t="shared" si="1829"/>
        <v>0</v>
      </c>
      <c r="FP106" s="51">
        <f t="shared" si="1699"/>
        <v>0</v>
      </c>
      <c r="FQ106" s="54"/>
      <c r="FR106" s="51">
        <f t="shared" si="1830"/>
        <v>1</v>
      </c>
      <c r="FS106" s="51">
        <f t="shared" si="1831"/>
        <v>0</v>
      </c>
      <c r="FT106" s="51">
        <f t="shared" si="1702"/>
        <v>0</v>
      </c>
      <c r="FU106" s="54"/>
      <c r="FV106" s="51">
        <f t="shared" si="1832"/>
        <v>1</v>
      </c>
      <c r="FW106" s="51">
        <f t="shared" si="1833"/>
        <v>0</v>
      </c>
      <c r="FX106" s="51">
        <f t="shared" si="1705"/>
        <v>0</v>
      </c>
      <c r="FY106" s="54"/>
      <c r="FZ106" s="51">
        <f t="shared" si="1834"/>
        <v>1</v>
      </c>
      <c r="GA106" s="51">
        <f t="shared" si="1835"/>
        <v>0</v>
      </c>
      <c r="GB106" s="51">
        <f t="shared" si="1708"/>
        <v>0</v>
      </c>
      <c r="GC106" s="54"/>
      <c r="GD106" s="51">
        <f t="shared" si="1836"/>
        <v>1</v>
      </c>
      <c r="GE106" s="51">
        <f t="shared" si="1837"/>
        <v>0</v>
      </c>
      <c r="GF106" s="51">
        <f t="shared" si="1711"/>
        <v>0</v>
      </c>
      <c r="GG106" s="54"/>
      <c r="GH106" s="51">
        <f t="shared" si="1838"/>
        <v>1</v>
      </c>
      <c r="GI106" s="51">
        <f t="shared" si="1839"/>
        <v>0</v>
      </c>
      <c r="GJ106" s="51">
        <f t="shared" si="1714"/>
        <v>0</v>
      </c>
      <c r="GK106" s="54"/>
      <c r="GL106" s="51">
        <f t="shared" si="1840"/>
        <v>1</v>
      </c>
      <c r="GM106" s="51">
        <f t="shared" si="1841"/>
        <v>0</v>
      </c>
      <c r="GN106" s="51">
        <f t="shared" si="1717"/>
        <v>0</v>
      </c>
      <c r="GP106" s="51">
        <f t="shared" si="1589"/>
        <v>1</v>
      </c>
      <c r="GQ106" s="51">
        <f t="shared" si="1590"/>
        <v>0</v>
      </c>
      <c r="GR106" s="51">
        <f t="shared" si="1718"/>
        <v>0</v>
      </c>
      <c r="GS106" s="54"/>
      <c r="GT106" s="51">
        <f t="shared" si="1842"/>
        <v>1</v>
      </c>
      <c r="GU106" s="51">
        <f t="shared" si="1843"/>
        <v>0</v>
      </c>
      <c r="GV106" s="51">
        <f t="shared" si="1721"/>
        <v>0</v>
      </c>
      <c r="GW106" s="54"/>
      <c r="GX106" s="51">
        <f t="shared" si="1844"/>
        <v>1</v>
      </c>
      <c r="GY106" s="51">
        <f t="shared" si="1845"/>
        <v>0</v>
      </c>
      <c r="GZ106" s="51">
        <f t="shared" si="1724"/>
        <v>0</v>
      </c>
      <c r="HA106" s="54"/>
      <c r="HB106" s="51">
        <f t="shared" si="1846"/>
        <v>1</v>
      </c>
      <c r="HC106" s="51">
        <f t="shared" si="1847"/>
        <v>0</v>
      </c>
      <c r="HD106" s="51">
        <f t="shared" si="1727"/>
        <v>0</v>
      </c>
      <c r="HE106" s="54"/>
      <c r="HF106" s="51">
        <f t="shared" si="1848"/>
        <v>1</v>
      </c>
      <c r="HG106" s="51">
        <f t="shared" si="1849"/>
        <v>0</v>
      </c>
      <c r="HH106" s="51">
        <f t="shared" si="1730"/>
        <v>0</v>
      </c>
      <c r="HI106" s="54"/>
      <c r="HJ106" s="51">
        <f t="shared" si="1850"/>
        <v>1</v>
      </c>
      <c r="HK106" s="51">
        <f t="shared" si="1851"/>
        <v>0</v>
      </c>
      <c r="HL106" s="51">
        <f t="shared" si="1733"/>
        <v>0</v>
      </c>
      <c r="HM106" s="54"/>
      <c r="HN106" s="51">
        <f t="shared" si="1852"/>
        <v>1</v>
      </c>
      <c r="HO106" s="51">
        <f t="shared" si="1853"/>
        <v>0</v>
      </c>
      <c r="HP106" s="51">
        <f t="shared" si="1736"/>
        <v>0</v>
      </c>
      <c r="HQ106" s="54"/>
      <c r="HR106" s="51">
        <f t="shared" si="1854"/>
        <v>1</v>
      </c>
      <c r="HS106" s="51">
        <f t="shared" si="1855"/>
        <v>0</v>
      </c>
      <c r="HT106" s="51">
        <f t="shared" si="1739"/>
        <v>0</v>
      </c>
      <c r="HU106" s="54"/>
      <c r="HV106" s="51">
        <f t="shared" si="1856"/>
        <v>1</v>
      </c>
      <c r="HW106" s="51">
        <f t="shared" si="1857"/>
        <v>0</v>
      </c>
      <c r="HX106" s="51">
        <f t="shared" si="1742"/>
        <v>0</v>
      </c>
      <c r="HY106" s="54"/>
      <c r="HZ106" s="51">
        <f t="shared" si="1858"/>
        <v>1</v>
      </c>
      <c r="IA106" s="51">
        <f t="shared" si="1859"/>
        <v>0</v>
      </c>
      <c r="IB106" s="51">
        <f t="shared" si="1745"/>
        <v>0</v>
      </c>
      <c r="IC106" s="54"/>
      <c r="ID106" s="51">
        <f t="shared" si="1860"/>
        <v>1</v>
      </c>
      <c r="IE106" s="51">
        <f t="shared" si="1861"/>
        <v>0</v>
      </c>
      <c r="IF106" s="51">
        <f t="shared" si="1748"/>
        <v>0</v>
      </c>
      <c r="IG106" s="54"/>
      <c r="IH106" s="51">
        <f t="shared" si="1862"/>
        <v>1</v>
      </c>
      <c r="II106" s="51">
        <f t="shared" si="1863"/>
        <v>0</v>
      </c>
      <c r="IJ106" s="51">
        <f t="shared" si="1751"/>
        <v>0</v>
      </c>
      <c r="IL106" s="51">
        <f t="shared" si="1591"/>
        <v>1</v>
      </c>
      <c r="IM106" s="51">
        <f t="shared" si="1592"/>
        <v>0</v>
      </c>
      <c r="IN106" s="51">
        <f t="shared" si="1752"/>
        <v>0</v>
      </c>
      <c r="IO106" s="54"/>
      <c r="IP106" s="51">
        <f t="shared" si="1864"/>
        <v>1</v>
      </c>
      <c r="IQ106" s="51">
        <f t="shared" si="1865"/>
        <v>0</v>
      </c>
      <c r="IR106" s="51">
        <f t="shared" si="1755"/>
        <v>0</v>
      </c>
      <c r="IS106" s="54"/>
      <c r="IT106" s="51">
        <f t="shared" si="1866"/>
        <v>1</v>
      </c>
      <c r="IU106" s="51">
        <f t="shared" si="1867"/>
        <v>0</v>
      </c>
      <c r="IV106" s="51">
        <f t="shared" si="1758"/>
        <v>0</v>
      </c>
      <c r="IW106" s="54"/>
      <c r="IX106" s="51">
        <f t="shared" si="1868"/>
        <v>1</v>
      </c>
      <c r="IY106" s="51">
        <f t="shared" si="1869"/>
        <v>0</v>
      </c>
      <c r="IZ106" s="51">
        <f t="shared" si="1761"/>
        <v>0</v>
      </c>
      <c r="JA106" s="54"/>
      <c r="JB106" s="51" t="e">
        <f t="shared" si="1870"/>
        <v>#REF!</v>
      </c>
      <c r="JC106" s="51">
        <f t="shared" si="1871"/>
        <v>0</v>
      </c>
      <c r="JD106" s="51">
        <f t="shared" si="1764"/>
        <v>0</v>
      </c>
      <c r="JE106" s="54"/>
      <c r="JF106" s="51" t="e">
        <f t="shared" si="1872"/>
        <v>#REF!</v>
      </c>
      <c r="JG106" s="51">
        <f t="shared" si="1873"/>
        <v>0</v>
      </c>
      <c r="JH106" s="51">
        <f t="shared" si="1767"/>
        <v>0</v>
      </c>
      <c r="JI106" s="54"/>
      <c r="JJ106" s="51" t="e">
        <f t="shared" si="1874"/>
        <v>#REF!</v>
      </c>
      <c r="JK106" s="51">
        <f t="shared" si="1875"/>
        <v>0</v>
      </c>
      <c r="JL106" s="51">
        <f t="shared" si="1770"/>
        <v>0</v>
      </c>
      <c r="JM106" s="54"/>
      <c r="JO106" s="80"/>
      <c r="JP106" s="80"/>
      <c r="JQ106" s="80">
        <f t="shared" si="1593"/>
        <v>0</v>
      </c>
      <c r="JS106" s="80"/>
      <c r="JT106" s="80"/>
      <c r="JU106" s="80">
        <f t="shared" si="1594"/>
        <v>0</v>
      </c>
      <c r="JW106" s="80"/>
      <c r="JX106" s="80"/>
      <c r="JY106" s="80">
        <f t="shared" si="1595"/>
        <v>0</v>
      </c>
      <c r="KA106" s="80"/>
      <c r="KB106" s="80"/>
      <c r="KC106" s="80">
        <f t="shared" si="1596"/>
        <v>0</v>
      </c>
      <c r="KE106" s="80"/>
      <c r="KF106" s="80"/>
      <c r="KG106" s="80">
        <f t="shared" si="1597"/>
        <v>0</v>
      </c>
      <c r="KI106" s="80"/>
      <c r="KJ106" s="80"/>
      <c r="KK106" s="80">
        <f t="shared" si="1598"/>
        <v>0</v>
      </c>
      <c r="KM106" s="80"/>
      <c r="KN106" s="80"/>
      <c r="KO106" s="80">
        <f t="shared" si="1599"/>
        <v>0</v>
      </c>
    </row>
    <row r="107" ht="18.75" customHeight="1" spans="2:301" x14ac:dyDescent="0.25">
      <c r="B107" s="34" t="s">
        <v>58</v>
      </c>
      <c r="C107" s="34"/>
      <c r="D107" s="34"/>
      <c r="E107" s="30"/>
      <c r="F107" s="81">
        <f>SUM(F100:F106)</f>
        <v>7</v>
      </c>
      <c r="G107" s="81"/>
      <c r="H107" s="81">
        <f>SUM(H100:H106)</f>
        <v>0</v>
      </c>
      <c r="I107" s="81"/>
      <c r="J107" s="81">
        <f>SUM(J100:J106)</f>
        <v>7</v>
      </c>
      <c r="K107" s="81"/>
      <c r="L107" s="81">
        <f>SUM(L100:L106)</f>
        <v>0</v>
      </c>
      <c r="M107" s="81"/>
      <c r="N107" s="81">
        <f>SUM(N100:N106)</f>
        <v>7</v>
      </c>
      <c r="O107" s="81"/>
      <c r="P107" s="81">
        <f>SUM(P100:P106)</f>
        <v>0</v>
      </c>
      <c r="Q107" s="81"/>
      <c r="R107" s="81">
        <f>SUM(R100:R106)</f>
        <v>7</v>
      </c>
      <c r="S107" s="81"/>
      <c r="T107" s="81">
        <f>SUM(T100:T106)</f>
        <v>0</v>
      </c>
      <c r="U107" s="81"/>
      <c r="V107" s="81">
        <f>SUM(V100:V106)</f>
        <v>7</v>
      </c>
      <c r="W107" s="81"/>
      <c r="X107" s="81">
        <f>SUM(X100:X106)</f>
        <v>0</v>
      </c>
      <c r="Y107" s="81"/>
      <c r="Z107" s="81">
        <f>SUM(Z100:Z106)</f>
        <v>7</v>
      </c>
      <c r="AA107" s="81"/>
      <c r="AB107" s="81">
        <f>SUM(AB100:AB106)</f>
        <v>0</v>
      </c>
      <c r="AC107" s="81"/>
      <c r="AD107" s="81">
        <f>SUM(AD100:AD106)</f>
        <v>7</v>
      </c>
      <c r="AE107" s="81"/>
      <c r="AF107" s="81">
        <f>SUM(AF100:AF106)</f>
        <v>0</v>
      </c>
      <c r="AG107" s="81"/>
      <c r="AH107" s="81">
        <f>SUM(AH100:AH106)</f>
        <v>7</v>
      </c>
      <c r="AI107" s="81"/>
      <c r="AJ107" s="81">
        <f>SUM(AJ100:AJ106)</f>
        <v>0</v>
      </c>
      <c r="AK107" s="81"/>
      <c r="AL107" s="81">
        <f>SUM(AL100:AL106)</f>
        <v>7</v>
      </c>
      <c r="AM107" s="81"/>
      <c r="AN107" s="81">
        <f>SUM(AN100:AN106)</f>
        <v>0</v>
      </c>
      <c r="AO107" s="81"/>
      <c r="AP107" s="81">
        <f>SUM(AP100:AP106)</f>
        <v>7</v>
      </c>
      <c r="AQ107" s="81"/>
      <c r="AR107" s="81">
        <f>SUM(AR100:AR106)</f>
        <v>0</v>
      </c>
      <c r="AS107" s="81"/>
      <c r="AT107" s="81">
        <f>SUM(AT100:AT106)</f>
        <v>7</v>
      </c>
      <c r="AU107" s="81"/>
      <c r="AV107" s="81">
        <f>SUM(AV100:AV106)</f>
        <v>0</v>
      </c>
      <c r="AW107" s="81"/>
      <c r="AX107" s="81">
        <f>SUM(AX100:AX106)</f>
        <v>7</v>
      </c>
      <c r="AY107" s="81"/>
      <c r="AZ107" s="81">
        <f>SUM(AZ100:AZ106)</f>
        <v>0</v>
      </c>
      <c r="BA107" s="81"/>
      <c r="BB107" s="81">
        <f>SUM(BB100:BB106)</f>
        <v>7</v>
      </c>
      <c r="BC107" s="81"/>
      <c r="BD107" s="81">
        <f>SUM(BD100:BD106)</f>
        <v>0</v>
      </c>
      <c r="BE107" s="81"/>
      <c r="BF107" s="81">
        <f>SUM(BF100:BF106)</f>
        <v>7</v>
      </c>
      <c r="BG107" s="81"/>
      <c r="BH107" s="81">
        <f>SUM(BH100:BH106)</f>
        <v>0</v>
      </c>
      <c r="BI107" s="81"/>
      <c r="BJ107" s="81">
        <f>SUM(BJ100:BJ106)</f>
        <v>7</v>
      </c>
      <c r="BK107" s="81"/>
      <c r="BL107" s="81">
        <f>SUM(BL100:BL106)</f>
        <v>0</v>
      </c>
      <c r="BM107" s="81"/>
      <c r="BN107" s="81">
        <f>SUM(BN100:BN106)</f>
        <v>7</v>
      </c>
      <c r="BO107" s="81"/>
      <c r="BP107" s="81">
        <f>SUM(BP100:BP106)</f>
        <v>0</v>
      </c>
      <c r="BQ107" s="81"/>
      <c r="BR107" s="81">
        <f>SUM(BR100:BR106)</f>
        <v>7</v>
      </c>
      <c r="BS107" s="81"/>
      <c r="BT107" s="81">
        <f>SUM(BT100:BT106)</f>
        <v>0</v>
      </c>
      <c r="BU107" s="81"/>
      <c r="BV107" s="81">
        <f>SUM(BV100:BV106)</f>
        <v>7</v>
      </c>
      <c r="BW107" s="81"/>
      <c r="BX107" s="81">
        <f>SUM(BX100:BX106)</f>
        <v>0</v>
      </c>
      <c r="BY107" s="81"/>
      <c r="BZ107" s="81">
        <f>SUM(BZ100:BZ106)</f>
        <v>7</v>
      </c>
      <c r="CA107" s="81"/>
      <c r="CB107" s="81">
        <f>SUM(CB100:CB106)</f>
        <v>0</v>
      </c>
      <c r="CC107" s="81"/>
      <c r="CD107" s="81">
        <f>SUM(CD100:CD106)</f>
        <v>7</v>
      </c>
      <c r="CE107" s="81"/>
      <c r="CF107" s="81">
        <f>SUM(CF100:CF106)</f>
        <v>0</v>
      </c>
      <c r="CG107" s="81"/>
      <c r="CH107" s="81">
        <f>SUM(CH100:CH106)</f>
        <v>7</v>
      </c>
      <c r="CI107" s="81"/>
      <c r="CJ107" s="81">
        <f>SUM(CJ100:CJ106)</f>
        <v>0</v>
      </c>
      <c r="CK107" s="81"/>
      <c r="CL107" s="81">
        <f>SUM(CL100:CL106)</f>
        <v>7</v>
      </c>
      <c r="CM107" s="81"/>
      <c r="CN107" s="81">
        <f>SUM(CN100:CN106)</f>
        <v>0</v>
      </c>
      <c r="CO107" s="81"/>
      <c r="CP107" s="81">
        <f>SUM(CP100:CP106)</f>
        <v>7</v>
      </c>
      <c r="CQ107" s="81"/>
      <c r="CR107" s="81">
        <f>SUM(CR100:CR106)</f>
        <v>0</v>
      </c>
      <c r="CS107" s="81"/>
      <c r="CT107" s="81">
        <f>SUM(CT100:CT106)</f>
        <v>7</v>
      </c>
      <c r="CU107" s="81"/>
      <c r="CV107" s="81">
        <f>SUM(CV100:CV106)</f>
        <v>0</v>
      </c>
      <c r="CW107" s="81"/>
      <c r="CX107" s="81">
        <f>SUM(CX100:CX106)</f>
        <v>7</v>
      </c>
      <c r="CY107" s="81"/>
      <c r="CZ107" s="81">
        <f>SUM(CZ100:CZ106)</f>
        <v>0</v>
      </c>
      <c r="DA107" s="81"/>
      <c r="DB107" s="81">
        <f>SUM(DB100:DB106)</f>
        <v>7</v>
      </c>
      <c r="DC107" s="81"/>
      <c r="DD107" s="81">
        <f>SUM(DD100:DD106)</f>
        <v>0</v>
      </c>
      <c r="DE107" s="81"/>
      <c r="DF107" s="81">
        <f>SUM(DF100:DF106)</f>
        <v>7</v>
      </c>
      <c r="DG107" s="81"/>
      <c r="DH107" s="81">
        <f>SUM(DH100:DH106)</f>
        <v>0</v>
      </c>
      <c r="DI107" s="81"/>
      <c r="DJ107" s="81">
        <f>SUM(DJ100:DJ106)</f>
        <v>7</v>
      </c>
      <c r="DK107" s="81"/>
      <c r="DL107" s="81">
        <f>SUM(DL100:DL106)</f>
        <v>0</v>
      </c>
      <c r="DM107" s="81"/>
      <c r="DN107" s="81">
        <f>SUM(DN100:DN106)</f>
        <v>7</v>
      </c>
      <c r="DO107" s="81"/>
      <c r="DP107" s="81">
        <f>SUM(DP100:DP106)</f>
        <v>0</v>
      </c>
      <c r="DQ107" s="81"/>
      <c r="DR107" s="81">
        <f>SUM(DR100:DR106)</f>
        <v>7</v>
      </c>
      <c r="DS107" s="81"/>
      <c r="DT107" s="81">
        <f>SUM(DT100:DT106)</f>
        <v>0</v>
      </c>
      <c r="DU107" s="81"/>
      <c r="DV107" s="81">
        <f>SUM(DV100:DV106)</f>
        <v>7</v>
      </c>
      <c r="DW107" s="81"/>
      <c r="DX107" s="81">
        <f>SUM(DX100:DX106)</f>
        <v>0</v>
      </c>
      <c r="DY107" s="81"/>
      <c r="DZ107" s="81">
        <f>SUM(DZ100:DZ106)</f>
        <v>7</v>
      </c>
      <c r="EA107" s="81"/>
      <c r="EB107" s="81">
        <f>SUM(EB100:EB106)</f>
        <v>0</v>
      </c>
      <c r="EC107" s="81"/>
      <c r="ED107" s="81">
        <f>SUM(ED100:ED106)</f>
        <v>7</v>
      </c>
      <c r="EE107" s="81"/>
      <c r="EF107" s="81">
        <f>SUM(EF100:EF106)</f>
        <v>0</v>
      </c>
      <c r="EG107" s="81"/>
      <c r="EH107" s="81">
        <f>SUM(EH100:EH106)</f>
        <v>7</v>
      </c>
      <c r="EI107" s="81"/>
      <c r="EJ107" s="81">
        <f>SUM(EJ100:EJ106)</f>
        <v>0</v>
      </c>
      <c r="EK107" s="81"/>
      <c r="EL107" s="81">
        <f>SUM(EL100:EL106)</f>
        <v>7</v>
      </c>
      <c r="EM107" s="81"/>
      <c r="EN107" s="81">
        <f>SUM(EN100:EN106)</f>
        <v>0</v>
      </c>
      <c r="EO107" s="81"/>
      <c r="EP107" s="81">
        <f>SUM(EP100:EP106)</f>
        <v>7</v>
      </c>
      <c r="EQ107" s="81"/>
      <c r="ER107" s="81">
        <f>SUM(ER100:ER106)</f>
        <v>0</v>
      </c>
      <c r="ES107" s="81"/>
      <c r="ET107" s="81">
        <f>SUM(ET100:ET106)</f>
        <v>7</v>
      </c>
      <c r="EU107" s="81"/>
      <c r="EV107" s="81">
        <f>SUM(EV100:EV106)</f>
        <v>0</v>
      </c>
      <c r="EW107" s="81"/>
      <c r="EX107" s="81">
        <f>SUM(EX100:EX106)</f>
        <v>7</v>
      </c>
      <c r="EY107" s="81"/>
      <c r="EZ107" s="81">
        <f>SUM(EZ100:EZ106)</f>
        <v>0</v>
      </c>
      <c r="FA107" s="81"/>
      <c r="FB107" s="81">
        <f>SUM(FB100:FB106)</f>
        <v>7</v>
      </c>
      <c r="FC107" s="81"/>
      <c r="FD107" s="81">
        <f>SUM(FD100:FD106)</f>
        <v>0</v>
      </c>
      <c r="FE107" s="81"/>
      <c r="FF107" s="81">
        <f>SUM(FF100:FF106)</f>
        <v>7</v>
      </c>
      <c r="FG107" s="81"/>
      <c r="FH107" s="81">
        <f>SUM(FH100:FH106)</f>
        <v>0</v>
      </c>
      <c r="FI107" s="81"/>
      <c r="FJ107" s="81">
        <f>SUM(FJ100:FJ106)</f>
        <v>7</v>
      </c>
      <c r="FK107" s="81"/>
      <c r="FL107" s="81">
        <f>SUM(FL100:FL106)</f>
        <v>0</v>
      </c>
      <c r="FM107" s="81"/>
      <c r="FN107" s="81">
        <f>SUM(FN100:FN106)</f>
        <v>7</v>
      </c>
      <c r="FO107" s="81"/>
      <c r="FP107" s="81">
        <f>SUM(FP100:FP106)</f>
        <v>0</v>
      </c>
      <c r="FQ107" s="81"/>
      <c r="FR107" s="81">
        <f>SUM(FR100:FR106)</f>
        <v>7</v>
      </c>
      <c r="FS107" s="81"/>
      <c r="FT107" s="81">
        <f>SUM(FT100:FT106)</f>
        <v>0</v>
      </c>
      <c r="FU107" s="81"/>
      <c r="FV107" s="81">
        <f>SUM(FV100:FV106)</f>
        <v>7</v>
      </c>
      <c r="FW107" s="81"/>
      <c r="FX107" s="81">
        <f>SUM(FX100:FX106)</f>
        <v>0</v>
      </c>
      <c r="FY107" s="81"/>
      <c r="FZ107" s="81">
        <f>SUM(FZ100:FZ106)</f>
        <v>7</v>
      </c>
      <c r="GA107" s="81"/>
      <c r="GB107" s="81">
        <f>SUM(GB100:GB106)</f>
        <v>0</v>
      </c>
      <c r="GC107" s="81"/>
      <c r="GD107" s="81">
        <f>SUM(GD100:GD106)</f>
        <v>7</v>
      </c>
      <c r="GE107" s="81"/>
      <c r="GF107" s="81">
        <f>SUM(GF100:GF106)</f>
        <v>0</v>
      </c>
      <c r="GG107" s="81"/>
      <c r="GH107" s="81">
        <f>SUM(GH100:GH106)</f>
        <v>7</v>
      </c>
      <c r="GI107" s="81"/>
      <c r="GJ107" s="81">
        <f>SUM(GJ100:GJ106)</f>
        <v>0</v>
      </c>
      <c r="GK107" s="81"/>
      <c r="GL107" s="81">
        <f>SUM(GL100:GL106)</f>
        <v>7</v>
      </c>
      <c r="GM107" s="81"/>
      <c r="GN107" s="81">
        <f>SUM(GN100:GN106)</f>
        <v>0</v>
      </c>
      <c r="GO107" s="81"/>
      <c r="GP107" s="81">
        <f>SUM(GP100:GP106)</f>
        <v>7</v>
      </c>
      <c r="GQ107" s="81"/>
      <c r="GR107" s="81">
        <f>SUM(GR100:GR106)</f>
        <v>0</v>
      </c>
      <c r="GS107" s="81"/>
      <c r="GT107" s="81">
        <f>SUM(GT100:GT106)</f>
        <v>7</v>
      </c>
      <c r="GU107" s="81"/>
      <c r="GV107" s="81">
        <f>SUM(GV100:GV106)</f>
        <v>0</v>
      </c>
      <c r="GW107" s="81"/>
      <c r="GX107" s="81">
        <f>SUM(GX100:GX106)</f>
        <v>7</v>
      </c>
      <c r="GY107" s="81"/>
      <c r="GZ107" s="81">
        <f>SUM(GZ100:GZ106)</f>
        <v>0</v>
      </c>
      <c r="HA107" s="81"/>
      <c r="HB107" s="81">
        <f>SUM(HB100:HB106)</f>
        <v>7</v>
      </c>
      <c r="HC107" s="81"/>
      <c r="HD107" s="81">
        <f>SUM(HD100:HD106)</f>
        <v>0</v>
      </c>
      <c r="HE107" s="81"/>
      <c r="HF107" s="81">
        <f>SUM(HF100:HF106)</f>
        <v>7</v>
      </c>
      <c r="HG107" s="81"/>
      <c r="HH107" s="81">
        <f>SUM(HH100:HH106)</f>
        <v>0</v>
      </c>
      <c r="HI107" s="81"/>
      <c r="HJ107" s="81">
        <f>SUM(HJ100:HJ106)</f>
        <v>7</v>
      </c>
      <c r="HK107" s="81"/>
      <c r="HL107" s="81">
        <f>SUM(HL100:HL106)</f>
        <v>0</v>
      </c>
      <c r="HM107" s="81"/>
      <c r="HN107" s="81">
        <f>SUM(HN100:HN106)</f>
        <v>7</v>
      </c>
      <c r="HO107" s="81"/>
      <c r="HP107" s="81">
        <f>SUM(HP100:HP106)</f>
        <v>0</v>
      </c>
      <c r="HQ107" s="81"/>
      <c r="HR107" s="81">
        <f>SUM(HR100:HR106)</f>
        <v>7</v>
      </c>
      <c r="HS107" s="81"/>
      <c r="HT107" s="81">
        <f>SUM(HT100:HT106)</f>
        <v>0</v>
      </c>
      <c r="HU107" s="81"/>
      <c r="HV107" s="81">
        <f>SUM(HV100:HV106)</f>
        <v>7</v>
      </c>
      <c r="HW107" s="81"/>
      <c r="HX107" s="81">
        <f>SUM(HX100:HX106)</f>
        <v>0</v>
      </c>
      <c r="HY107" s="81"/>
      <c r="HZ107" s="81">
        <f>SUM(HZ100:HZ106)</f>
        <v>7</v>
      </c>
      <c r="IA107" s="81"/>
      <c r="IB107" s="81">
        <f>SUM(IB100:IB106)</f>
        <v>0</v>
      </c>
      <c r="IC107" s="81"/>
      <c r="ID107" s="81">
        <f>SUM(ID100:ID106)</f>
        <v>7</v>
      </c>
      <c r="IE107" s="81"/>
      <c r="IF107" s="81">
        <f>SUM(IF100:IF106)</f>
        <v>0</v>
      </c>
      <c r="IG107" s="81"/>
      <c r="IH107" s="81">
        <f>SUM(IH100:IH106)</f>
        <v>7</v>
      </c>
      <c r="II107" s="81"/>
      <c r="IJ107" s="81">
        <f>SUM(IJ100:IJ106)</f>
        <v>0</v>
      </c>
      <c r="IK107" s="81"/>
      <c r="IL107" s="81">
        <f>SUM(IL100:IL106)</f>
        <v>7</v>
      </c>
      <c r="IM107" s="81"/>
      <c r="IN107" s="81">
        <f>SUM(IN100:IN106)</f>
        <v>0</v>
      </c>
      <c r="IO107" s="81"/>
      <c r="IP107" s="81">
        <f>SUM(IP100:IP106)</f>
        <v>7</v>
      </c>
      <c r="IQ107" s="81"/>
      <c r="IR107" s="81">
        <f>SUM(IR100:IR106)</f>
        <v>0</v>
      </c>
      <c r="IS107" s="81"/>
      <c r="IT107" s="81">
        <f>SUM(IT100:IT106)</f>
        <v>7</v>
      </c>
      <c r="IU107" s="81"/>
      <c r="IV107" s="81">
        <f>SUM(IV100:IV106)</f>
        <v>0</v>
      </c>
      <c r="IW107" s="81"/>
      <c r="IX107" s="81">
        <f>SUM(IX100:IX106)</f>
        <v>7</v>
      </c>
      <c r="IY107" s="81"/>
      <c r="IZ107" s="81">
        <f>SUM(IZ100:IZ106)</f>
        <v>0</v>
      </c>
      <c r="JA107" s="81"/>
      <c r="JB107" s="81" t="e">
        <f>SUM(JB100:JB106)</f>
        <v>#REF!</v>
      </c>
      <c r="JC107" s="81"/>
      <c r="JD107" s="81">
        <f>SUM(JD100:JD106)</f>
        <v>0</v>
      </c>
      <c r="JE107" s="81"/>
      <c r="JF107" s="81" t="e">
        <f>SUM(JF100:JF106)</f>
        <v>#REF!</v>
      </c>
      <c r="JG107" s="81"/>
      <c r="JH107" s="81">
        <f>SUM(JH100:JH106)</f>
        <v>0</v>
      </c>
      <c r="JI107" s="81"/>
      <c r="JJ107" s="81" t="e">
        <f>SUM(JJ100:JJ106)</f>
        <v>#REF!</v>
      </c>
      <c r="JK107" s="81"/>
      <c r="JL107" s="81">
        <f>SUM(JL100:JL106)</f>
        <v>0</v>
      </c>
      <c r="JM107" s="81"/>
      <c r="JN107" s="81"/>
      <c r="JO107" s="81"/>
      <c r="JP107" s="81"/>
      <c r="JQ107" s="80">
        <f t="shared" si="1593"/>
        <v>0</v>
      </c>
      <c r="JS107" s="81"/>
      <c r="JT107" s="81"/>
      <c r="JU107" s="80">
        <f t="shared" si="1594"/>
        <v>0</v>
      </c>
      <c r="JW107" s="81"/>
      <c r="JX107" s="81"/>
      <c r="JY107" s="80">
        <f t="shared" si="1595"/>
        <v>0</v>
      </c>
      <c r="KA107" s="81"/>
      <c r="KB107" s="81"/>
      <c r="KC107" s="80">
        <f t="shared" si="1596"/>
        <v>0</v>
      </c>
      <c r="KE107" s="81"/>
      <c r="KF107" s="81"/>
      <c r="KG107" s="80">
        <f t="shared" si="1597"/>
        <v>0</v>
      </c>
      <c r="KI107" s="81"/>
      <c r="KJ107" s="81"/>
      <c r="KK107" s="80">
        <f t="shared" si="1598"/>
        <v>0</v>
      </c>
      <c r="KM107" s="81"/>
      <c r="KN107" s="81"/>
      <c r="KO107" s="80">
        <f t="shared" si="1599"/>
        <v>0</v>
      </c>
    </row>
    <row r="108" ht="18.75" customHeight="1" spans="2:273" x14ac:dyDescent="0.25">
      <c r="B108" s="9"/>
      <c r="C108" s="17"/>
      <c r="G108" s="54"/>
      <c r="H108" s="54"/>
      <c r="I108" s="54"/>
      <c r="K108" s="54"/>
      <c r="L108" s="54"/>
      <c r="M108" s="54"/>
      <c r="O108" s="54"/>
      <c r="P108" s="54"/>
      <c r="Q108" s="54"/>
      <c r="S108" s="54"/>
      <c r="T108" s="54"/>
      <c r="U108" s="54"/>
      <c r="W108" s="54"/>
      <c r="X108" s="54"/>
      <c r="Y108" s="54"/>
      <c r="AA108" s="54"/>
      <c r="AB108" s="54"/>
      <c r="AC108" s="54"/>
      <c r="AE108" s="54"/>
      <c r="AF108" s="54"/>
      <c r="AG108" s="54"/>
      <c r="AI108" s="54"/>
      <c r="AJ108" s="54"/>
      <c r="AK108" s="54"/>
      <c r="AM108" s="54"/>
      <c r="AN108" s="54"/>
      <c r="AO108" s="54"/>
      <c r="AQ108" s="54"/>
      <c r="AR108" s="54"/>
      <c r="AS108" s="54"/>
      <c r="AU108" s="54"/>
      <c r="AV108" s="54"/>
      <c r="AW108" s="54"/>
      <c r="AY108" s="54"/>
      <c r="AZ108" s="54"/>
      <c r="BA108" s="54"/>
      <c r="BC108" s="54"/>
      <c r="BD108" s="54"/>
      <c r="BE108" s="54"/>
      <c r="BG108" s="54"/>
      <c r="BH108" s="54"/>
      <c r="BI108" s="54"/>
      <c r="BK108" s="54"/>
      <c r="BL108" s="54"/>
      <c r="BM108" s="54"/>
      <c r="BO108" s="54"/>
      <c r="BP108" s="54"/>
      <c r="BQ108" s="54"/>
      <c r="BS108" s="54"/>
      <c r="BT108" s="54"/>
      <c r="BU108" s="54"/>
      <c r="BW108" s="54"/>
      <c r="BX108" s="54"/>
      <c r="BY108" s="54"/>
      <c r="CA108" s="54"/>
      <c r="CB108" s="54"/>
      <c r="CC108" s="54"/>
      <c r="CE108" s="54"/>
      <c r="CF108" s="54"/>
      <c r="CG108" s="54"/>
      <c r="CI108" s="54"/>
      <c r="CJ108" s="54"/>
      <c r="CK108" s="54"/>
      <c r="CM108" s="54"/>
      <c r="CN108" s="54"/>
      <c r="CO108" s="54"/>
      <c r="CQ108" s="54"/>
      <c r="CR108" s="54"/>
      <c r="CS108" s="54"/>
      <c r="CU108" s="54"/>
      <c r="CV108" s="54"/>
      <c r="CW108" s="54"/>
      <c r="CY108" s="54"/>
      <c r="CZ108" s="54"/>
      <c r="DA108" s="54"/>
      <c r="DC108" s="54"/>
      <c r="DD108" s="54"/>
      <c r="DE108" s="54"/>
      <c r="DG108" s="54"/>
      <c r="DH108" s="54"/>
      <c r="DI108" s="54"/>
      <c r="DK108" s="54"/>
      <c r="DL108" s="54"/>
      <c r="DM108" s="54"/>
      <c r="DO108" s="54"/>
      <c r="DP108" s="54"/>
      <c r="DQ108" s="54"/>
      <c r="DS108" s="54"/>
      <c r="DT108" s="54"/>
      <c r="DU108" s="54"/>
      <c r="DW108" s="54"/>
      <c r="DX108" s="54"/>
      <c r="DY108" s="54"/>
      <c r="EA108" s="54"/>
      <c r="EB108" s="54"/>
      <c r="EC108" s="54"/>
      <c r="EE108" s="54"/>
      <c r="EF108" s="54"/>
      <c r="EG108" s="54"/>
      <c r="EI108" s="54"/>
      <c r="EJ108" s="54"/>
      <c r="EK108" s="54"/>
      <c r="EM108" s="54"/>
      <c r="EN108" s="54"/>
      <c r="EO108" s="54"/>
      <c r="EQ108" s="54"/>
      <c r="ER108" s="54"/>
      <c r="ES108" s="54"/>
      <c r="EU108" s="54"/>
      <c r="EV108" s="54"/>
      <c r="EW108" s="54"/>
      <c r="EY108" s="54"/>
      <c r="EZ108" s="54"/>
      <c r="FA108" s="54"/>
      <c r="FC108" s="54"/>
      <c r="FD108" s="54"/>
      <c r="FE108" s="54"/>
      <c r="FG108" s="54"/>
      <c r="FH108" s="54"/>
      <c r="FI108" s="54"/>
      <c r="FK108" s="54"/>
      <c r="FL108" s="54"/>
      <c r="FM108" s="54"/>
      <c r="FO108" s="54"/>
      <c r="FP108" s="54"/>
      <c r="FQ108" s="54"/>
      <c r="FS108" s="54"/>
      <c r="FT108" s="54"/>
      <c r="FU108" s="54"/>
      <c r="FW108" s="54"/>
      <c r="FX108" s="54"/>
      <c r="FY108" s="54"/>
      <c r="GA108" s="54"/>
      <c r="GB108" s="54"/>
      <c r="GC108" s="54"/>
      <c r="GE108" s="54"/>
      <c r="GF108" s="54"/>
      <c r="GG108" s="54"/>
      <c r="GI108" s="54"/>
      <c r="GJ108" s="54"/>
      <c r="GK108" s="54"/>
      <c r="GM108" s="54"/>
      <c r="GN108" s="54"/>
      <c r="GQ108" s="54"/>
      <c r="GR108" s="54"/>
      <c r="GS108" s="54"/>
      <c r="GU108" s="54"/>
      <c r="GV108" s="54"/>
      <c r="GW108" s="54"/>
      <c r="GY108" s="54"/>
      <c r="GZ108" s="54"/>
      <c r="HA108" s="54"/>
      <c r="HC108" s="54"/>
      <c r="HD108" s="54"/>
      <c r="HE108" s="54"/>
      <c r="HG108" s="54"/>
      <c r="HH108" s="54"/>
      <c r="HI108" s="54"/>
      <c r="HK108" s="54"/>
      <c r="HL108" s="54"/>
      <c r="HM108" s="54"/>
      <c r="HO108" s="54"/>
      <c r="HP108" s="54"/>
      <c r="HQ108" s="54"/>
      <c r="HS108" s="54"/>
      <c r="HT108" s="54"/>
      <c r="HU108" s="54"/>
      <c r="HW108" s="54"/>
      <c r="HX108" s="54"/>
      <c r="HY108" s="54"/>
      <c r="IA108" s="54"/>
      <c r="IB108" s="54"/>
      <c r="IC108" s="54"/>
      <c r="IE108" s="54"/>
      <c r="IF108" s="54"/>
      <c r="IG108" s="54"/>
      <c r="II108" s="54"/>
      <c r="IJ108" s="54"/>
      <c r="IM108" s="54"/>
      <c r="IN108" s="54"/>
      <c r="IO108" s="54"/>
      <c r="IQ108" s="54"/>
      <c r="IR108" s="54"/>
      <c r="IS108" s="54"/>
      <c r="IU108" s="54"/>
      <c r="IV108" s="54"/>
      <c r="IW108" s="54"/>
      <c r="IY108" s="54"/>
      <c r="IZ108" s="54"/>
      <c r="JA108" s="54"/>
      <c r="JC108" s="54"/>
      <c r="JD108" s="54"/>
      <c r="JE108" s="54"/>
      <c r="JG108" s="54"/>
      <c r="JH108" s="54"/>
      <c r="JI108" s="54"/>
      <c r="JK108" s="54"/>
      <c r="JL108" s="54"/>
      <c r="JM108" s="54"/>
    </row>
    <row r="109" spans="2:301" s="9" customFormat="1" x14ac:dyDescent="0.25">
      <c r="B109" s="84" t="s">
        <v>218</v>
      </c>
      <c r="C109" s="84"/>
      <c r="D109" s="84"/>
      <c r="F109" s="81">
        <f>F17+F28+F41+F54+F65+F87+F96+F107</f>
        <v>69</v>
      </c>
      <c r="H109" s="81">
        <f>H17+H28+H41+H54+H65+H87+H96+H107</f>
        <v>1781666.6666666665</v>
      </c>
      <c r="J109" s="81">
        <f>J17+J28+J41+J54+J65+J87+J96+J107</f>
        <v>59.370000000000005</v>
      </c>
      <c r="L109" s="81">
        <f>L17+L28+L41+L54+L65+L87+L96+L107</f>
        <v>1186333.3333333335</v>
      </c>
      <c r="N109" s="81">
        <f>N17+N28+N41+N54+N65+N87+N96+N107</f>
        <v>59.370000000000005</v>
      </c>
      <c r="P109" s="81">
        <f>P17+P28+P41+P54+P65+P87+P96+P107</f>
        <v>1186333.3333333335</v>
      </c>
      <c r="R109" s="81">
        <f>R17+R28+R41+R54+R65+R87+R96+R107</f>
        <v>59.370000000000005</v>
      </c>
      <c r="T109" s="81">
        <f>T17+T28+T41+T54+T65+T87+T96+T107</f>
        <v>1186333.3333333335</v>
      </c>
      <c r="V109" s="81">
        <f>V17+V28+V41+V54+V65+V87+V96+V107</f>
        <v>59.370000000000005</v>
      </c>
      <c r="X109" s="81">
        <f>X17+X28+X41+X54+X65+X87+X96+X107</f>
        <v>1186333.3333333335</v>
      </c>
      <c r="Z109" s="81">
        <f>Z17+Z28+Z41+Z54+Z65+Z87+Z96+Z107</f>
        <v>59.370000000000005</v>
      </c>
      <c r="AB109" s="81">
        <f>AB17+AB28+AB41+AB54+AB65+AB87+AB96+AB107</f>
        <v>1186333.3333333335</v>
      </c>
      <c r="AD109" s="81">
        <f>AD17+AD28+AD41+AD54+AD65+AD87+AD96+AD107</f>
        <v>59.370000000000005</v>
      </c>
      <c r="AF109" s="81">
        <f>AF17+AF28+AF41+AF54+AF65+AF87+AF96+AF107</f>
        <v>1186333.3333333335</v>
      </c>
      <c r="AH109" s="81">
        <f>AH17+AH28+AH41+AH54+AH65+AH87+AH96+AH107</f>
        <v>62.6388</v>
      </c>
      <c r="AJ109" s="81">
        <f>AJ17+AJ28+AJ41+AJ54+AJ65+AJ87+AJ96+AJ107</f>
        <v>1345870</v>
      </c>
      <c r="AL109" s="81">
        <f>AL17+AL28+AL41+AL54+AL65+AL87+AL96+AL107</f>
        <v>62.6388</v>
      </c>
      <c r="AN109" s="81">
        <f>AN17+AN28+AN41+AN54+AN65+AN87+AN96+AN107</f>
        <v>1345870</v>
      </c>
      <c r="AP109" s="81">
        <f>AP17+AP28+AP41+AP54+AP65+AP87+AP96+AP107</f>
        <v>62.6388</v>
      </c>
      <c r="AR109" s="81">
        <f>AR17+AR28+AR41+AR54+AR65+AR87+AR96+AR107</f>
        <v>1345870</v>
      </c>
      <c r="AT109" s="81">
        <f>AT17+AT28+AT41+AT54+AT65+AT87+AT96+AT107</f>
        <v>62.6388</v>
      </c>
      <c r="AV109" s="81">
        <f>AV17+AV28+AV41+AV54+AV65+AV87+AV96+AV107</f>
        <v>1345870</v>
      </c>
      <c r="AX109" s="81">
        <f>AX17+AX28+AX41+AX54+AX65+AX87+AX96+AX107</f>
        <v>62.6388</v>
      </c>
      <c r="AZ109" s="81">
        <f>AZ17+AZ28+AZ41+AZ54+AZ65+AZ87+AZ96+AZ107</f>
        <v>1345870</v>
      </c>
      <c r="BB109" s="81">
        <f>BB17+BB28+BB41+BB54+BB65+BB87+BB96+BB107</f>
        <v>62.6388</v>
      </c>
      <c r="BD109" s="81">
        <f>BD17+BD28+BD41+BD54+BD65+BD87+BD96+BD107</f>
        <v>1345870</v>
      </c>
      <c r="BF109" s="81">
        <f>BF17+BF28+BF41+BF54+BF65+BF87+BF96+BF107</f>
        <v>62.6388</v>
      </c>
      <c r="BH109" s="81">
        <f>BH17+BH28+BH41+BH54+BH65+BH87+BH96+BH107</f>
        <v>1345870</v>
      </c>
      <c r="BJ109" s="81">
        <f>BJ17+BJ28+BJ41+BJ54+BJ65+BJ87+BJ96+BJ107</f>
        <v>62.6388</v>
      </c>
      <c r="BL109" s="81">
        <f>BL17+BL28+BL41+BL54+BL65+BL87+BL96+BL107</f>
        <v>1345870</v>
      </c>
      <c r="BN109" s="81">
        <f>BN17+BN28+BN41+BN54+BN65+BN87+BN96+BN107</f>
        <v>62.6388</v>
      </c>
      <c r="BP109" s="81">
        <f>BP17+BP28+BP41+BP54+BP65+BP87+BP96+BP107</f>
        <v>1345870</v>
      </c>
      <c r="BR109" s="81">
        <f>BR17+BR28+BR41+BR54+BR65+BR87+BR96+BR107</f>
        <v>62.6388</v>
      </c>
      <c r="BT109" s="81">
        <f>BT17+BT28+BT41+BT54+BT65+BT87+BT96+BT107</f>
        <v>1345870</v>
      </c>
      <c r="BV109" s="81">
        <f>BV17+BV28+BV41+BV54+BV65+BV87+BV96+BV107</f>
        <v>62.6388</v>
      </c>
      <c r="BX109" s="81">
        <f>BX17+BX28+BX41+BX54+BX65+BX87+BX96+BX107</f>
        <v>1345870</v>
      </c>
      <c r="BZ109" s="81">
        <f>BZ17+BZ28+BZ41+BZ54+BZ65+BZ87+BZ96+BZ107</f>
        <v>62.6388</v>
      </c>
      <c r="CB109" s="81">
        <f>CB17+CB28+CB41+CB54+CB65+CB87+CB96+CB107</f>
        <v>1345870</v>
      </c>
      <c r="CD109" s="81">
        <f>CD17+CD28+CD41+CD54+CD65+CD87+CD96+CD107</f>
        <v>91.88577000000001</v>
      </c>
      <c r="CF109" s="81">
        <f>CF17+CF28+CF41+CF54+CF65+CF87+CF96+CF107</f>
        <v>2807780.5</v>
      </c>
      <c r="CH109" s="81">
        <f>CH17+CH28+CH41+CH54+CH65+CH87+CH96+CH107</f>
        <v>91.88577000000001</v>
      </c>
      <c r="CJ109" s="81">
        <f>CJ17+CJ28+CJ41+CJ54+CJ65+CJ87+CJ96+CJ107</f>
        <v>2807780.5</v>
      </c>
      <c r="CL109" s="81">
        <f>CL17+CL28+CL41+CL54+CL65+CL87+CL96+CL107</f>
        <v>91.88577000000001</v>
      </c>
      <c r="CN109" s="81">
        <f>CN17+CN28+CN41+CN54+CN65+CN87+CN96+CN107</f>
        <v>2807780.5</v>
      </c>
      <c r="CP109" s="81">
        <f>CP17+CP28+CP41+CP54+CP65+CP87+CP96+CP107</f>
        <v>91.88577000000001</v>
      </c>
      <c r="CR109" s="81">
        <f>CR17+CR28+CR41+CR54+CR65+CR87+CR96+CR107</f>
        <v>2807780.5</v>
      </c>
      <c r="CT109" s="81">
        <f>CT17+CT28+CT41+CT54+CT65+CT87+CT96+CT107</f>
        <v>91.88577000000001</v>
      </c>
      <c r="CV109" s="81">
        <f>CV17+CV28+CV41+CV54+CV65+CV87+CV96+CV107</f>
        <v>2807780.5</v>
      </c>
      <c r="CW109" s="81"/>
      <c r="CX109" s="81">
        <f>CX17+CX28+CX41+CX54+CX65+CX87+CX96+CX107</f>
        <v>91.88577000000001</v>
      </c>
      <c r="CZ109" s="81">
        <f>CZ17+CZ28+CZ41+CZ54+CZ65+CZ87+CZ96+CZ107</f>
        <v>2807780.5</v>
      </c>
      <c r="DB109" s="81">
        <f>DB17+DB28+DB41+DB54+DB65+DB87+DB96+DB107</f>
        <v>91.88577000000001</v>
      </c>
      <c r="DD109" s="81">
        <f>DD17+DD28+DD41+DD54+DD65+DD87+DD96+DD107</f>
        <v>2807780.5</v>
      </c>
      <c r="DF109" s="81">
        <f>DF17+DF28+DF41+DF54+DF65+DF87+DF96+DF107</f>
        <v>91.88577000000001</v>
      </c>
      <c r="DH109" s="81">
        <f>DH17+DH28+DH41+DH54+DH65+DH87+DH96+DH107</f>
        <v>2807780.5</v>
      </c>
      <c r="DJ109" s="81">
        <f>DJ17+DJ28+DJ41+DJ54+DJ65+DJ87+DJ96+DJ107</f>
        <v>91.88577000000001</v>
      </c>
      <c r="DL109" s="81">
        <f>DL17+DL28+DL41+DL54+DL65+DL87+DL96+DL107</f>
        <v>2807780.5</v>
      </c>
      <c r="DN109" s="81">
        <f>DN17+DN28+DN41+DN54+DN65+DN87+DN96+DN107</f>
        <v>91.88577000000001</v>
      </c>
      <c r="DP109" s="81">
        <f>DP17+DP28+DP41+DP54+DP65+DP87+DP96+DP107</f>
        <v>2807780.5</v>
      </c>
      <c r="DR109" s="81">
        <f>DR17+DR28+DR41+DR54+DR65+DR87+DR96+DR107</f>
        <v>91.88577000000001</v>
      </c>
      <c r="DT109" s="81">
        <f>DT17+DT28+DT41+DT54+DT65+DT87+DT96+DT107</f>
        <v>2807780.5</v>
      </c>
      <c r="DV109" s="81">
        <f>DV17+DV28+DV41+DV54+DV65+DV87+DV96+DV107</f>
        <v>91.88577000000001</v>
      </c>
      <c r="DX109" s="81">
        <f>DX17+DX28+DX41+DX54+DX65+DX87+DX96+DX107</f>
        <v>2807780.5</v>
      </c>
      <c r="DZ109" s="81">
        <f>DZ17+DZ28+DZ41+DZ54+DZ65+DZ87+DZ96+DZ107</f>
        <v>251.67670800000005</v>
      </c>
      <c r="EB109" s="81">
        <f>EB17+EB28+EB41+EB54+EB65+EB87+EB96+EB107</f>
        <v>11664581.575</v>
      </c>
      <c r="ED109" s="81">
        <f>ED17+ED28+ED41+ED54+ED65+ED87+ED96+ED107</f>
        <v>251.67670800000005</v>
      </c>
      <c r="EF109" s="81">
        <f>EF17+EF28+EF41+EF54+EF65+EF87+EF96+EF107</f>
        <v>11664581.575</v>
      </c>
      <c r="EH109" s="81">
        <f>EH17+EH28+EH41+EH54+EH65+EH87+EH96+EH107</f>
        <v>251.67670800000005</v>
      </c>
      <c r="EJ109" s="81">
        <f>EJ17+EJ28+EJ41+EJ54+EJ65+EJ87+EJ96+EJ107</f>
        <v>11664581.575</v>
      </c>
      <c r="EL109" s="81">
        <f>EL17+EL28+EL41+EL54+EL65+EL87+EL96+EL107</f>
        <v>251.67670800000005</v>
      </c>
      <c r="EN109" s="81">
        <f>EN17+EN28+EN41+EN54+EN65+EN87+EN96+EN107</f>
        <v>11664581.575</v>
      </c>
      <c r="EP109" s="81">
        <f>EP17+EP28+EP41+EP54+EP65+EP87+EP96+EP107</f>
        <v>251.67670800000005</v>
      </c>
      <c r="ER109" s="81">
        <f>ER17+ER28+ER41+ER54+ER65+ER87+ER96+ER107</f>
        <v>11664581.575</v>
      </c>
      <c r="ES109" s="81"/>
      <c r="ET109" s="81">
        <f>ET17+ET28+ET41+ET54+ET65+ET87+ET96+ET107</f>
        <v>251.67670800000005</v>
      </c>
      <c r="EV109" s="81">
        <f>EV17+EV28+EV41+EV54+EV65+EV87+EV96+EV107</f>
        <v>11664581.575</v>
      </c>
      <c r="EX109" s="81">
        <f>EX17+EX28+EX41+EX54+EX65+EX87+EX96+EX107</f>
        <v>251.67670800000005</v>
      </c>
      <c r="EZ109" s="81">
        <f>EZ17+EZ28+EZ41+EZ54+EZ65+EZ87+EZ96+EZ107</f>
        <v>11664581.575</v>
      </c>
      <c r="FA109" s="81"/>
      <c r="FB109" s="81">
        <f>FB17+FB28+FB41+FB54+FB65+FB87+FB96+FB107</f>
        <v>251.67670800000005</v>
      </c>
      <c r="FD109" s="81">
        <f>FD17+FD28+FD41+FD54+FD65+FD87+FD96+FD107</f>
        <v>11664581.575</v>
      </c>
      <c r="FF109" s="81">
        <f>FF17+FF28+FF41+FF54+FF65+FF87+FF96+FF107</f>
        <v>251.67670800000005</v>
      </c>
      <c r="FH109" s="81">
        <f>FH17+FH28+FH41+FH54+FH65+FH87+FH96+FH107</f>
        <v>11664581.575</v>
      </c>
      <c r="FJ109" s="81">
        <f>FJ17+FJ28+FJ41+FJ54+FJ65+FJ87+FJ96+FJ107</f>
        <v>352.8078927</v>
      </c>
      <c r="FL109" s="81">
        <f>FL17+FL28+FL41+FL54+FL65+FL87+FL96+FL107</f>
        <v>11664581.575</v>
      </c>
      <c r="FN109" s="81">
        <f>FN17+FN28+FN41+FN54+FN65+FN87+FN96+FN107</f>
        <v>352.8078927</v>
      </c>
      <c r="FP109" s="81">
        <f>FP17+FP28+FP41+FP54+FP65+FP87+FP96+FP107</f>
        <v>11664581.575</v>
      </c>
      <c r="FR109" s="81">
        <f>FR17+FR28+FR41+FR54+FR65+FR87+FR96+FR107</f>
        <v>352.8078927</v>
      </c>
      <c r="FT109" s="81">
        <f>FT17+FT28+FT41+FT54+FT65+FT87+FT96+FT107</f>
        <v>11664581.575</v>
      </c>
      <c r="FV109" s="81">
        <f>FV17+FV28+FV41+FV54+FV65+FV87+FV96+FV107</f>
        <v>352.8078927</v>
      </c>
      <c r="FX109" s="81">
        <f>FX17+FX28+FX41+FX54+FX65+FX87+FX96+FX107</f>
        <v>17546200.8675</v>
      </c>
      <c r="FZ109" s="81">
        <f>FZ17+FZ28+FZ41+FZ54+FZ65+FZ87+FZ96+FZ107</f>
        <v>352.8078927</v>
      </c>
      <c r="GB109" s="81">
        <f>GB17+GB28+GB41+GB54+GB65+GB87+GB96+GB107</f>
        <v>17546200.8675</v>
      </c>
      <c r="GD109" s="81">
        <f>GD17+GD28+GD41+GD54+GD65+GD87+GD96+GD107</f>
        <v>352.8078927</v>
      </c>
      <c r="GF109" s="81">
        <f>GF17+GF28+GF41+GF54+GF65+GF87+GF96+GF107</f>
        <v>17546200.8675</v>
      </c>
      <c r="GH109" s="81">
        <f>GH17+GH28+GH41+GH54+GH65+GH87+GH96+GH107</f>
        <v>352.8078927</v>
      </c>
      <c r="GJ109" s="81">
        <f>GJ17+GJ28+GJ41+GJ54+GJ65+GJ87+GJ96+GJ107</f>
        <v>17546200.8675</v>
      </c>
      <c r="GL109" s="81">
        <f>GL17+GL28+GL41+GL54+GL65+GL87+GL96+GL107</f>
        <v>352.8078927</v>
      </c>
      <c r="GN109" s="81">
        <f>GN17+GN28+GN41+GN54+GN65+GN87+GN96+GN107</f>
        <v>17546200.8675</v>
      </c>
      <c r="GP109" s="81">
        <f>GP17+GP28+GP41+GP54+GP65+GP87+GP96+GP107</f>
        <v>352.8078927</v>
      </c>
      <c r="GR109" s="81">
        <f>GR17+GR28+GR41+GR54+GR65+GR87+GR96+GR107</f>
        <v>17546200.8675</v>
      </c>
      <c r="GT109" s="81">
        <f>GT17+GT28+GT41+GT54+GT65+GT87+GT96+GT107</f>
        <v>352.8078927</v>
      </c>
      <c r="GV109" s="81">
        <f>GV17+GV28+GV41+GV54+GV65+GV87+GV96+GV107</f>
        <v>17546200.8675</v>
      </c>
      <c r="GX109" s="81">
        <f>GX17+GX28+GX41+GX54+GX65+GX87+GX96+GX107</f>
        <v>352.8078927</v>
      </c>
      <c r="GZ109" s="81">
        <f>GZ17+GZ28+GZ41+GZ54+GZ65+GZ87+GZ96+GZ107</f>
        <v>17546200.8675</v>
      </c>
      <c r="HB109" s="81">
        <f>HB17+HB28+HB41+HB54+HB65+HB87+HB96+HB107</f>
        <v>352.8078927</v>
      </c>
      <c r="HD109" s="81">
        <f>HD17+HD28+HD41+HD54+HD65+HD87+HD96+HD107</f>
        <v>17546200.8675</v>
      </c>
      <c r="HF109" s="81">
        <f>HF17+HF28+HF41+HF54+HF65+HF87+HF96+HF107</f>
        <v>480.9887507760001</v>
      </c>
      <c r="HH109" s="81">
        <f>HH17+HH28+HH41+HH54+HH65+HH87+HH96+HH107</f>
        <v>17546200.8675</v>
      </c>
      <c r="HJ109" s="81">
        <f>HJ17+HJ28+HJ41+HJ54+HJ65+HJ87+HJ96+HJ107</f>
        <v>480.9887507760001</v>
      </c>
      <c r="HL109" s="81">
        <f>HL17+HL28+HL41+HL54+HL65+HL87+HL96+HL107</f>
        <v>17546200.8675</v>
      </c>
      <c r="HN109" s="81">
        <f>HN17+HN28+HN41+HN54+HN65+HN87+HN96+HN107</f>
        <v>480.9887507760001</v>
      </c>
      <c r="HP109" s="81">
        <f>HP17+HP28+HP41+HP54+HP65+HP87+HP96+HP107</f>
        <v>17546200.8675</v>
      </c>
      <c r="HR109" s="81">
        <f>HR17+HR28+HR41+HR54+HR65+HR87+HR96+HR107</f>
        <v>480.9887507760001</v>
      </c>
      <c r="HT109" s="81">
        <f>HT17+HT28+HT41+HT54+HT65+HT87+HT96+HT107</f>
        <v>25022262.04215</v>
      </c>
      <c r="HV109" s="81">
        <f>HV17+HV28+HV41+HV54+HV65+HV87+HV96+HV107</f>
        <v>480.9887507760001</v>
      </c>
      <c r="HX109" s="81">
        <f>HX17+HX28+HX41+HX54+HX65+HX87+HX96+HX107</f>
        <v>25022262.04215</v>
      </c>
      <c r="HZ109" s="81">
        <f>HZ17+HZ28+HZ41+HZ54+HZ65+HZ87+HZ96+HZ107</f>
        <v>480.9887507760001</v>
      </c>
      <c r="IB109" s="81">
        <f>IB17+IB28+IB41+IB54+IB65+IB87+IB96+IB107</f>
        <v>25022262.04215</v>
      </c>
      <c r="ID109" s="81">
        <f>ID17+ID28+ID41+ID54+ID65+ID87+ID96+ID107</f>
        <v>480.9887507760001</v>
      </c>
      <c r="IF109" s="81">
        <f>IF17+IF28+IF41+IF54+IF65+IF87+IF96+IF107</f>
        <v>25022262.04215</v>
      </c>
      <c r="IH109" s="81">
        <f>IH17+IH28+IH41+IH54+IH65+IH87+IH96+IH107</f>
        <v>480.9887507760001</v>
      </c>
      <c r="IJ109" s="81">
        <f>IJ17+IJ28+IJ41+IJ54+IJ65+IJ87+IJ96+IJ107</f>
        <v>25022262.04215</v>
      </c>
      <c r="IL109" s="81">
        <f>IL17+IL28+IL41+IL54+IL65+IL87+IL96+IL107</f>
        <v>480.9887507760001</v>
      </c>
      <c r="IN109" s="81">
        <f>IN17+IN28+IN41+IN54+IN65+IN87+IN96+IN107</f>
        <v>25022262.04215</v>
      </c>
      <c r="IP109" s="81">
        <f>IP17+IP28+IP41+IP54+IP65+IP87+IP96+IP107</f>
        <v>480.9887507760001</v>
      </c>
      <c r="IR109" s="81">
        <f>IR17+IR28+IR41+IR54+IR65+IR87+IR96+IR107</f>
        <v>25022262.04215</v>
      </c>
      <c r="IT109" s="81">
        <f>IT17+IT28+IT41+IT54+IT65+IT87+IT96+IT107</f>
        <v>480.9887507760001</v>
      </c>
      <c r="IV109" s="81">
        <f>IV17+IV28+IV41+IV54+IV65+IV87+IV96+IV107</f>
        <v>25022262.04215</v>
      </c>
      <c r="IX109" s="81">
        <f>IX17+IX28+IX41+IX54+IX65+IX87+IX96+IX107</f>
        <v>480.9887507760001</v>
      </c>
      <c r="IZ109" s="81">
        <f>IZ17+IZ28+IZ41+IZ54+IZ65+IZ87+IZ96+IZ107</f>
        <v>25022262.04215</v>
      </c>
      <c r="JB109" s="81" t="e">
        <f>JB17+JB28+JB41+JB54+JB65+JB87+JB96+JB107</f>
        <v>#REF!</v>
      </c>
      <c r="JD109" s="81">
        <f>JD17+JD28+JD41+JD54+JD65+JD87+JD96+JD107</f>
        <v>25022262.04215</v>
      </c>
      <c r="JF109" s="81" t="e">
        <f>JF17+JF28+JF41+JF54+JF65+JF87+JF96+JF107</f>
        <v>#REF!</v>
      </c>
      <c r="JH109" s="81">
        <f>JH17+JH28+JH41+JH54+JH65+JH87+JH96+JH107</f>
        <v>25022262.04215</v>
      </c>
      <c r="JJ109" s="81" t="e">
        <f>JJ17+JJ28+JJ41+JJ54+JJ65+JJ87+JJ96+JJ107</f>
        <v>#REF!</v>
      </c>
      <c r="JL109" s="81">
        <f>JL17+JL28+JL41+JL54+JL65+JL87+JL96+JL107</f>
        <v>25022262.04215</v>
      </c>
      <c r="JO109" s="81">
        <f>JO17+JO28+JO41+JO54+JO65+JO87+JO96+JO107</f>
        <v>0</v>
      </c>
      <c r="JQ109" s="81">
        <f>JQ17+JQ28+JQ41+JQ54+JQ65+JQ87+JQ96+JQ107</f>
        <v>11591406.666666668</v>
      </c>
      <c r="JS109" s="81">
        <f>JS17+JS28+JS41+JS54+JS65+JS87+JS96+JS107</f>
        <v>0</v>
      </c>
      <c r="JU109" s="81">
        <f>JU17+JU28+JU41+JU54+JU65+JU87+JU96+JU107</f>
        <v>13458700</v>
      </c>
      <c r="JW109" s="81">
        <f>JW17+JW28+JW41+JW54+JW65+JW87+JW96+JW107</f>
        <v>0</v>
      </c>
      <c r="JY109" s="81">
        <f>JY17+JY28+JY41+JY54+JY65+JY87+JY96+JY107</f>
        <v>33693366</v>
      </c>
      <c r="KA109" s="81">
        <f>KA17+KA28+KA41+KA54+KA65+KA87+KA96+KA107</f>
        <v>0</v>
      </c>
      <c r="KC109" s="81">
        <f>KC17+KC28+KC41+KC54+KC65+KC87+KC96+KC107</f>
        <v>139974978.9</v>
      </c>
      <c r="KE109" s="81">
        <f>KE17+KE28+KE41+KE54+KE65+KE87+KE96+KE107</f>
        <v>0</v>
      </c>
      <c r="KG109" s="81">
        <f>KG17+KG28+KG41+KG54+KG65+KG87+KG96+KG107</f>
        <v>210554410.41</v>
      </c>
      <c r="KI109" s="81">
        <f>KI17+KI28+KI41+KI54+KI65+KI87+KI96+KI107</f>
        <v>0</v>
      </c>
      <c r="KK109" s="81">
        <f>KK17+KK28+KK41+KK54+KK65+KK87+KK96+KK107</f>
        <v>300267144.5058</v>
      </c>
      <c r="KM109" s="81">
        <f>KM17+KM28+KM41+KM54+KM65+KM87+KM96+KM107</f>
        <v>0</v>
      </c>
      <c r="KO109" s="81">
        <f>KO17+KO28+KO41+KO54+KO65+KO87+KO96+KO107</f>
        <v>300267144.5058</v>
      </c>
    </row>
    <row r="110" spans="2:4" x14ac:dyDescent="0.25">
      <c r="B110" s="84" t="s">
        <v>219</v>
      </c>
      <c r="C110" s="84"/>
      <c r="D110" s="84"/>
    </row>
    <row r="111" spans="2:272" x14ac:dyDescent="0.25">
      <c r="B111" s="34" t="s">
        <v>220</v>
      </c>
      <c r="C111" s="34"/>
      <c r="D111" s="34"/>
      <c r="H111">
        <f>SUMIF($B$9:$D$109,"Grand Total",H9:H109)</f>
        <v>1781666.6666666665</v>
      </c>
      <c r="L111">
        <f>SUMIF($B$9:$D$109,"Grand Total",L9:L109)</f>
        <v>1186333.3333333335</v>
      </c>
      <c r="P111">
        <f>SUMIF($B$9:$D$109,"Grand Total",P9:P109)</f>
        <v>1186333.3333333335</v>
      </c>
      <c r="T111">
        <f>SUMIF($B$9:$D$109,"Grand Total",T9:T109)</f>
        <v>1186333.3333333335</v>
      </c>
      <c r="X111">
        <f>SUMIF($B$9:$D$109,"Grand Total",X9:X109)</f>
        <v>1186333.3333333335</v>
      </c>
      <c r="AB111">
        <f>SUMIF($B$9:$D$109,"Grand Total",AB9:AB109)</f>
        <v>1186333.3333333335</v>
      </c>
      <c r="AF111">
        <f>SUMIF($B$9:$D$109,"Grand Total",AF9:AF109)</f>
        <v>1186333.3333333335</v>
      </c>
      <c r="AJ111">
        <f>SUMIF($B$9:$D$109,"Grand Total",AJ9:AJ109)</f>
        <v>1345870</v>
      </c>
      <c r="AN111">
        <f>SUMIF($B$9:$D$109,"Grand Total",AN9:AN109)</f>
        <v>1345870</v>
      </c>
      <c r="AR111">
        <f>SUMIF($B$9:$D$109,"Grand Total",AR9:AR109)</f>
        <v>1345870</v>
      </c>
      <c r="AV111">
        <f>SUMIF($B$9:$D$109,"Grand Total",AV9:AV109)</f>
        <v>1345870</v>
      </c>
      <c r="AZ111">
        <f>SUMIF($B$9:$D$109,"Grand Total",AZ9:AZ109)</f>
        <v>1345870</v>
      </c>
      <c r="BD111">
        <f>SUMIF($B$9:$D$109,"Grand Total",BD9:BD109)</f>
        <v>1345870</v>
      </c>
      <c r="BH111">
        <f>SUMIF($B$9:$D$109,"Grand Total",BH9:BH109)</f>
        <v>1345870</v>
      </c>
      <c r="BL111">
        <f>SUMIF($B$9:$D$109,"Grand Total",BL9:BL109)</f>
        <v>1345870</v>
      </c>
      <c r="BP111">
        <f>SUMIF($B$9:$D$109,"Grand Total",BP9:BP109)</f>
        <v>1345870</v>
      </c>
      <c r="BT111">
        <f>SUMIF($B$9:$D$109,"Grand Total",BT9:BT109)</f>
        <v>1345870</v>
      </c>
      <c r="BX111">
        <f>SUMIF($B$9:$D$109,"Grand Total",BX9:BX109)</f>
        <v>1345870</v>
      </c>
      <c r="CB111">
        <f>SUMIF($B$9:$D$109,"Grand Total",CB9:CB109)</f>
        <v>1345870</v>
      </c>
      <c r="CF111">
        <f>SUMIF($B$9:$D$109,"Grand Total",CF9:CF109)</f>
        <v>2807780.5</v>
      </c>
      <c r="CJ111">
        <f>SUMIF($B$9:$D$109,"Grand Total",CJ9:CJ109)</f>
        <v>2807780.5</v>
      </c>
      <c r="CN111">
        <f>SUMIF($B$9:$D$109,"Grand Total",CN9:CN109)</f>
        <v>2807780.5</v>
      </c>
      <c r="CR111">
        <f>SUMIF($B$9:$D$109,"Grand Total",CR9:CR109)</f>
        <v>2807780.5</v>
      </c>
      <c r="CV111">
        <f>SUMIF($B$9:$D$109,"Grand Total",CV9:CV109)</f>
        <v>2807780.5</v>
      </c>
      <c r="CZ111">
        <f>SUMIF($B$9:$D$109,"Grand Total",CZ9:CZ109)</f>
        <v>2807780.5</v>
      </c>
      <c r="DD111">
        <f>SUMIF($B$9:$D$109,"Grand Total",DD9:DD109)</f>
        <v>2807780.5</v>
      </c>
      <c r="DH111">
        <f>SUMIF($B$9:$D$109,"Grand Total",DH9:DH109)</f>
        <v>2807780.5</v>
      </c>
      <c r="DL111">
        <f>SUMIF($B$9:$D$109,"Grand Total",DL9:DL109)</f>
        <v>2807780.5</v>
      </c>
      <c r="DP111">
        <f>SUMIF($B$9:$D$109,"Grand Total",DP9:DP109)</f>
        <v>2807780.5</v>
      </c>
      <c r="DT111">
        <f>SUMIF($B$9:$D$109,"Grand Total",DT9:DT109)</f>
        <v>2807780.5</v>
      </c>
      <c r="DX111">
        <f>SUMIF($B$9:$D$109,"Grand Total",DX9:DX109)</f>
        <v>2807780.5</v>
      </c>
      <c r="EB111">
        <f>SUMIF($B$9:$D$109,"Grand Total",EB9:EB109)</f>
        <v>11664581.575</v>
      </c>
      <c r="EF111">
        <f>SUMIF($B$9:$D$109,"Grand Total",EF9:EF109)</f>
        <v>11664581.575</v>
      </c>
      <c r="EJ111">
        <f>SUMIF($B$9:$D$109,"Grand Total",EJ9:EJ109)</f>
        <v>11664581.575</v>
      </c>
      <c r="EN111">
        <f>SUMIF($B$9:$D$109,"Grand Total",EN9:EN109)</f>
        <v>11664581.575</v>
      </c>
      <c r="ER111">
        <f>SUMIF($B$9:$D$109,"Grand Total",ER9:ER109)</f>
        <v>11664581.575</v>
      </c>
      <c r="EV111">
        <f>SUMIF($B$9:$D$109,"Grand Total",EV9:EV109)</f>
        <v>11664581.575</v>
      </c>
      <c r="EZ111">
        <f>SUMIF($B$9:$D$109,"Grand Total",EZ9:EZ109)</f>
        <v>11664581.575</v>
      </c>
      <c r="FD111">
        <f>SUMIF($B$9:$D$109,"Grand Total",FD9:FD109)</f>
        <v>11664581.575</v>
      </c>
      <c r="FH111">
        <f>SUMIF($B$9:$D$109,"Grand Total",FH9:FH109)</f>
        <v>11664581.575</v>
      </c>
      <c r="FL111">
        <f>SUMIF($B$9:$D$109,"Grand Total",FL9:FL109)</f>
        <v>11664581.575</v>
      </c>
      <c r="FP111">
        <f>SUMIF($B$9:$D$109,"Grand Total",FP9:FP109)</f>
        <v>11664581.575</v>
      </c>
      <c r="FT111">
        <f>SUMIF($B$9:$D$109,"Grand Total",FT9:FT109)</f>
        <v>11664581.575</v>
      </c>
      <c r="FX111">
        <f>SUMIF($B$9:$D$109,"Grand Total",FX9:FX109)</f>
        <v>17546200.8675</v>
      </c>
      <c r="GB111">
        <f>SUMIF($B$9:$D$109,"Grand Total",GB9:GB109)</f>
        <v>17546200.8675</v>
      </c>
      <c r="GF111">
        <f>SUMIF($B$9:$D$109,"Grand Total",GF9:GF109)</f>
        <v>17546200.8675</v>
      </c>
      <c r="GJ111">
        <f>SUMIF($B$9:$D$109,"Grand Total",GJ9:GJ109)</f>
        <v>17546200.8675</v>
      </c>
      <c r="GN111">
        <f>SUMIF($B$9:$D$109,"Grand Total",GN9:GN109)</f>
        <v>17546200.8675</v>
      </c>
      <c r="GR111">
        <f>SUMIF($B$9:$D$109,"Grand Total",GR9:GR109)</f>
        <v>17546200.8675</v>
      </c>
      <c r="GV111">
        <f>SUMIF($B$9:$D$109,"Grand Total",GV9:GV109)</f>
        <v>17546200.8675</v>
      </c>
      <c r="GZ111">
        <f>SUMIF($B$9:$D$109,"Grand Total",GZ9:GZ109)</f>
        <v>17546200.8675</v>
      </c>
      <c r="HD111">
        <f>SUMIF($B$9:$D$109,"Grand Total",HD9:HD109)</f>
        <v>17546200.8675</v>
      </c>
      <c r="HH111">
        <f>SUMIF($B$9:$D$109,"Grand Total",HH9:HH109)</f>
        <v>17546200.8675</v>
      </c>
      <c r="HL111">
        <f>SUMIF($B$9:$D$109,"Grand Total",HL9:HL109)</f>
        <v>17546200.8675</v>
      </c>
      <c r="HP111">
        <f>SUMIF($B$9:$D$109,"Grand Total",HP9:HP109)</f>
        <v>17546200.8675</v>
      </c>
      <c r="HT111">
        <f>SUMIF($B$9:$D$109,"Grand Total",HT9:HT109)</f>
        <v>25022262.04215</v>
      </c>
      <c r="HX111">
        <f>SUMIF($B$9:$D$109,"Grand Total",HX9:HX109)</f>
        <v>25022262.04215</v>
      </c>
      <c r="IB111">
        <f>SUMIF($B$9:$D$109,"Grand Total",IB9:IB109)</f>
        <v>25022262.04215</v>
      </c>
      <c r="IF111">
        <f>SUMIF($B$9:$D$109,"Grand Total",IF9:IF109)</f>
        <v>25022262.04215</v>
      </c>
      <c r="IJ111">
        <f>SUMIF($B$9:$D$109,"Grand Total",IJ9:IJ109)</f>
        <v>25022262.04215</v>
      </c>
      <c r="IN111">
        <f>SUMIF($B$9:$D$109,"Grand Total",IN9:IN109)</f>
        <v>25022262.04215</v>
      </c>
      <c r="IR111">
        <f>SUMIF($B$9:$D$109,"Grand Total",IR9:IR109)</f>
        <v>25022262.04215</v>
      </c>
      <c r="IV111">
        <f>SUMIF($B$9:$D$109,"Grand Total",IV9:IV109)</f>
        <v>25022262.04215</v>
      </c>
      <c r="IZ111">
        <f>SUMIF($B$9:$D$109,"Grand Total",IZ9:IZ109)</f>
        <v>25022262.04215</v>
      </c>
      <c r="JD111">
        <f>SUMIF($B$9:$D$109,"Grand Total",JD9:JD109)</f>
        <v>25022262.04215</v>
      </c>
      <c r="JH111">
        <f>SUMIF($B$9:$D$109,"Grand Total",JH9:JH109)</f>
        <v>25022262.04215</v>
      </c>
      <c r="JL111">
        <f>SUMIF($B$9:$D$109,"Grand Total",JL9:JL109)</f>
        <v>25022262.04215</v>
      </c>
    </row>
    <row r="112" spans="2:4" x14ac:dyDescent="0.25">
      <c r="B112" s="34"/>
      <c r="C112" s="34"/>
      <c r="D112" s="34"/>
    </row>
    <row r="113" spans="2:272" x14ac:dyDescent="0.25">
      <c r="B113" s="34" t="s">
        <v>221</v>
      </c>
      <c r="C113" s="34"/>
      <c r="D113" s="34"/>
      <c r="H113" s="54">
        <f>H109-H111</f>
        <v>0</v>
      </c>
      <c r="L113" s="54">
        <f>L109-L111</f>
        <v>0</v>
      </c>
      <c r="P113" s="54">
        <f>P109-P111</f>
        <v>0</v>
      </c>
      <c r="T113" s="54">
        <f>T109-T111</f>
        <v>0</v>
      </c>
      <c r="X113" s="54">
        <f>X109-X111</f>
        <v>0</v>
      </c>
      <c r="AB113" s="54">
        <f>AB109-AB111</f>
        <v>0</v>
      </c>
      <c r="AF113" s="54">
        <f>AF109-AF111</f>
        <v>0</v>
      </c>
      <c r="AJ113" s="54">
        <f>AJ109-AJ111</f>
        <v>0</v>
      </c>
      <c r="AN113" s="54">
        <f>AN109-AN111</f>
        <v>0</v>
      </c>
      <c r="AR113" s="54">
        <f>AR109-AR111</f>
        <v>0</v>
      </c>
      <c r="AV113" s="54">
        <f>AV109-AV111</f>
        <v>0</v>
      </c>
      <c r="AZ113" s="54">
        <f>AZ109-AZ111</f>
        <v>0</v>
      </c>
      <c r="BD113" s="54">
        <f>BD109-BD111</f>
        <v>0</v>
      </c>
      <c r="BH113" s="54">
        <f>BH109-BH111</f>
        <v>0</v>
      </c>
      <c r="BL113" s="54">
        <f>BL109-BL111</f>
        <v>0</v>
      </c>
      <c r="BP113" s="54">
        <f>BP109-BP111</f>
        <v>0</v>
      </c>
      <c r="BT113" s="54">
        <f>BT109-BT111</f>
        <v>0</v>
      </c>
      <c r="BX113" s="54">
        <f>BX109-BX111</f>
        <v>0</v>
      </c>
      <c r="CB113" s="54">
        <f>CB109-CB111</f>
        <v>0</v>
      </c>
      <c r="CF113" s="54">
        <f>CF109-CF111</f>
        <v>0</v>
      </c>
      <c r="CJ113" s="54">
        <f>CJ109-CJ111</f>
        <v>0</v>
      </c>
      <c r="CN113" s="54">
        <f>CN109-CN111</f>
        <v>0</v>
      </c>
      <c r="CR113" s="54">
        <f>CR109-CR111</f>
        <v>0</v>
      </c>
      <c r="CV113" s="54">
        <f>CV109-CV111</f>
        <v>0</v>
      </c>
      <c r="CZ113" s="54">
        <f>CZ109-CZ111</f>
        <v>0</v>
      </c>
      <c r="DD113" s="54">
        <f>DD109-DD111</f>
        <v>0</v>
      </c>
      <c r="DH113" s="54">
        <f>DH109-DH111</f>
        <v>0</v>
      </c>
      <c r="DL113" s="54">
        <f>DL109-DL111</f>
        <v>0</v>
      </c>
      <c r="DP113" s="54">
        <f>DP109-DP111</f>
        <v>0</v>
      </c>
      <c r="DT113" s="54">
        <f>DT109-DT111</f>
        <v>0</v>
      </c>
      <c r="DX113" s="54">
        <f>DX109-DX111</f>
        <v>0</v>
      </c>
      <c r="EB113" s="54">
        <f>EB109-EB111</f>
        <v>0</v>
      </c>
      <c r="EF113" s="54">
        <f>EF109-EF111</f>
        <v>0</v>
      </c>
      <c r="EJ113" s="54">
        <f>EJ109-EJ111</f>
        <v>0</v>
      </c>
      <c r="EN113" s="54">
        <f>EN109-EN111</f>
        <v>0</v>
      </c>
      <c r="ER113" s="54">
        <f>ER109-ER111</f>
        <v>0</v>
      </c>
      <c r="EV113" s="54">
        <f>EV109-EV111</f>
        <v>0</v>
      </c>
      <c r="EZ113" s="54">
        <f>EZ109-EZ111</f>
        <v>0</v>
      </c>
      <c r="FD113" s="54">
        <f>FD109-FD111</f>
        <v>0</v>
      </c>
      <c r="FH113" s="54">
        <f>FH109-FH111</f>
        <v>0</v>
      </c>
      <c r="FL113" s="54">
        <f>FL109-FL111</f>
        <v>0</v>
      </c>
      <c r="FP113" s="54">
        <f>FP109-FP111</f>
        <v>0</v>
      </c>
      <c r="FT113" s="54">
        <f>FT109-FT111</f>
        <v>0</v>
      </c>
      <c r="FX113" s="54">
        <f>FX109-FX111</f>
        <v>0</v>
      </c>
      <c r="GB113" s="54">
        <f>GB109-GB111</f>
        <v>0</v>
      </c>
      <c r="GF113" s="54">
        <f>GF109-GF111</f>
        <v>0</v>
      </c>
      <c r="GJ113" s="54">
        <f>GJ109-GJ111</f>
        <v>0</v>
      </c>
      <c r="GN113" s="54">
        <f>GN109-GN111</f>
        <v>0</v>
      </c>
      <c r="GR113" s="54">
        <f>GR109-GR111</f>
        <v>0</v>
      </c>
      <c r="GV113" s="54">
        <f>GV109-GV111</f>
        <v>0</v>
      </c>
      <c r="GZ113" s="54">
        <f>GZ109-GZ111</f>
        <v>0</v>
      </c>
      <c r="HD113" s="54">
        <f>HD109-HD111</f>
        <v>0</v>
      </c>
      <c r="HH113" s="54">
        <f>HH109-HH111</f>
        <v>0</v>
      </c>
      <c r="HL113" s="54">
        <f>HL109-HL111</f>
        <v>0</v>
      </c>
      <c r="HP113" s="54">
        <f>HP109-HP111</f>
        <v>0</v>
      </c>
      <c r="HT113" s="54">
        <f>HT109-HT111</f>
        <v>0</v>
      </c>
      <c r="HX113" s="54">
        <f>HX109-HX111</f>
        <v>0</v>
      </c>
      <c r="IB113" s="54">
        <f>IB109-IB111</f>
        <v>0</v>
      </c>
      <c r="IF113" s="54">
        <f>IF109-IF111</f>
        <v>0</v>
      </c>
      <c r="IJ113" s="54">
        <f>IJ109-IJ111</f>
        <v>0</v>
      </c>
      <c r="IN113" s="54">
        <f>IN109-IN111</f>
        <v>0</v>
      </c>
      <c r="IR113" s="54">
        <f>IR109-IR111</f>
        <v>0</v>
      </c>
      <c r="IV113" s="54">
        <f>IV109-IV111</f>
        <v>0</v>
      </c>
      <c r="IZ113" s="54">
        <f>IZ109-IZ111</f>
        <v>0</v>
      </c>
      <c r="JD113" s="54">
        <f>JD109-JD111</f>
        <v>0</v>
      </c>
      <c r="JH113" s="54">
        <f>JH109-JH111</f>
        <v>0</v>
      </c>
      <c r="JL113" s="54">
        <f>JL109-JL111</f>
        <v>0</v>
      </c>
    </row>
  </sheetData>
  <mergeCells count="94">
    <mergeCell ref="JO4:JQ4"/>
    <mergeCell ref="JS4:JU4"/>
    <mergeCell ref="JW4:JY4"/>
    <mergeCell ref="KA4:KC4"/>
    <mergeCell ref="KE4:KG4"/>
    <mergeCell ref="KI4:KK4"/>
    <mergeCell ref="KM4:KO4"/>
    <mergeCell ref="F5:H5"/>
    <mergeCell ref="J5:L5"/>
    <mergeCell ref="N5:P5"/>
    <mergeCell ref="R5:T5"/>
    <mergeCell ref="V5:X5"/>
    <mergeCell ref="Z5:AB5"/>
    <mergeCell ref="AD5:AF5"/>
    <mergeCell ref="AH5:AJ5"/>
    <mergeCell ref="AL5:AN5"/>
    <mergeCell ref="AP5:AR5"/>
    <mergeCell ref="AT5:AV5"/>
    <mergeCell ref="AX5:AZ5"/>
    <mergeCell ref="BB5:BD5"/>
    <mergeCell ref="BF5:BH5"/>
    <mergeCell ref="BJ5:BL5"/>
    <mergeCell ref="BN5:BP5"/>
    <mergeCell ref="BR5:BT5"/>
    <mergeCell ref="BV5:BX5"/>
    <mergeCell ref="BZ5:CB5"/>
    <mergeCell ref="CD5:CF5"/>
    <mergeCell ref="CH5:CJ5"/>
    <mergeCell ref="CL5:CN5"/>
    <mergeCell ref="CP5:CR5"/>
    <mergeCell ref="CT5:CV5"/>
    <mergeCell ref="CX5:CZ5"/>
    <mergeCell ref="DB5:DD5"/>
    <mergeCell ref="DF5:DH5"/>
    <mergeCell ref="DJ5:DL5"/>
    <mergeCell ref="DN5:DP5"/>
    <mergeCell ref="DR5:DT5"/>
    <mergeCell ref="DV5:DX5"/>
    <mergeCell ref="DZ5:EB5"/>
    <mergeCell ref="ED5:EF5"/>
    <mergeCell ref="EH5:EJ5"/>
    <mergeCell ref="EL5:EN5"/>
    <mergeCell ref="EP5:ER5"/>
    <mergeCell ref="ET5:EV5"/>
    <mergeCell ref="EX5:EZ5"/>
    <mergeCell ref="FB5:FD5"/>
    <mergeCell ref="FF5:FH5"/>
    <mergeCell ref="FJ5:FL5"/>
    <mergeCell ref="FN5:FP5"/>
    <mergeCell ref="FR5:FT5"/>
    <mergeCell ref="FV5:FX5"/>
    <mergeCell ref="FZ5:GB5"/>
    <mergeCell ref="GD5:GF5"/>
    <mergeCell ref="GH5:GJ5"/>
    <mergeCell ref="GL5:GN5"/>
    <mergeCell ref="GP5:GR5"/>
    <mergeCell ref="GT5:GV5"/>
    <mergeCell ref="GX5:GZ5"/>
    <mergeCell ref="HB5:HD5"/>
    <mergeCell ref="HF5:HH5"/>
    <mergeCell ref="HJ5:HL5"/>
    <mergeCell ref="HN5:HP5"/>
    <mergeCell ref="HR5:HT5"/>
    <mergeCell ref="HV5:HX5"/>
    <mergeCell ref="HZ5:IB5"/>
    <mergeCell ref="ID5:IF5"/>
    <mergeCell ref="IH5:IJ5"/>
    <mergeCell ref="IL5:IN5"/>
    <mergeCell ref="IP5:IR5"/>
    <mergeCell ref="IT5:IV5"/>
    <mergeCell ref="IX5:IZ5"/>
    <mergeCell ref="JB5:JD5"/>
    <mergeCell ref="JF5:JH5"/>
    <mergeCell ref="JJ5:JL5"/>
    <mergeCell ref="JO5:JQ5"/>
    <mergeCell ref="JS5:JU5"/>
    <mergeCell ref="JW5:JY5"/>
    <mergeCell ref="KA5:KC5"/>
    <mergeCell ref="KE5:KG5"/>
    <mergeCell ref="KI5:KK5"/>
    <mergeCell ref="KM5:KO5"/>
    <mergeCell ref="C6:D7"/>
    <mergeCell ref="B17:D17"/>
    <mergeCell ref="B28:D28"/>
    <mergeCell ref="B41:D41"/>
    <mergeCell ref="B54:D54"/>
    <mergeCell ref="B65:D65"/>
    <mergeCell ref="B87:D87"/>
    <mergeCell ref="B96:D96"/>
    <mergeCell ref="B107:D107"/>
    <mergeCell ref="B109:D109"/>
    <mergeCell ref="B110:D110"/>
    <mergeCell ref="B111:D111"/>
    <mergeCell ref="B113:D1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1. Basics</vt:lpstr>
      <vt:lpstr>A. Data Needed</vt:lpstr>
      <vt:lpstr>A.I Revenue Streams - P1</vt:lpstr>
      <vt:lpstr>A.I Revenue Streams - P2</vt:lpstr>
      <vt:lpstr>A.IIOPEX</vt:lpstr>
      <vt:lpstr>A.III CAPEX</vt:lpstr>
      <vt:lpstr>B.I Sales - P1</vt:lpstr>
      <vt:lpstr>B.I Sales - P2</vt:lpstr>
      <vt:lpstr>B.II - OPEX</vt:lpstr>
      <vt:lpstr>2.Total Project Cost</vt:lpstr>
      <vt:lpstr>B.II OPEX - P1</vt:lpstr>
      <vt:lpstr>4. P&amp;L</vt:lpstr>
      <vt:lpstr>3b. Costing - (Capital Exp)</vt:lpstr>
      <vt:lpstr>Costing</vt:lpstr>
      <vt:lpstr>5. Balance sheet</vt:lpstr>
      <vt:lpstr>6. Ratios</vt:lpstr>
      <vt:lpstr>DSCR</vt:lpstr>
      <vt:lpstr>Repayment schedule</vt:lpstr>
      <vt:lpstr>FA Schedule</vt:lpstr>
      <vt:lpstr>Phase 1</vt:lpstr>
      <vt:lpstr>Phase 2</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cp:contentStatus/>
  <dcterms:created xsi:type="dcterms:W3CDTF">2006-09-16T00:00:00Z</dcterms:created>
  <dcterms:modified xsi:type="dcterms:W3CDTF">2026-03-08T10:24:56Z</dcterms:modified>
</cp:coreProperties>
</file>